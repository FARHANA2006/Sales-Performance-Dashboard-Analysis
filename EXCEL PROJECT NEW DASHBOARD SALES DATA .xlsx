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EXCEL RECORDINGS\"/>
    </mc:Choice>
  </mc:AlternateContent>
  <xr:revisionPtr revIDLastSave="0" documentId="13_ncr:1_{47B23480-2CC3-47BF-9A0E-B0DD001049CA}" xr6:coauthVersionLast="47" xr6:coauthVersionMax="47" xr10:uidLastSave="{00000000-0000-0000-0000-000000000000}"/>
  <bookViews>
    <workbookView xWindow="-120" yWindow="-120" windowWidth="20730" windowHeight="11040" firstSheet="6" activeTab="9" xr2:uid="{DE76CBA0-D803-455F-9B1C-726B80487E89}"/>
  </bookViews>
  <sheets>
    <sheet name="DATA " sheetId="1" r:id="rId1"/>
    <sheet name="REGION" sheetId="2" r:id="rId2"/>
    <sheet name="PRODUCT " sheetId="12" r:id="rId3"/>
    <sheet name="CATEGORY " sheetId="3" r:id="rId4"/>
    <sheet name="SUB CATEGORY" sheetId="5" r:id="rId5"/>
    <sheet name="CATEGORY VS SUB-CATEGORY" sheetId="6" r:id="rId6"/>
    <sheet name="COUNTRY WISE" sheetId="8" r:id="rId7"/>
    <sheet name="SEGMENT WISE" sheetId="7" r:id="rId8"/>
    <sheet name="STATE WISE" sheetId="9" r:id="rId9"/>
    <sheet name="DASHBOARD " sheetId="11" r:id="rId10"/>
  </sheets>
  <definedNames>
    <definedName name="Slicer_Category">#N/A</definedName>
    <definedName name="Slicer_Country_Region">#N/A</definedName>
    <definedName name="Slicer_Region">#N/A</definedName>
    <definedName name="Slicer_Segment">#N/A</definedName>
    <definedName name="Slicer_State_Province">#N/A</definedName>
    <definedName name="Slicer_Sub_Categor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006" i="1" l="1"/>
</calcChain>
</file>

<file path=xl/sharedStrings.xml><?xml version="1.0" encoding="utf-8"?>
<sst xmlns="http://schemas.openxmlformats.org/spreadsheetml/2006/main" count="13145" uniqueCount="3100">
  <si>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</si>
  <si>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</si>
  <si>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</si>
  <si>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</si>
  <si>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</si>
  <si>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</si>
  <si>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</si>
  <si>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</si>
  <si>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</si>
  <si>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</si>
  <si>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</si>
  <si>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</si>
  <si>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</si>
  <si>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</si>
  <si>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</si>
  <si>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</si>
  <si>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</si>
  <si>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</si>
  <si>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</si>
  <si>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</si>
  <si>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</si>
  <si>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</si>
  <si>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</si>
  <si>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</si>
  <si>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</si>
  <si>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</si>
  <si>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</si>
  <si>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</si>
  <si>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</si>
  <si>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</si>
  <si>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</si>
  <si>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</si>
  <si>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</si>
  <si>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</si>
  <si>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</si>
  <si>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</si>
  <si>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</si>
  <si>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</si>
  <si>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</si>
  <si>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</si>
  <si>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</si>
  <si>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</si>
  <si>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</si>
  <si>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</si>
  <si>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</si>
  <si>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</si>
  <si>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</si>
  <si>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</si>
  <si>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</si>
  <si>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</si>
  <si>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</si>
  <si>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</si>
  <si>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</si>
  <si>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</si>
  <si>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</si>
  <si>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</si>
  <si>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</si>
  <si>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</si>
  <si>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</si>
  <si>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</si>
  <si>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</si>
  <si>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</si>
  <si>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</si>
  <si>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</si>
  <si>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</si>
  <si>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</si>
  <si>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</si>
  <si>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</si>
  <si>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</si>
  <si>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</si>
  <si>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</si>
  <si>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</si>
  <si>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</si>
  <si>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</si>
  <si>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</si>
  <si>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</si>
  <si>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</si>
  <si>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</si>
  <si>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</si>
  <si>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</si>
  <si>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</si>
  <si>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</si>
  <si>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</si>
  <si>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</si>
  <si>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</si>
  <si>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</si>
  <si>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</si>
  <si>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</si>
  <si>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</si>
  <si>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</si>
  <si>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</si>
  <si>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</si>
  <si>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</si>
  <si>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</si>
  <si>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</si>
  <si>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</si>
  <si>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</si>
  <si>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</si>
  <si>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</si>
  <si>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</si>
  <si>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</si>
  <si>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</si>
  <si>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</si>
  <si>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</si>
  <si>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</si>
  <si>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</si>
  <si>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</si>
  <si>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</si>
  <si>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</si>
  <si>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</si>
  <si>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</si>
  <si>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</si>
  <si>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</si>
  <si>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</si>
  <si>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</si>
  <si>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</si>
  <si>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</si>
  <si>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</si>
  <si>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</si>
  <si>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</si>
  <si>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</si>
  <si>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</si>
  <si>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</si>
  <si>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</si>
  <si>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</si>
  <si>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</si>
  <si>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</si>
  <si>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</si>
  <si>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</si>
  <si>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</si>
  <si>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</si>
  <si>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</si>
  <si>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</si>
  <si>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</si>
  <si>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</si>
  <si>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</si>
  <si>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</si>
  <si>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</si>
  <si>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</si>
  <si>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</si>
  <si>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</si>
  <si>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</si>
  <si>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</si>
  <si>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</si>
  <si>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</si>
  <si>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</si>
  <si>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</si>
  <si>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</si>
  <si>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</si>
  <si>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</si>
  <si>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</si>
  <si>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</si>
  <si>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</si>
  <si>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</si>
  <si>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</si>
  <si>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</si>
  <si>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</si>
  <si>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</si>
  <si>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</si>
  <si>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</si>
  <si>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</si>
  <si>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</si>
  <si>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</si>
  <si>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</si>
  <si>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</si>
  <si>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</si>
  <si>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</si>
  <si>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</si>
  <si>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</si>
  <si>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</si>
  <si>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</si>
  <si>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</si>
  <si>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</si>
  <si>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</si>
  <si>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</si>
  <si>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</si>
  <si>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</si>
  <si>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</si>
  <si>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</si>
  <si>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</si>
  <si>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</si>
  <si>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</si>
  <si>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</si>
  <si>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</si>
  <si>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</si>
  <si>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</si>
  <si>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</si>
  <si>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</si>
  <si>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</si>
  <si>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</si>
  <si>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</si>
  <si>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</si>
  <si>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</si>
  <si>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</si>
  <si>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</si>
  <si>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</si>
  <si>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</si>
  <si>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</si>
  <si>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</si>
  <si>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</si>
  <si>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</si>
  <si>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</si>
  <si>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</si>
  <si>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</si>
  <si>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</si>
  <si>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</si>
  <si>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</si>
  <si>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</si>
  <si>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</si>
  <si>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</si>
  <si>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</si>
  <si>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</si>
  <si>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</si>
  <si>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</si>
  <si>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</si>
  <si>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</si>
  <si>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</si>
  <si>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</si>
  <si>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</si>
  <si>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</si>
  <si>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</si>
  <si>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</si>
  <si>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</si>
  <si>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</si>
  <si>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</si>
  <si>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</si>
  <si>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</si>
  <si>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</si>
  <si>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</si>
  <si>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</si>
  <si>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</si>
  <si>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</si>
  <si>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</si>
  <si>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</si>
  <si>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</si>
  <si>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</si>
  <si>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</si>
  <si>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</si>
  <si>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</si>
  <si>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</si>
  <si>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</si>
  <si>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</si>
  <si>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</si>
  <si>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</si>
  <si>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</si>
  <si>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</si>
  <si>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</si>
  <si>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</si>
  <si>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</si>
  <si>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</si>
  <si>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</si>
  <si>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</si>
  <si>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</si>
  <si>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</si>
  <si>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</si>
  <si>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</si>
  <si>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</si>
  <si>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</si>
  <si>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</si>
  <si>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</si>
  <si>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</si>
  <si>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</si>
  <si>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</si>
  <si>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</si>
  <si>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</si>
  <si>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</si>
  <si>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</si>
  <si>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</si>
  <si>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</si>
  <si>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</si>
  <si>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</si>
  <si>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</si>
  <si>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</si>
  <si>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</si>
  <si>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</si>
  <si>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</si>
  <si>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</si>
  <si>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</si>
  <si>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</si>
  <si>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</si>
  <si>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</si>
  <si>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</si>
  <si>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</si>
  <si>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</si>
  <si>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</si>
  <si>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</si>
  <si>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</si>
  <si>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</si>
  <si>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</si>
  <si>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</si>
  <si>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</si>
  <si>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</si>
  <si>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</si>
  <si>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</si>
  <si>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</si>
  <si>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</si>
  <si>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</si>
  <si>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</si>
  <si>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</si>
  <si>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</si>
  <si>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</si>
  <si>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</si>
  <si>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</si>
  <si>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</si>
  <si>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</si>
  <si>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</si>
  <si>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</si>
  <si>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</si>
  <si>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</si>
  <si>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</si>
  <si>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</si>
  <si>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</si>
  <si>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</si>
  <si>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</si>
  <si>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</si>
  <si>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</si>
  <si>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</si>
  <si>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</si>
  <si>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</si>
  <si>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</si>
  <si>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</si>
  <si>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</si>
  <si>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</si>
  <si>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</si>
  <si>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</si>
  <si>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</si>
  <si>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</si>
  <si>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</si>
  <si>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</si>
  <si>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</si>
  <si>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</si>
  <si>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</si>
  <si>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</si>
  <si>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</si>
  <si>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</si>
  <si>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</si>
  <si>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</si>
  <si>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</si>
  <si>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</si>
  <si>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</si>
  <si>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</si>
  <si>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</si>
  <si>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</si>
  <si>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</si>
  <si>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</si>
  <si>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</si>
  <si>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</si>
  <si>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</si>
  <si>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</si>
  <si>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</si>
  <si>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</si>
  <si>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</si>
  <si>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</si>
  <si>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</si>
  <si>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</si>
  <si>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</si>
  <si>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</si>
  <si>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</si>
  <si>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</si>
  <si>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</si>
  <si>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</si>
  <si>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</si>
  <si>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</si>
  <si>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</si>
  <si>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</si>
  <si>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</si>
  <si>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</si>
  <si>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</si>
  <si>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</si>
  <si>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</si>
  <si>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</si>
  <si>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</si>
  <si>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</si>
  <si>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</si>
  <si>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</si>
  <si>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</si>
  <si>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</si>
  <si>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</si>
  <si>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</si>
  <si>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</si>
  <si>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</si>
  <si>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</si>
  <si>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</si>
  <si>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</si>
  <si>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</si>
  <si>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</si>
  <si>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</si>
  <si>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</si>
  <si>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</si>
  <si>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</si>
  <si>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</si>
  <si>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</si>
  <si>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</si>
  <si>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</si>
  <si>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</si>
  <si>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</si>
  <si>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</si>
  <si>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</si>
  <si>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</si>
  <si>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</si>
  <si>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</si>
  <si>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</si>
  <si>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</si>
  <si>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</si>
  <si>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</si>
  <si>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</si>
  <si>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</si>
  <si>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</si>
  <si>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</si>
  <si>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</si>
  <si>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</si>
  <si>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</si>
  <si>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</si>
  <si>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</si>
  <si>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</si>
  <si>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</si>
  <si>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</si>
  <si>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</si>
  <si>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</si>
  <si>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</si>
  <si>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</si>
  <si>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</si>
  <si>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</si>
  <si>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</si>
  <si>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</si>
  <si>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</si>
  <si>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</si>
  <si>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</si>
  <si>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</si>
  <si>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</si>
  <si>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</si>
  <si>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</si>
  <si>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</si>
  <si>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</si>
  <si>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</si>
  <si>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</si>
  <si>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</si>
  <si>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</si>
  <si>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</si>
  <si>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</si>
  <si>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</si>
  <si>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</si>
  <si>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</si>
  <si>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</si>
  <si>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</si>
  <si>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</si>
  <si>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</si>
  <si>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</si>
  <si>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</si>
  <si>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</si>
  <si>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</si>
  <si>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</si>
  <si>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</si>
  <si>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</si>
  <si>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</si>
  <si>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</si>
  <si>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</si>
  <si>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</si>
  <si>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</si>
  <si>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</si>
  <si>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</si>
  <si>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</si>
  <si>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</si>
  <si>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</si>
  <si>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</si>
  <si>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</si>
  <si>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</si>
  <si>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</si>
  <si>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</si>
  <si>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</si>
  <si>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</si>
  <si>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</si>
  <si>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</si>
  <si>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</si>
  <si>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</si>
  <si>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</si>
  <si>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</si>
  <si>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</si>
  <si>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</si>
  <si>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</si>
  <si>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</si>
  <si>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</si>
  <si>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</si>
  <si>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</si>
  <si>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</si>
  <si>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</si>
  <si>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</si>
  <si>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</si>
  <si>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</si>
  <si>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</si>
  <si>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</si>
  <si>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</si>
  <si>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</si>
  <si>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</si>
  <si>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</si>
  <si>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</si>
  <si>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</si>
  <si>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</si>
  <si>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</si>
  <si>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</si>
  <si>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</si>
  <si>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</si>
  <si>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</si>
  <si>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</si>
  <si>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</si>
  <si>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</si>
  <si>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</si>
  <si>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</si>
  <si>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</si>
  <si>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</si>
  <si>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</si>
  <si>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</si>
  <si>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</si>
  <si>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</si>
  <si>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</si>
  <si>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</si>
  <si>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</si>
  <si>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</si>
  <si>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</si>
  <si>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</si>
  <si>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</si>
  <si>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</si>
  <si>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</si>
  <si>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</si>
  <si>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</si>
  <si>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</si>
  <si>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</si>
  <si>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</si>
  <si>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</si>
  <si>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</si>
  <si>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</si>
  <si>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</si>
  <si>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</si>
  <si>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</si>
  <si>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</si>
  <si>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</si>
  <si>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</si>
  <si>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</si>
  <si>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</si>
  <si>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</si>
  <si>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</si>
  <si>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</si>
  <si>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</si>
  <si>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</si>
  <si>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</si>
  <si>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</si>
  <si>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</si>
  <si>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</si>
  <si>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</si>
  <si>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</si>
  <si>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</si>
  <si>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</si>
  <si>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</si>
  <si>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</si>
  <si>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</si>
  <si>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</si>
  <si>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</si>
  <si>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</si>
  <si>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</si>
  <si>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</si>
  <si>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</si>
  <si>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</si>
  <si>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</si>
  <si>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</si>
  <si>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</si>
  <si>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</si>
  <si>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</si>
  <si>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</si>
  <si>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</si>
  <si>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</si>
  <si>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</si>
  <si>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</si>
  <si>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</si>
  <si>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</si>
  <si>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</si>
  <si>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</si>
  <si>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</si>
  <si>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</si>
  <si>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</si>
  <si>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</si>
  <si>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</si>
  <si>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</si>
  <si>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</si>
  <si>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</si>
  <si>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</si>
  <si>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</si>
  <si>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</si>
  <si>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</si>
  <si>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</si>
  <si>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</si>
  <si>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</si>
  <si>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</si>
  <si>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</si>
  <si>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</si>
  <si>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</si>
  <si>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</si>
  <si>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</si>
  <si>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</si>
  <si>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</si>
  <si>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</si>
  <si>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</si>
  <si>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</si>
  <si>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</si>
  <si>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</si>
  <si>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</si>
  <si>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</si>
  <si>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</si>
  <si>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</si>
  <si>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</si>
  <si>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</si>
  <si>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</si>
  <si>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</si>
  <si>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</si>
  <si>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</si>
  <si>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</si>
  <si>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</si>
  <si>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</si>
  <si>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</si>
  <si>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</si>
  <si>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</si>
  <si>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</si>
  <si>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</si>
  <si>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</si>
  <si>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</si>
  <si>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</si>
  <si>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</si>
  <si>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</si>
  <si>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</si>
  <si>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</si>
  <si>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</si>
  <si>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</si>
  <si>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</si>
  <si>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</si>
  <si>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</si>
  <si>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</si>
  <si>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</si>
  <si>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</si>
  <si>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</si>
  <si>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</si>
  <si>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</si>
  <si>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</si>
  <si>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</si>
  <si>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</si>
  <si>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</si>
  <si>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</si>
  <si>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</si>
  <si>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</si>
  <si>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</si>
  <si>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</si>
  <si>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</si>
  <si>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</si>
  <si>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</si>
  <si>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</si>
  <si>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</si>
  <si>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</si>
  <si>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</si>
  <si>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</si>
  <si>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</si>
  <si>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</si>
  <si>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</si>
  <si>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</si>
  <si>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</si>
  <si>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</si>
  <si>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</si>
  <si>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</si>
  <si>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</si>
  <si>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</si>
  <si>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</si>
  <si>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</si>
  <si>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</si>
  <si>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</si>
  <si>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</si>
  <si>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</si>
  <si>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</si>
  <si>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</si>
  <si>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</si>
  <si>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</si>
  <si>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</si>
  <si>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</si>
  <si>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</si>
  <si>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</si>
  <si>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</si>
  <si>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</si>
  <si>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</si>
  <si>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</si>
  <si>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</si>
  <si>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</si>
  <si>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</si>
  <si>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</si>
  <si>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</si>
  <si>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</si>
  <si>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</si>
  <si>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</si>
  <si>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</si>
  <si>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</si>
  <si>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</si>
  <si>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</si>
  <si>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</si>
  <si>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</si>
  <si>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</si>
  <si>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</si>
  <si>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</si>
  <si>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</si>
  <si>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</si>
  <si>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</si>
  <si>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</si>
  <si>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</si>
  <si>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</si>
  <si>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</si>
  <si>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</si>
  <si>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</si>
  <si>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</si>
  <si>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</si>
  <si>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</si>
  <si>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</si>
  <si>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</si>
  <si>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</si>
  <si>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</si>
  <si>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</si>
  <si>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</si>
  <si>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</si>
  <si>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</si>
  <si>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</si>
  <si>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</si>
  <si>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</si>
  <si>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</si>
  <si>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</si>
  <si>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</si>
  <si>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</si>
  <si>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</si>
  <si>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</si>
  <si>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</si>
  <si>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</si>
  <si>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</si>
  <si>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</si>
  <si>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</si>
  <si>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</si>
  <si>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</si>
  <si>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Französisch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</si>
  <si>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</si>
  <si>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</si>
  <si>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</si>
  <si>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</si>
  <si>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</si>
  <si>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</si>
  <si>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</si>
  <si>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</si>
  <si>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</si>
  <si>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</si>
  <si>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</si>
  <si>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</si>
  <si>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</si>
  <si>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</si>
  <si>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</si>
  <si>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</si>
  <si>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</si>
  <si>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</si>
  <si>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</si>
  <si>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</si>
  <si>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</si>
  <si>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</si>
  <si>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</si>
  <si>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</si>
  <si>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</si>
  <si>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</si>
  <si>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</si>
  <si>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</si>
  <si>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</si>
  <si>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</si>
  <si>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</si>
  <si>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</si>
  <si>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</si>
  <si>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</si>
  <si>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</si>
  <si>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</si>
  <si>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</si>
  <si>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</si>
  <si>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</si>
  <si>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</si>
  <si>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</si>
  <si>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</si>
  <si>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</si>
  <si>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</si>
  <si>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</si>
  <si>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</si>
  <si>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</si>
  <si>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</si>
  <si>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</si>
  <si>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</si>
  <si>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</si>
  <si>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</si>
  <si>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</si>
  <si>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</si>
  <si>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</si>
  <si>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</si>
  <si>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</si>
  <si>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</si>
  <si>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</si>
  <si>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</si>
  <si>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</si>
  <si>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</si>
  <si>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</si>
  <si>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</si>
  <si>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</si>
  <si>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</si>
  <si>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</si>
  <si>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</si>
  <si>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</si>
  <si>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</si>
  <si>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</si>
  <si>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</si>
  <si>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</si>
  <si>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</si>
  <si>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</si>
  <si>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</si>
  <si>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</si>
  <si>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</si>
  <si>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</si>
  <si>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</si>
  <si>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</si>
  <si>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</si>
  <si>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</si>
  <si>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</si>
  <si>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</si>
  <si>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</si>
  <si>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</si>
  <si>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</si>
  <si>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</si>
  <si>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</si>
  <si>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</si>
  <si>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</si>
  <si>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</si>
  <si>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</si>
  <si>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</si>
  <si>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</si>
  <si>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</si>
  <si>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</si>
  <si>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</si>
  <si>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</si>
  <si>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</si>
  <si>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</si>
  <si>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</si>
  <si>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</si>
  <si>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</si>
  <si>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</si>
  <si>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</si>
  <si>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</si>
  <si>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</si>
  <si>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</si>
  <si>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</si>
  <si>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</si>
  <si>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</si>
  <si>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</si>
  <si>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</si>
  <si>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</si>
  <si>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</si>
  <si>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</si>
  <si>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</si>
  <si>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</si>
  <si>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</si>
  <si>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</si>
  <si>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</si>
  <si>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</si>
  <si>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</si>
  <si>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</si>
  <si>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</si>
  <si>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</si>
  <si>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</si>
  <si>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</si>
  <si>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</si>
  <si>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</si>
  <si>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</si>
  <si>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</si>
  <si>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</si>
  <si>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</si>
  <si>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</si>
  <si>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</si>
  <si>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</si>
  <si>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</si>
  <si>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</si>
  <si>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</si>
  <si>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</si>
  <si>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</si>
  <si>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</si>
  <si>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</si>
  <si>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</si>
  <si>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</si>
  <si>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</si>
  <si>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</si>
  <si>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</si>
  <si>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</si>
  <si>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</si>
  <si>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</si>
  <si>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</si>
  <si>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</si>
  <si>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</si>
  <si>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</si>
  <si>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</si>
  <si>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</si>
  <si>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</si>
  <si>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</si>
  <si>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</si>
  <si>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</si>
  <si>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</si>
  <si>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</si>
  <si>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</si>
  <si>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</si>
  <si>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</si>
  <si>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</si>
  <si>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</si>
  <si>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</si>
  <si>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</si>
  <si>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</si>
  <si>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</si>
  <si>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</si>
  <si>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</si>
  <si>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</si>
  <si>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</si>
  <si>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</si>
  <si>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</si>
  <si>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</si>
  <si>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</si>
  <si>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</si>
  <si>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</si>
  <si>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</si>
  <si>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</si>
  <si>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</si>
  <si>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</si>
  <si>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</si>
  <si>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</si>
  <si>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</si>
  <si>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</si>
  <si>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</si>
  <si>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</si>
  <si>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</si>
  <si>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</si>
  <si>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</si>
  <si>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</si>
  <si>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</si>
  <si>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</si>
  <si>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</si>
  <si>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</si>
  <si>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</si>
  <si>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</si>
  <si>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</si>
  <si>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</si>
  <si>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</si>
  <si>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</si>
  <si>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</si>
  <si>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</si>
  <si>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</si>
  <si>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</si>
  <si>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</si>
  <si>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</si>
  <si>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</si>
  <si>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</si>
  <si>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</si>
  <si>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</si>
  <si>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</si>
  <si>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</si>
  <si>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</si>
  <si>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</si>
  <si>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</si>
  <si>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</si>
  <si>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</si>
  <si>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</si>
  <si>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</si>
  <si>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</si>
  <si>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</si>
  <si>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</si>
  <si>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</si>
  <si>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</si>
  <si>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</si>
  <si>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</si>
  <si>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</si>
  <si>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</si>
  <si>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</si>
  <si>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</si>
  <si>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</si>
  <si>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</si>
  <si>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</si>
  <si>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</si>
  <si>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</si>
  <si>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</si>
  <si>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</si>
  <si>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</si>
  <si>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</si>
  <si>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</si>
  <si>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</si>
  <si>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</si>
  <si>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</si>
  <si>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</si>
  <si>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</si>
  <si>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</si>
  <si>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</si>
  <si>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</si>
  <si>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</si>
  <si>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</si>
  <si>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</si>
  <si>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</si>
  <si>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</si>
  <si>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</si>
  <si>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</si>
  <si>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</si>
  <si>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</si>
  <si>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</si>
  <si>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</si>
  <si>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</si>
  <si>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</si>
  <si>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</si>
  <si>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</si>
  <si>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</si>
  <si>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</si>
  <si>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</si>
  <si>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</si>
  <si>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</si>
  <si>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</si>
  <si>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</si>
  <si>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</si>
  <si>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</si>
  <si>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</si>
  <si>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</si>
  <si>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</si>
  <si>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</si>
  <si>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</si>
  <si>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</si>
  <si>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</si>
  <si>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</si>
  <si>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</si>
  <si>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</si>
  <si>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</si>
  <si>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</si>
  <si>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</si>
  <si>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</si>
  <si>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</si>
  <si>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</si>
  <si>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</si>
  <si>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</si>
  <si>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</si>
  <si>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</si>
  <si>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</si>
  <si>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</si>
  <si>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</si>
  <si>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</si>
  <si>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</si>
  <si>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</si>
  <si>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</si>
  <si>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</si>
  <si>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</si>
  <si>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</si>
  <si>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</si>
  <si>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</si>
  <si>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</si>
  <si>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</si>
  <si>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</si>
  <si>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</si>
  <si>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</si>
  <si>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</si>
  <si>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</si>
  <si>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</si>
  <si>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</si>
  <si>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</si>
  <si>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</si>
  <si>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</si>
  <si>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</si>
  <si>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</si>
  <si>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</si>
  <si>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</si>
  <si>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</si>
  <si>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</si>
  <si>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</si>
  <si>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</si>
  <si>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</si>
  <si>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</si>
  <si>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</si>
  <si>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</si>
  <si>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</si>
  <si>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</si>
  <si>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</si>
  <si>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</si>
  <si>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Häberlin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</si>
  <si>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</si>
  <si>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</si>
  <si>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</si>
  <si>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</si>
  <si>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</si>
  <si>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</si>
  <si>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</si>
  <si>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</si>
  <si>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</si>
  <si>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</si>
  <si>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</si>
  <si>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</si>
  <si>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</si>
  <si>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</si>
  <si>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</si>
  <si>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</si>
  <si>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</si>
  <si>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</si>
  <si>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</si>
  <si>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</si>
  <si>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</si>
  <si>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</si>
  <si>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</si>
  <si>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</si>
  <si>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</si>
  <si>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</si>
  <si>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</si>
  <si>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</si>
  <si>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</si>
  <si>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</si>
  <si>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</si>
  <si>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</si>
  <si>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</si>
  <si>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</si>
  <si>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</si>
  <si>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</si>
  <si>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</si>
  <si>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</si>
  <si>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</si>
  <si>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</si>
  <si>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</si>
  <si>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</si>
  <si>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</si>
  <si>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</si>
  <si>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</si>
  <si>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</si>
  <si>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</si>
  <si>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</si>
  <si>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</si>
  <si>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</si>
  <si>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</si>
  <si>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</si>
  <si>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</si>
  <si>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</si>
  <si>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</si>
  <si>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</si>
  <si>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</si>
  <si>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</si>
  <si>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</si>
  <si>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</si>
  <si>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</si>
  <si>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</si>
  <si>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</si>
  <si>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</si>
  <si>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</si>
  <si>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</si>
  <si>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</si>
  <si>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</si>
  <si>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</si>
  <si>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</si>
  <si>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</si>
  <si>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</si>
  <si>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</si>
  <si>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</si>
  <si>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</si>
  <si>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</si>
  <si>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</si>
  <si>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</si>
  <si>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</si>
  <si>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</si>
  <si>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</si>
  <si>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</si>
  <si>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</si>
  <si>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</si>
  <si>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</si>
  <si>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</si>
  <si>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</si>
  <si>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</si>
  <si>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</si>
  <si>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</si>
  <si>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</si>
  <si>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</si>
  <si>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</si>
  <si>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</si>
  <si>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</si>
  <si>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</si>
  <si>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</si>
  <si>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</si>
  <si>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</si>
  <si>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</si>
  <si>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</si>
  <si>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</si>
  <si>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</si>
  <si>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</si>
  <si>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</si>
  <si>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</si>
  <si>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</si>
  <si>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</si>
  <si>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</si>
  <si>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</si>
  <si>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</si>
  <si>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</si>
  <si>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</si>
  <si>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</si>
  <si>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</si>
  <si>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</si>
  <si>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</si>
  <si>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</si>
  <si>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</si>
  <si>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</si>
  <si>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</si>
  <si>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</si>
  <si>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</si>
  <si>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</si>
  <si>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</si>
  <si>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</si>
  <si>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</si>
  <si>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</si>
  <si>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</si>
  <si>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</si>
  <si>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</si>
  <si>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</si>
  <si>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</si>
  <si>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</si>
  <si>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</si>
  <si>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</si>
  <si>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</si>
  <si>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</si>
  <si>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</si>
  <si>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</si>
  <si>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</si>
  <si>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</si>
  <si>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</si>
  <si>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</si>
  <si>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</si>
  <si>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</si>
  <si>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</si>
  <si>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</si>
  <si>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</si>
  <si>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</si>
  <si>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</si>
  <si>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</si>
  <si>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</si>
  <si>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</si>
  <si>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</si>
  <si>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</si>
  <si>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</si>
  <si>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</si>
  <si>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</si>
  <si>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</si>
  <si>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</si>
  <si>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</si>
  <si>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</si>
  <si>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</si>
  <si>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</si>
  <si>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</si>
  <si>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</si>
  <si>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</si>
  <si>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</si>
  <si>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</si>
  <si>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</si>
  <si>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</si>
  <si>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</si>
  <si>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</si>
  <si>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</si>
  <si>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</si>
  <si>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</si>
  <si>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</si>
  <si>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</si>
  <si>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</si>
  <si>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</si>
  <si>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</si>
  <si>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</si>
  <si>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</si>
  <si>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</si>
  <si>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</si>
  <si>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</si>
  <si>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</si>
  <si>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</si>
  <si>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</si>
  <si>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</si>
  <si>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</si>
  <si>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</si>
  <si>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</si>
  <si>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</si>
  <si>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</si>
  <si>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</si>
  <si>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</si>
  <si>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</si>
  <si>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</si>
  <si>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</si>
  <si>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</si>
  <si>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</si>
  <si>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</si>
  <si>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</si>
  <si>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</si>
  <si>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</si>
  <si>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</si>
  <si>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</si>
  <si>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</si>
  <si>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</si>
  <si>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</si>
  <si>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</si>
  <si>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</si>
  <si>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</si>
  <si>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</si>
  <si>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</si>
  <si>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</si>
  <si>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</si>
  <si>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</si>
  <si>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</si>
  <si>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</si>
  <si>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</si>
  <si>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</si>
  <si>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</si>
  <si>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</si>
  <si>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</si>
  <si>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</si>
  <si>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</si>
  <si>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</si>
  <si>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</si>
  <si>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</si>
  <si>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</si>
  <si>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</si>
  <si>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</si>
  <si>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</si>
  <si>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</si>
  <si>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</si>
  <si>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</si>
  <si>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</si>
  <si>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</si>
  <si>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</si>
  <si>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</si>
  <si>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</si>
  <si>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</si>
  <si>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</si>
  <si>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</si>
  <si>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</si>
  <si>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</si>
  <si>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</si>
  <si>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</si>
  <si>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</si>
  <si>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</si>
  <si>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</si>
  <si>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</si>
  <si>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</si>
  <si>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</si>
  <si>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</si>
  <si>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</si>
  <si>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</si>
  <si>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</si>
  <si>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</si>
  <si>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</si>
  <si>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</si>
  <si>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</si>
  <si>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</si>
  <si>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</si>
  <si>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</si>
  <si>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</si>
  <si>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</si>
  <si>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</si>
  <si>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</si>
  <si>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</si>
  <si>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</si>
  <si>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</si>
  <si>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</si>
  <si>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</si>
  <si>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</si>
  <si>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</si>
  <si>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</si>
  <si>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</si>
  <si>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</si>
  <si>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</si>
  <si>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</si>
  <si>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</si>
  <si>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</si>
  <si>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</si>
  <si>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</si>
  <si>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</si>
  <si>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</si>
  <si>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</si>
  <si>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</si>
  <si>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</si>
  <si>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</si>
  <si>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</si>
  <si>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</si>
  <si>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</si>
  <si>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</si>
  <si>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</si>
  <si>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</si>
  <si>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</si>
  <si>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</si>
  <si>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</si>
  <si>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</si>
  <si>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</si>
  <si>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</si>
  <si>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</si>
  <si>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</si>
  <si>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</si>
  <si>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</si>
  <si>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</si>
  <si>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</si>
  <si>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</si>
  <si>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</si>
  <si>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</si>
  <si>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</si>
  <si>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</si>
  <si>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</si>
  <si>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</si>
  <si>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</si>
  <si>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</si>
  <si>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</si>
  <si>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</si>
  <si>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</si>
  <si>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</si>
  <si>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</si>
  <si>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</si>
  <si>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</si>
  <si>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</si>
  <si>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</si>
  <si>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</si>
  <si>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</si>
  <si>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</si>
  <si>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</si>
  <si>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</si>
  <si>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</si>
  <si>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</si>
  <si>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</si>
  <si>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</si>
  <si>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</si>
  <si>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</si>
  <si>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</si>
  <si>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</si>
  <si>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</si>
  <si>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</si>
  <si>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</si>
  <si>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</si>
  <si>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</si>
  <si>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</si>
  <si>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</si>
  <si>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</si>
  <si>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</si>
  <si>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</si>
  <si>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</si>
  <si>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</si>
  <si>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</si>
  <si>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</si>
  <si>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</si>
  <si>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</si>
  <si>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</si>
  <si>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</si>
  <si>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</si>
  <si>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</si>
  <si>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</si>
  <si>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</si>
  <si>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</si>
  <si>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</si>
  <si>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</si>
  <si>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</si>
  <si>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</si>
  <si>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</si>
  <si>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</si>
  <si>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</si>
  <si>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</si>
  <si>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</si>
  <si>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</si>
  <si>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</si>
  <si>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</si>
  <si>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</si>
  <si>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</si>
  <si>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</si>
  <si>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</si>
  <si>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</si>
  <si>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</si>
  <si>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</si>
  <si>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</si>
  <si>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</si>
  <si>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</si>
  <si>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</si>
  <si>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</si>
  <si>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</si>
  <si>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</si>
  <si>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</si>
  <si>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</si>
  <si>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</si>
  <si>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</si>
  <si>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</si>
  <si>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</si>
  <si>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</si>
  <si>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</si>
  <si>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</si>
  <si>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</si>
  <si>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</si>
  <si>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</si>
  <si>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</si>
  <si>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</si>
  <si>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</si>
  <si>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</si>
  <si>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</si>
  <si>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</si>
  <si>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</si>
  <si>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</si>
  <si>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</si>
  <si>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</si>
  <si>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</si>
  <si>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</si>
  <si>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</si>
  <si>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</si>
  <si>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</si>
  <si>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</si>
  <si>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</si>
  <si>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</si>
  <si>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</si>
  <si>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</si>
  <si>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</si>
  <si>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</si>
  <si>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</si>
  <si>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</si>
  <si>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</si>
  <si>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</si>
  <si>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</si>
  <si>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</si>
  <si>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</si>
  <si>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</si>
  <si>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</si>
  <si>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</si>
  <si>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</si>
  <si>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</si>
  <si>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</si>
  <si>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</si>
  <si>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</si>
  <si>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</si>
  <si>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</si>
  <si>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</si>
  <si>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</si>
  <si>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</si>
  <si>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</si>
  <si>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</si>
  <si>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</si>
  <si>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</si>
  <si>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</si>
  <si>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</si>
  <si>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</si>
  <si>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</si>
  <si>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</si>
  <si>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</si>
  <si>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</si>
  <si>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</si>
  <si>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</si>
  <si>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</si>
  <si>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</si>
  <si>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</si>
  <si>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</si>
  <si>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</si>
  <si>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</si>
  <si>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</si>
  <si>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</si>
  <si>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</si>
  <si>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</si>
  <si>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</si>
  <si>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</si>
  <si>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</si>
  <si>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</si>
  <si>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</si>
  <si>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</si>
  <si>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</si>
  <si>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</si>
  <si>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</si>
  <si>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</si>
  <si>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</si>
  <si>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</si>
  <si>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</si>
  <si>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</si>
  <si>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</si>
  <si>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</si>
  <si>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</si>
  <si>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</si>
  <si>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</si>
  <si>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</si>
  <si>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</si>
  <si>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</si>
  <si>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</si>
  <si>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</si>
  <si>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</si>
  <si>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</si>
  <si>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</si>
  <si>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</si>
  <si>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</si>
  <si>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</si>
  <si>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</si>
  <si>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</si>
  <si>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</si>
  <si>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</si>
  <si>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</si>
  <si>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</si>
  <si>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</si>
  <si>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</si>
  <si>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</si>
  <si>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</si>
  <si>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</si>
  <si>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</si>
  <si>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</si>
  <si>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</si>
  <si>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</si>
  <si>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</si>
  <si>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</si>
  <si>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</si>
  <si>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</si>
  <si>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</si>
  <si>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</si>
  <si>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</si>
  <si>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</si>
  <si>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</si>
  <si>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</si>
  <si>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</si>
  <si>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</si>
  <si>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</si>
  <si>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</si>
  <si>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</si>
  <si>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</si>
  <si>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</si>
  <si>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</si>
  <si>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</si>
  <si>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</si>
  <si>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</si>
  <si>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</si>
  <si>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</si>
  <si>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</si>
  <si>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</si>
  <si>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</si>
  <si>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</si>
  <si>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</si>
  <si>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</si>
  <si>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</si>
  <si>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</si>
  <si>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</si>
  <si>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</si>
  <si>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</si>
  <si>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</si>
  <si>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</si>
  <si>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</si>
  <si>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</si>
  <si>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</si>
  <si>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</si>
  <si>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</si>
  <si>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</si>
  <si>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</si>
  <si>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</si>
  <si>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</si>
  <si>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</si>
  <si>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</si>
  <si>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</si>
  <si>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</si>
  <si>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</si>
  <si>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</si>
  <si>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</si>
  <si>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</si>
  <si>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</si>
  <si>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</si>
  <si>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</si>
  <si>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</si>
  <si>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</si>
  <si>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</si>
  <si>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</si>
  <si>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</si>
  <si>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</si>
  <si>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</si>
  <si>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</si>
  <si>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</si>
  <si>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</si>
  <si>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</si>
  <si>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</si>
  <si>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</si>
  <si>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</si>
  <si>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</si>
  <si>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</si>
  <si>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</si>
  <si>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</si>
  <si>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</si>
  <si>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</si>
  <si>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</si>
  <si>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</si>
  <si>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</si>
  <si>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</si>
  <si>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</si>
  <si>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</si>
  <si>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</si>
  <si>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</si>
  <si>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</si>
  <si>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</si>
  <si>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</si>
  <si>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</si>
  <si>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</si>
  <si>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</si>
  <si>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</si>
  <si>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</si>
  <si>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</si>
  <si>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</si>
  <si>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</si>
  <si>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</si>
  <si>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</si>
  <si>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</si>
  <si>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</si>
  <si>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</si>
  <si>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</si>
  <si>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</si>
  <si>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</si>
  <si>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</si>
  <si>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</si>
  <si>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</si>
  <si>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</si>
  <si>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</si>
  <si>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</si>
  <si>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</si>
  <si>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</si>
  <si>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</si>
  <si>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</si>
  <si>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</si>
  <si>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</si>
  <si>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</si>
  <si>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</si>
  <si>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</si>
  <si>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</si>
  <si>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</si>
  <si>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</si>
  <si>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</si>
  <si>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</si>
  <si>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</si>
  <si>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</si>
  <si>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</si>
  <si>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</si>
  <si>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</si>
  <si>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</si>
  <si>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</si>
  <si>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</si>
  <si>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</si>
  <si>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</si>
  <si>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</si>
  <si>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</si>
  <si>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</si>
  <si>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</si>
  <si>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</si>
  <si>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</si>
  <si>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</si>
  <si>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</si>
  <si>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</si>
  <si>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</si>
  <si>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</si>
  <si>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</si>
  <si>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</si>
  <si>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</si>
  <si>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</si>
  <si>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</si>
  <si>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</si>
  <si>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</si>
  <si>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</si>
  <si>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</si>
  <si>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</si>
  <si>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</si>
  <si>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</si>
  <si>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</si>
  <si>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</si>
  <si>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</si>
  <si>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</si>
  <si>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</si>
  <si>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</si>
  <si>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</si>
  <si>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</si>
  <si>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</si>
  <si>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</si>
  <si>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</si>
  <si>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</si>
  <si>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</si>
  <si>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</si>
  <si>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</si>
  <si>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</si>
  <si>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</si>
  <si>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</si>
  <si>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</si>
  <si>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</si>
  <si>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</si>
  <si>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</si>
  <si>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</si>
  <si>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</si>
  <si>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</si>
  <si>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</si>
  <si>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</si>
  <si>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</si>
  <si>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</si>
  <si>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</si>
  <si>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</si>
  <si>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</si>
  <si>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</si>
  <si>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</si>
  <si>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</si>
  <si>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</si>
  <si>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</si>
  <si>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</si>
  <si>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</si>
  <si>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</si>
  <si>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</si>
  <si>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</si>
  <si>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</si>
  <si>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</si>
  <si>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</si>
  <si>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</si>
  <si>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</si>
  <si>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</si>
  <si>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</si>
  <si>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</si>
  <si>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</si>
  <si>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</si>
  <si>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</si>
  <si>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</si>
  <si>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</si>
  <si>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</si>
  <si>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</si>
  <si>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</si>
  <si>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</si>
  <si>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</si>
  <si>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</si>
  <si>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</si>
  <si>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</si>
  <si>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</si>
  <si>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</si>
  <si>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</si>
  <si>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</si>
  <si>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</si>
  <si>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</si>
  <si>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</si>
  <si>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</si>
  <si>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</si>
  <si>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</si>
  <si>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</si>
  <si>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</si>
  <si>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</si>
  <si>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</si>
  <si>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</si>
  <si>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</si>
  <si>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</si>
  <si>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</si>
  <si>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</si>
  <si>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</si>
  <si>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</si>
  <si>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</si>
  <si>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</si>
  <si>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</si>
  <si>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</si>
  <si>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</si>
  <si>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</si>
  <si>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</si>
  <si>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</si>
  <si>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</si>
  <si>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</si>
  <si>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</si>
  <si>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</si>
  <si>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</si>
  <si>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</si>
  <si>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</si>
  <si>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</si>
  <si>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</si>
  <si>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</si>
  <si>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</si>
  <si>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</si>
  <si>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</si>
  <si>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</si>
  <si>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</si>
  <si>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</si>
  <si>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</si>
  <si>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</si>
  <si>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</si>
  <si>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</si>
  <si>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</si>
  <si>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</si>
  <si>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</si>
  <si>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</si>
  <si>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</si>
  <si>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</si>
  <si>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</si>
  <si>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</si>
  <si>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</si>
  <si>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</si>
  <si>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</si>
  <si>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</si>
  <si>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</si>
  <si>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</si>
  <si>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</si>
  <si>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</si>
  <si>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</si>
  <si>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</si>
  <si>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</si>
  <si>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</si>
  <si>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</si>
  <si>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</si>
  <si>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</si>
  <si>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</si>
  <si>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</si>
  <si>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</si>
  <si>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</si>
  <si>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</si>
  <si>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</si>
  <si>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</si>
  <si>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</si>
  <si>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</si>
  <si>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</si>
  <si>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</si>
  <si>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</si>
  <si>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</si>
  <si>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</si>
  <si>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</si>
  <si>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</si>
  <si>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</si>
  <si>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</si>
  <si>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</si>
  <si>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</si>
  <si>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</si>
  <si>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</si>
  <si>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</si>
  <si>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</si>
  <si>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</si>
  <si>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</si>
  <si>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</si>
  <si>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</si>
  <si>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</si>
  <si>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</si>
  <si>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</si>
  <si>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</si>
  <si>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</si>
  <si>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</si>
  <si>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</si>
  <si>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</si>
  <si>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</si>
  <si>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</si>
  <si>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</si>
  <si>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</si>
  <si>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</si>
  <si>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</si>
  <si>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</si>
  <si>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</si>
  <si>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</si>
  <si>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</si>
  <si>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</si>
  <si>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</si>
  <si>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</si>
  <si>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</si>
  <si>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</si>
  <si>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</si>
  <si>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</si>
  <si>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</si>
  <si>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</si>
  <si>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</si>
  <si>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</si>
  <si>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</si>
  <si>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</si>
  <si>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</si>
  <si>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</si>
  <si>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</si>
  <si>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</si>
  <si>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</si>
  <si>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</si>
  <si>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</si>
  <si>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</si>
  <si>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</si>
  <si>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</si>
  <si>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</si>
  <si>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</si>
  <si>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</si>
  <si>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</si>
  <si>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</si>
  <si>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</si>
  <si>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</si>
  <si>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</si>
  <si>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</si>
  <si>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</si>
  <si>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</si>
  <si>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</si>
  <si>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</si>
  <si>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</si>
  <si>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</si>
  <si>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</si>
  <si>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</si>
  <si>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</si>
  <si>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</si>
  <si>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</si>
  <si>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</si>
  <si>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</si>
  <si>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</si>
  <si>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</si>
  <si>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</si>
  <si>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</si>
  <si>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</si>
  <si>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</si>
  <si>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</si>
  <si>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</si>
  <si>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</si>
  <si>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</si>
  <si>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</si>
  <si>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</si>
  <si>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</si>
  <si>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</si>
  <si>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</si>
  <si>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</si>
  <si>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</si>
  <si>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</si>
  <si>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</si>
  <si>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</si>
  <si>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</si>
  <si>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</si>
  <si>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</si>
  <si>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</si>
  <si>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</si>
  <si>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</si>
  <si>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</si>
  <si>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</si>
  <si>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</si>
  <si>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</si>
  <si>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</si>
  <si>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</si>
  <si>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</si>
  <si>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</si>
  <si>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</si>
  <si>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</si>
  <si>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</si>
  <si>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</si>
  <si>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</si>
  <si>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</si>
  <si>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</si>
  <si>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</si>
  <si>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</si>
  <si>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</si>
  <si>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</si>
  <si>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</si>
  <si>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</si>
  <si>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</si>
  <si>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</si>
  <si>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</si>
  <si>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</si>
  <si>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</si>
  <si>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</si>
  <si>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</si>
  <si>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</si>
  <si>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</si>
  <si>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</si>
  <si>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</si>
  <si>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</si>
  <si>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</si>
  <si>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</si>
  <si>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</si>
  <si>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</si>
  <si>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</si>
  <si>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</si>
  <si>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</si>
  <si>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</si>
  <si>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</si>
  <si>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</si>
  <si>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</si>
  <si>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</si>
  <si>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</si>
  <si>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</si>
  <si>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</si>
  <si>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</si>
  <si>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</si>
  <si>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</si>
  <si>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</si>
  <si>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</si>
  <si>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</si>
  <si>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</si>
  <si>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</si>
  <si>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</si>
  <si>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</si>
  <si>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</si>
  <si>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</si>
  <si>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</si>
  <si>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</si>
  <si>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</si>
  <si>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</si>
  <si>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</si>
  <si>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</si>
  <si>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</si>
  <si>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</si>
  <si>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</si>
  <si>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</si>
  <si>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</si>
  <si>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</si>
  <si>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</si>
  <si>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</si>
  <si>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</si>
  <si>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</si>
  <si>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</si>
  <si>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</si>
  <si>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</si>
  <si>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</si>
  <si>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</si>
  <si>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</si>
  <si>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</si>
  <si>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</si>
  <si>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</si>
  <si>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</si>
  <si>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</si>
  <si>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</si>
  <si>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</si>
  <si>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</si>
  <si>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</si>
  <si>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</si>
  <si>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</si>
  <si>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</si>
  <si>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</si>
  <si>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</si>
  <si>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</si>
  <si>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</si>
  <si>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</si>
  <si>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</si>
  <si>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</si>
  <si>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</si>
  <si>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</si>
  <si>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</si>
  <si>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</si>
  <si>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</si>
  <si>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</si>
  <si>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</si>
  <si>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</si>
  <si>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</si>
  <si>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</si>
  <si>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</si>
  <si>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</si>
  <si>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</si>
  <si>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</si>
  <si>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</si>
  <si>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</si>
  <si>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</si>
  <si>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</si>
  <si>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</si>
  <si>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</si>
  <si>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</si>
  <si>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</si>
  <si>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</si>
  <si>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</si>
  <si>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</si>
  <si>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</si>
  <si>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</si>
  <si>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</si>
  <si>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</si>
  <si>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</si>
  <si>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</si>
  <si>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</si>
  <si>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</si>
  <si>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</si>
  <si>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</si>
  <si>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</si>
  <si>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</si>
  <si>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</si>
  <si>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</si>
  <si>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</si>
  <si>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</si>
  <si>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</si>
  <si>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</si>
  <si>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</si>
  <si>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</si>
  <si>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</si>
  <si>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</si>
  <si>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</si>
  <si>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</si>
  <si>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</si>
  <si>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</si>
  <si>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</si>
  <si>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</si>
  <si>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</si>
  <si>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</si>
  <si>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</si>
  <si>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</si>
  <si>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</si>
  <si>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</si>
  <si>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</si>
  <si>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</si>
  <si>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</si>
  <si>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</si>
  <si>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</si>
  <si>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</si>
  <si>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</si>
  <si>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</si>
  <si>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</si>
  <si>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</si>
  <si>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</si>
  <si>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</si>
  <si>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</si>
  <si>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</si>
  <si>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</si>
  <si>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</si>
  <si>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</si>
  <si>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</si>
  <si>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</si>
  <si>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</si>
  <si>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</si>
  <si>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</si>
  <si>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</si>
  <si>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</si>
  <si>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</si>
  <si>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</si>
  <si>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</si>
  <si>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</si>
  <si>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</si>
  <si>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</si>
  <si>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</si>
  <si>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</si>
  <si>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</si>
  <si>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 6101 Series - Keyboard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</si>
  <si>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</si>
  <si>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</si>
  <si>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</si>
  <si>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</si>
  <si>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</si>
  <si>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</si>
  <si>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</si>
  <si>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</si>
  <si>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</si>
  <si>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</si>
  <si>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</si>
  <si>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</si>
  <si>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</si>
  <si>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</si>
  <si>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</si>
  <si>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</si>
  <si>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</si>
  <si>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</si>
  <si>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</si>
  <si>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</si>
  <si>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</si>
  <si>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</si>
  <si>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</si>
  <si>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</si>
  <si>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</si>
  <si>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</si>
  <si>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</si>
  <si>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</si>
  <si>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</si>
  <si>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</si>
  <si>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</si>
  <si>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</si>
  <si>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</si>
  <si>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</si>
  <si>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</si>
  <si>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</si>
  <si>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</si>
  <si>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</si>
  <si>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</si>
  <si>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</si>
  <si>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</si>
  <si>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</si>
  <si>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</si>
  <si>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</si>
  <si>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</si>
  <si>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</si>
  <si>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</si>
  <si>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</si>
  <si>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</si>
  <si>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</si>
  <si>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</si>
  <si>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</si>
  <si>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</si>
  <si>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</si>
  <si>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</si>
  <si>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</si>
  <si>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</si>
  <si>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</si>
  <si>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</si>
  <si>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</si>
  <si>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</si>
  <si>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</si>
  <si>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</si>
  <si>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</si>
  <si>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</si>
  <si>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</si>
  <si>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</si>
  <si>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</si>
  <si>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</si>
  <si>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</si>
  <si>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</si>
  <si>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</si>
  <si>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</si>
  <si>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</si>
  <si>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</si>
  <si>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</si>
  <si>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</si>
  <si>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</si>
  <si>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</si>
  <si>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</si>
  <si>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</si>
  <si>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</si>
  <si>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</si>
  <si>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</si>
  <si>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</si>
  <si>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</si>
  <si>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</si>
  <si>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</si>
  <si>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</si>
  <si>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</si>
  <si>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</si>
  <si>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</si>
  <si>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</si>
  <si>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</si>
  <si>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</si>
  <si>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</si>
  <si>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</si>
  <si>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</si>
  <si>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 Headset - headset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</si>
  <si>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</si>
  <si>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</si>
  <si>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</si>
  <si>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</si>
  <si>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</si>
  <si>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</si>
  <si>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</si>
  <si>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</si>
  <si>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</si>
  <si>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</si>
  <si>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</si>
  <si>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</si>
  <si>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</si>
  <si>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</si>
  <si>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</si>
  <si>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</si>
  <si>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</si>
  <si>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</si>
  <si>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</si>
  <si>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</si>
  <si>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</si>
  <si>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</si>
  <si>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</si>
  <si>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</si>
  <si>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</si>
  <si>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</si>
  <si>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</si>
  <si>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</si>
  <si>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</si>
  <si>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</si>
  <si>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</si>
  <si>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</si>
  <si>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</si>
  <si>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</si>
  <si>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</si>
  <si>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</si>
  <si>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</si>
  <si>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</si>
  <si>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</si>
  <si>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</si>
  <si>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</si>
  <si>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</si>
  <si>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</si>
  <si>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</si>
  <si>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</si>
  <si>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</si>
  <si>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</si>
  <si>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</si>
  <si>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</si>
  <si>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</si>
  <si>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</si>
  <si>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</si>
  <si>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</si>
  <si>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</si>
  <si>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</si>
  <si>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</si>
  <si>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</si>
  <si>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</si>
  <si>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</si>
  <si>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</si>
  <si>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</si>
  <si>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</si>
  <si>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</si>
  <si>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</si>
  <si>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</si>
  <si>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</si>
  <si>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</si>
  <si>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</si>
  <si>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</si>
  <si>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</si>
  <si>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</si>
  <si>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</si>
  <si>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</si>
  <si>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</si>
  <si>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</si>
  <si>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</si>
  <si>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</si>
  <si>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</si>
  <si>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</si>
  <si>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</si>
  <si>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</si>
  <si>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</si>
  <si>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</si>
  <si>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</si>
  <si>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</si>
  <si>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</si>
  <si>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</si>
  <si>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</si>
  <si>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</si>
  <si>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</si>
  <si>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</si>
  <si>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</si>
  <si>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</si>
  <si>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</si>
  <si>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</si>
  <si>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</si>
  <si>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</si>
  <si>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</si>
  <si>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</si>
  <si>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</si>
  <si>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</si>
  <si>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</si>
  <si>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</si>
  <si>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</si>
  <si>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</si>
  <si>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</si>
  <si>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</si>
  <si>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</si>
  <si>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</si>
  <si>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</si>
  <si>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</si>
  <si>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</si>
  <si>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</si>
  <si>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</si>
  <si>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</si>
  <si>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</si>
  <si>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</si>
  <si>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</si>
  <si>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</si>
  <si>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</si>
  <si>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</si>
  <si>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</si>
  <si>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</si>
  <si>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</si>
  <si>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</si>
  <si>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</si>
  <si>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</si>
  <si>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</si>
  <si>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</si>
  <si>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</si>
  <si>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</si>
  <si>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</si>
  <si>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</si>
  <si>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</si>
  <si>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</si>
  <si>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</si>
  <si>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</si>
  <si>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</si>
  <si>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</si>
  <si>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</si>
  <si>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</si>
  <si>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</si>
  <si>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</si>
  <si>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</si>
  <si>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</si>
  <si>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</si>
  <si>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</si>
  <si>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</si>
  <si>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</si>
  <si>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</si>
  <si>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</si>
  <si>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</si>
  <si>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</si>
  <si>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</si>
  <si>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</si>
  <si>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</si>
  <si>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</si>
  <si>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</si>
  <si>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</si>
  <si>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</si>
  <si>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</si>
  <si>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</si>
  <si>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</si>
  <si>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</si>
  <si>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</si>
  <si>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</si>
  <si>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</si>
  <si>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</si>
  <si>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</si>
  <si>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</si>
  <si>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</si>
  <si>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</si>
  <si>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</si>
  <si>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</si>
  <si>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</si>
  <si>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</si>
  <si>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</si>
  <si>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</si>
  <si>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</si>
  <si>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</si>
  <si>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</si>
  <si>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</si>
  <si>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</si>
  <si>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</si>
  <si>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</si>
  <si>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</si>
  <si>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</si>
  <si>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</si>
  <si>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</si>
  <si>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</si>
  <si>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</si>
  <si>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</si>
  <si>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</si>
  <si>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</si>
  <si>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</si>
  <si>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</si>
  <si>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</si>
  <si>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</si>
  <si>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</si>
  <si>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</si>
  <si>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</si>
  <si>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</si>
  <si>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</si>
  <si>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</si>
  <si>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</si>
  <si>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</si>
  <si>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</si>
  <si>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</si>
  <si>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</si>
  <si>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</si>
  <si>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</si>
  <si>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</si>
  <si>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</si>
  <si>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</si>
  <si>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</si>
  <si>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</si>
  <si>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</si>
  <si>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</si>
  <si>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</si>
  <si>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</si>
  <si>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</si>
  <si>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</si>
  <si>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</si>
  <si>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</si>
  <si>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</si>
  <si>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</si>
  <si>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</si>
  <si>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</si>
  <si>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</si>
  <si>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</si>
  <si>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</si>
  <si>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</si>
  <si>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</si>
  <si>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</si>
  <si>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</si>
  <si>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</si>
  <si>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</si>
  <si>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</si>
  <si>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</si>
  <si>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</si>
  <si>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</si>
  <si>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</si>
  <si>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</si>
  <si>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</si>
  <si>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</si>
  <si>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</si>
  <si>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</si>
  <si>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</si>
  <si>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</si>
  <si>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</si>
  <si>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</si>
  <si>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</si>
  <si>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</si>
  <si>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</si>
  <si>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</si>
  <si>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</si>
  <si>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</si>
  <si>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</si>
  <si>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</si>
  <si>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</si>
  <si>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</si>
  <si>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</si>
  <si>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</si>
  <si>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</si>
  <si>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</si>
  <si>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</si>
  <si>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</si>
  <si>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</si>
  <si>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</si>
  <si>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</si>
  <si>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</si>
  <si>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</si>
  <si>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</si>
  <si>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</si>
  <si>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</si>
  <si>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</si>
  <si>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</si>
  <si>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</si>
  <si>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</si>
  <si>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</si>
  <si>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</si>
  <si>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</si>
  <si>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</si>
  <si>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</si>
  <si>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</si>
  <si>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</si>
  <si>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</si>
  <si>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</si>
  <si>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</si>
  <si>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</si>
  <si>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</si>
  <si>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</si>
  <si>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</si>
  <si>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</si>
  <si>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</si>
  <si>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</si>
  <si>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</si>
  <si>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</si>
  <si>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</si>
  <si>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</si>
  <si>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</si>
  <si>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</si>
  <si>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</si>
  <si>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</si>
  <si>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</si>
  <si>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</si>
  <si>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</si>
  <si>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</si>
  <si>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</si>
  <si>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</si>
  <si>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</si>
  <si>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</si>
  <si>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</si>
  <si>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</si>
  <si>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</si>
  <si>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</si>
  <si>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</si>
  <si>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</si>
  <si>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</si>
  <si>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</si>
  <si>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</si>
  <si>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</si>
  <si>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</si>
  <si>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</si>
  <si>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</si>
  <si>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</si>
  <si>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</si>
  <si>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</si>
  <si>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</si>
  <si>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</si>
  <si>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</si>
  <si>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</si>
  <si>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</si>
  <si>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</si>
  <si>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</si>
  <si>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</si>
  <si>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</si>
  <si>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</si>
  <si>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</si>
  <si>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</si>
  <si>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</si>
  <si>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</si>
  <si>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</si>
  <si>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</si>
  <si>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</si>
  <si>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</si>
  <si>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</si>
  <si>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</si>
  <si>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</si>
  <si>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</si>
  <si>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</si>
  <si>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</si>
  <si>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</si>
  <si>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</si>
  <si>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</si>
  <si>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</si>
  <si>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</si>
  <si>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</si>
  <si>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</si>
  <si>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</si>
  <si>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</si>
  <si>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</si>
  <si>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</si>
  <si>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</si>
  <si>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</si>
  <si>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</si>
  <si>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</si>
  <si>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</si>
  <si>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</si>
  <si>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</si>
  <si>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</si>
  <si>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</si>
  <si>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</si>
  <si>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</si>
  <si>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</si>
  <si>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</si>
  <si>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</si>
  <si>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</si>
  <si>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</si>
  <si>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</si>
  <si>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</si>
  <si>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</si>
  <si>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</si>
  <si>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</si>
  <si>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</si>
  <si>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</si>
  <si>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</si>
  <si>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</si>
  <si>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</si>
  <si>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</si>
  <si>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</si>
  <si>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</si>
  <si>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</si>
  <si>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</si>
  <si>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</si>
  <si>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</si>
  <si>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</si>
  <si>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</si>
  <si>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</si>
  <si>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</si>
  <si>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</si>
  <si>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</si>
  <si>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</si>
  <si>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</si>
  <si>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</si>
  <si>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</si>
  <si>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</si>
  <si>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</si>
  <si>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</si>
  <si>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</si>
  <si>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</si>
  <si>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</si>
  <si>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</si>
  <si>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</si>
  <si>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</si>
  <si>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</si>
  <si>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</si>
  <si>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</si>
  <si>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</si>
  <si>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</si>
  <si>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</si>
  <si>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</si>
  <si>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</si>
  <si>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</si>
  <si>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</si>
  <si>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</si>
  <si>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</si>
  <si>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</si>
  <si>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</si>
  <si>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</si>
  <si>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</si>
  <si>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</si>
  <si>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</si>
  <si>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</si>
  <si>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</si>
  <si>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</si>
  <si>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</si>
  <si>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</si>
  <si>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</si>
  <si>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</si>
  <si>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</si>
  <si>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</si>
  <si>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</si>
  <si>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</si>
  <si>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</si>
  <si>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</si>
  <si>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</si>
  <si>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</si>
  <si>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</si>
  <si>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</si>
  <si>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</si>
  <si>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</si>
  <si>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</si>
  <si>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</si>
  <si>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</si>
  <si>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</si>
  <si>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</si>
  <si>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</si>
  <si>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</si>
  <si>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</si>
  <si>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</si>
  <si>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</si>
  <si>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</si>
  <si>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</si>
  <si>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</si>
  <si>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</si>
  <si>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</si>
  <si>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</si>
  <si>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</si>
  <si>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</si>
  <si>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</si>
  <si>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</si>
  <si>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</si>
  <si>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</si>
  <si>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</si>
  <si>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</si>
  <si>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</si>
  <si>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</si>
  <si>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</si>
  <si>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</si>
  <si>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</si>
  <si>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</si>
  <si>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</si>
  <si>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</si>
  <si>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</si>
  <si>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</si>
  <si>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</si>
  <si>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</si>
  <si>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</si>
  <si>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</si>
  <si>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</si>
  <si>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</si>
  <si>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</si>
  <si>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</si>
  <si>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</si>
  <si>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</si>
  <si>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</si>
  <si>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</si>
  <si>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</si>
  <si>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</si>
  <si>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</si>
  <si>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</si>
  <si>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</si>
  <si>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</si>
  <si>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</si>
  <si>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</si>
  <si>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</si>
  <si>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</si>
  <si>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</si>
  <si>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</si>
  <si>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</si>
  <si>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</si>
  <si>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</si>
  <si>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</si>
  <si>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</si>
  <si>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</si>
  <si>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</si>
  <si>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</si>
  <si>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</si>
  <si>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</si>
  <si>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</si>
  <si>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</si>
  <si>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</si>
  <si>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</si>
  <si>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</si>
  <si>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</si>
  <si>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</si>
  <si>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</si>
  <si>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</si>
  <si>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</si>
  <si>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</si>
  <si>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</si>
  <si>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</si>
  <si>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</si>
  <si>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</si>
  <si>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</si>
  <si>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</si>
  <si>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</si>
  <si>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</si>
  <si>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</si>
  <si>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</si>
  <si>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</si>
  <si>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</si>
  <si>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</si>
  <si>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</si>
  <si>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</si>
  <si>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</si>
  <si>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</si>
  <si>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</si>
  <si>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</si>
  <si>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</si>
  <si>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</si>
  <si>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</si>
  <si>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</si>
  <si>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</si>
  <si>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</si>
  <si>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</si>
  <si>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</si>
  <si>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</si>
  <si>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</si>
  <si>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</si>
  <si>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</si>
  <si>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</si>
  <si>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</si>
  <si>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</si>
  <si>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</si>
  <si>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</si>
  <si>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</si>
  <si>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</si>
  <si>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</si>
  <si>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</si>
  <si>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</si>
  <si>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</si>
  <si>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</si>
  <si>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</si>
  <si>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</si>
  <si>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</si>
  <si>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</si>
  <si>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</si>
  <si>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</si>
  <si>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</si>
  <si>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</si>
  <si>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</si>
  <si>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</si>
  <si>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</si>
  <si>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</si>
  <si>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</si>
  <si>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</si>
  <si>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</si>
  <si>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</si>
  <si>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</si>
  <si>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</si>
  <si>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</si>
  <si>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</si>
  <si>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</si>
  <si>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</si>
  <si>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</si>
  <si>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</si>
  <si>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</si>
  <si>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</si>
  <si>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</si>
  <si>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</si>
  <si>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</si>
  <si>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</si>
  <si>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</si>
  <si>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</si>
  <si>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</si>
  <si>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</si>
  <si>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</si>
  <si>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</si>
  <si>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</si>
  <si>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</si>
  <si>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</si>
  <si>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</si>
  <si>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</si>
  <si>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</si>
  <si>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</si>
  <si>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</si>
  <si>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</si>
  <si>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</si>
  <si>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</si>
  <si>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</si>
  <si>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</si>
  <si>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</si>
  <si>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</si>
  <si>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</si>
  <si>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</si>
  <si>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</si>
  <si>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</si>
  <si>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</si>
  <si>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</si>
  <si>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</si>
  <si>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</si>
  <si>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</si>
  <si>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</si>
  <si>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</si>
  <si>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</si>
  <si>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</si>
  <si>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</si>
  <si>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</si>
  <si>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</si>
  <si>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</si>
  <si>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</si>
  <si>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</si>
  <si>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</si>
  <si>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</si>
  <si>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</si>
  <si>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</si>
  <si>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</si>
  <si>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</si>
  <si>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</si>
  <si>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</si>
  <si>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</si>
  <si>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</si>
  <si>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</si>
  <si>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</si>
  <si>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</si>
  <si>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</si>
  <si>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</si>
  <si>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</si>
  <si>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</si>
  <si>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</si>
  <si>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</si>
  <si>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</si>
  <si>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</si>
  <si>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</si>
  <si>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</si>
  <si>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</si>
  <si>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</si>
  <si>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</si>
  <si>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</si>
  <si>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</si>
  <si>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</si>
  <si>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</si>
  <si>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</si>
  <si>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</si>
  <si>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</si>
  <si>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</si>
  <si>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</si>
  <si>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</si>
  <si>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</si>
  <si>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</si>
  <si>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</si>
  <si>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</si>
  <si>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</si>
  <si>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</si>
  <si>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</si>
  <si>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</si>
  <si>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</si>
  <si>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</si>
  <si>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</si>
  <si>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</si>
  <si>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</si>
  <si>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</si>
  <si>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</si>
  <si>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</si>
  <si>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</si>
  <si>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</si>
  <si>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</si>
  <si>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</si>
  <si>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</si>
  <si>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</si>
  <si>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</si>
  <si>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</si>
  <si>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</si>
  <si>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</si>
  <si>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</si>
  <si>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</si>
  <si>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</si>
  <si>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</si>
  <si>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</si>
  <si>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</si>
  <si>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</si>
  <si>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</si>
  <si>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</si>
  <si>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</si>
  <si>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</si>
  <si>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</si>
  <si>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</si>
  <si>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</si>
  <si>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</si>
  <si>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</si>
  <si>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</si>
  <si>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</si>
  <si>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</si>
  <si>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</si>
  <si>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</si>
  <si>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</si>
  <si>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</si>
  <si>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</si>
  <si>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</si>
  <si>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</si>
  <si>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</si>
  <si>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</si>
  <si>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</si>
  <si>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</si>
  <si>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</si>
  <si>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</si>
  <si>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</si>
  <si>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</si>
  <si>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</si>
  <si>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</si>
  <si>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</si>
  <si>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</si>
  <si>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</si>
  <si>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</si>
  <si>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</si>
  <si>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</si>
  <si>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</si>
  <si>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</si>
  <si>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</si>
  <si>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</si>
  <si>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</si>
  <si>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</si>
  <si>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</si>
  <si>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</si>
  <si>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</si>
  <si>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</si>
  <si>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</si>
  <si>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</si>
  <si>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</si>
  <si>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</si>
  <si>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</si>
  <si>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</si>
  <si>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</si>
  <si>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</si>
  <si>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</si>
  <si>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</si>
  <si>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</si>
  <si>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</si>
  <si>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</si>
  <si>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</si>
  <si>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</si>
  <si>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</si>
  <si>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</si>
  <si>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</si>
  <si>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</si>
  <si>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</si>
  <si>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</si>
  <si>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</si>
  <si>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</si>
  <si>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</si>
  <si>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</si>
  <si>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</si>
  <si>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REGION WISE SALES ANALYSIS</t>
  </si>
  <si>
    <t>REGION</t>
  </si>
  <si>
    <t>TOTAL SALES</t>
  </si>
  <si>
    <t>CATEGORY WISE SALES AND PROFIT ANALYSIS</t>
  </si>
  <si>
    <t>CATEGORY</t>
  </si>
  <si>
    <t>TOTAL PROFIT</t>
  </si>
  <si>
    <t>SUB-CATEGORY WISE SALES AND PROFIT ANALYSIS</t>
  </si>
  <si>
    <t>SUB-CATEGORY</t>
  </si>
  <si>
    <t>CATEGORY VS SUB-CATEGORY WISE SALES AND PROFIT ANALYSIS</t>
  </si>
  <si>
    <t>CATEGORY VS SUB-CATEGORY</t>
  </si>
  <si>
    <t>SEGMENT WISE SALES , PROFIT AND DISCOUNT ANALYSIS</t>
  </si>
  <si>
    <t>SEGMENT</t>
  </si>
  <si>
    <t>TOTAL DISCOUNT</t>
  </si>
  <si>
    <t>COUNTRY WISE SALES AND PROFIT ANALYSIS</t>
  </si>
  <si>
    <t>COUNTRY</t>
  </si>
  <si>
    <t>STATE WISE SALES AND PROFIT ANALYSIS</t>
  </si>
  <si>
    <t>STATE</t>
  </si>
  <si>
    <t>PRODUCT WISE ANALYSIS</t>
  </si>
  <si>
    <t>TOP 10 PRODUCT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</si>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</sst>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MS Sans Serif"/>
    </font>
    <font>
      <sz val="12"/>
      <name val="Times New Roman"/>
      <family val="1"/>
    </font>
    <font>
      <sz val="12"/>
      <color rgb="FF444444"/>
      <name val="Times New Roman"/>
      <family val="1"/>
    </font>
    <font>
      <sz val="12"/>
      <color rgb="FF202124"/>
      <name val="Times New Roman"/>
      <family val="1"/>
    </font>
    <font>
      <b/>
      <sz val="12"/>
      <color theme="1"/>
      <name val="Times New Roman"/>
      <family val="1"/>
    </font>
    <font>
      <sz val="12"/>
      <color theme="1"/>
      <name val="Times New Roman"/>
      <family val="1"/>
    </font>
    <font>
      <sz val="14"/>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2" fillId="0" borderId="0" xfId="1" quotePrefix="1" applyFont="1" applyAlignment="1">
      <alignment horizontal="center" vertical="center"/>
    </xf>
    <xf numFmtId="0" fontId="3" fillId="0" borderId="0" xfId="1" applyFont="1" applyAlignment="1">
      <alignment horizontal="center" vertical="center"/>
    </xf>
    <xf numFmtId="14" fontId="3" fillId="0" borderId="0" xfId="1" applyNumberFormat="1" applyFont="1" applyAlignment="1">
      <alignment horizontal="center" vertical="center"/>
    </xf>
    <xf numFmtId="0" fontId="2" fillId="0" borderId="0" xfId="1" applyFont="1" applyAlignment="1">
      <alignment horizontal="center" vertical="center"/>
    </xf>
    <xf numFmtId="0" fontId="4" fillId="0" borderId="0" xfId="1" applyFont="1" applyAlignment="1">
      <alignment horizontal="center" vertical="center"/>
    </xf>
    <xf numFmtId="0" fontId="2" fillId="0" borderId="0" xfId="1" applyFont="1" applyAlignment="1">
      <alignment horizontal="center" vertical="center" wrapText="1"/>
    </xf>
    <xf numFmtId="0" fontId="6" fillId="0" borderId="0" xfId="0" applyFont="1"/>
    <xf numFmtId="0" fontId="6" fillId="0" borderId="0" xfId="0" applyFont="1" applyAlignment="1">
      <alignment horizontal="left"/>
    </xf>
    <xf numFmtId="0" fontId="6" fillId="0" borderId="0" xfId="0" pivotButton="1" applyFon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0" fillId="0" borderId="0" xfId="0" applyNumberFormat="1"/>
  </cellXfs>
  <cellStyles count="2">
    <cellStyle name="Normal" xfId="0" builtinId="0"/>
    <cellStyle name="Normal 2" xfId="1" xr:uid="{C3FDF360-BA60-4251-BC64-CE55A72128A2}"/>
  </cellStyles>
  <dxfs count="12">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colors>
    <mruColors>
      <color rgb="FFDB41DB"/>
      <color rgb="FF2BE54A"/>
      <color rgb="FF30E052"/>
      <color rgb="FFB16BA2"/>
      <color rgb="FFC557A0"/>
      <color rgb="FF483BED"/>
      <color rgb="FFFF9999"/>
      <color rgb="FF49EDE9"/>
      <color rgb="FFFF3B81"/>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solidFill>
              <a:schemeClr val="bg1"/>
            </a:solidFill>
          </a:ln>
          <a:effectLst/>
        </c:spPr>
      </c:pivotFmt>
      <c:pivotFmt>
        <c:idx val="5"/>
        <c:spPr>
          <a:solidFill>
            <a:schemeClr val="accent2"/>
          </a:solidFill>
          <a:ln>
            <a:solidFill>
              <a:schemeClr val="bg1"/>
            </a:solidFill>
          </a:ln>
          <a:effectLst/>
        </c:spPr>
      </c:pivotFmt>
    </c:pivotFmts>
    <c:plotArea>
      <c:layout/>
      <c:barChart>
        <c:barDir val="col"/>
        <c:grouping val="clustered"/>
        <c:varyColors val="0"/>
        <c:ser>
          <c:idx val="0"/>
          <c:order val="0"/>
          <c:tx>
            <c:strRef>
              <c:f>REGION!$M$4</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solidFill>
                  <a:schemeClr val="bg1"/>
                </a:solidFill>
              </a:ln>
              <a:effectLst/>
            </c:spPr>
            <c:extLst>
              <c:ext xmlns:c16="http://schemas.microsoft.com/office/drawing/2014/chart" uri="{C3380CC4-5D6E-409C-BE32-E72D297353CC}">
                <c16:uniqueId val="{00000005-5B28-48D3-A02E-37594851CEE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5B28-48D3-A02E-37594851CEE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5B28-48D3-A02E-37594851CEE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5B28-48D3-A02E-37594851CE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REGION!$L$5:$L$8</c:f>
              <c:strCache>
                <c:ptCount val="4"/>
                <c:pt idx="0">
                  <c:v>Central</c:v>
                </c:pt>
                <c:pt idx="1">
                  <c:v>East</c:v>
                </c:pt>
                <c:pt idx="2">
                  <c:v>South</c:v>
                </c:pt>
                <c:pt idx="3">
                  <c:v>West</c:v>
                </c:pt>
              </c:strCache>
            </c:strRef>
          </c:cat>
          <c:val>
            <c:numRef>
              <c:f>REGION!$M$5:$M$8</c:f>
              <c:numCache>
                <c:formatCode>General</c:formatCode>
                <c:ptCount val="4"/>
                <c:pt idx="0">
                  <c:v>35805.335600000006</c:v>
                </c:pt>
                <c:pt idx="1">
                  <c:v>39432.862999999983</c:v>
                </c:pt>
                <c:pt idx="2">
                  <c:v>75672.028500000059</c:v>
                </c:pt>
                <c:pt idx="3">
                  <c:v>77770.997999999992</c:v>
                </c:pt>
              </c:numCache>
            </c:numRef>
          </c:val>
          <c:extLst>
            <c:ext xmlns:c16="http://schemas.microsoft.com/office/drawing/2014/chart" uri="{C3380CC4-5D6E-409C-BE32-E72D297353CC}">
              <c16:uniqueId val="{00000000-5B28-48D3-A02E-37594851CEE1}"/>
            </c:ext>
          </c:extLst>
        </c:ser>
        <c:dLbls>
          <c:dLblPos val="outEnd"/>
          <c:showLegendKey val="0"/>
          <c:showVal val="1"/>
          <c:showCatName val="0"/>
          <c:showSerName val="0"/>
          <c:showPercent val="0"/>
          <c:showBubbleSize val="0"/>
        </c:dLbls>
        <c:gapWidth val="219"/>
        <c:overlap val="-27"/>
        <c:axId val="742777103"/>
        <c:axId val="491508463"/>
      </c:barChart>
      <c:catAx>
        <c:axId val="7427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08463"/>
        <c:crosses val="autoZero"/>
        <c:auto val="1"/>
        <c:lblAlgn val="ctr"/>
        <c:lblOffset val="100"/>
        <c:noMultiLvlLbl val="0"/>
      </c:catAx>
      <c:valAx>
        <c:axId val="491508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.xlsx]PRODUCT !PivotTable1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'!$K$3</c:f>
              <c:strCache>
                <c:ptCount val="1"/>
                <c:pt idx="0">
                  <c:v>TOTAL SALES</c:v>
                </c:pt>
              </c:strCache>
            </c:strRef>
          </c:tx>
          <c:spPr>
            <a:solidFill>
              <a:schemeClr val="accent1"/>
            </a:solidFill>
            <a:ln>
              <a:noFill/>
            </a:ln>
            <a:effectLst/>
          </c:spPr>
          <c:invertIfNegative val="0"/>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'!$K$4:$K$13</c:f>
              <c:numCache>
                <c:formatCode>General</c:formatCode>
                <c:ptCount val="10"/>
                <c:pt idx="0">
                  <c:v>2914.7309999999998</c:v>
                </c:pt>
                <c:pt idx="1">
                  <c:v>22638.48</c:v>
                </c:pt>
                <c:pt idx="2">
                  <c:v>2735.3700000000003</c:v>
                </c:pt>
                <c:pt idx="3">
                  <c:v>5443.9599999999991</c:v>
                </c:pt>
                <c:pt idx="4">
                  <c:v>2792.8040000000001</c:v>
                </c:pt>
                <c:pt idx="5">
                  <c:v>5948.3880000000008</c:v>
                </c:pt>
                <c:pt idx="6">
                  <c:v>8187.65</c:v>
                </c:pt>
                <c:pt idx="7">
                  <c:v>4164.0499999999993</c:v>
                </c:pt>
                <c:pt idx="8">
                  <c:v>3499.9300000000003</c:v>
                </c:pt>
                <c:pt idx="9">
                  <c:v>3818.4480000000003</c:v>
                </c:pt>
              </c:numCache>
            </c:numRef>
          </c:val>
          <c:extLst>
            <c:ext xmlns:c16="http://schemas.microsoft.com/office/drawing/2014/chart" uri="{C3380CC4-5D6E-409C-BE32-E72D297353CC}">
              <c16:uniqueId val="{00000000-FDBA-4023-9871-69C00D91D8CC}"/>
            </c:ext>
          </c:extLst>
        </c:ser>
        <c:ser>
          <c:idx val="1"/>
          <c:order val="1"/>
          <c:tx>
            <c:strRef>
              <c:f>'PRODUCT '!$L$3</c:f>
              <c:strCache>
                <c:ptCount val="1"/>
                <c:pt idx="0">
                  <c:v>TOTAL PROFIT</c:v>
                </c:pt>
              </c:strCache>
            </c:strRef>
          </c:tx>
          <c:spPr>
            <a:solidFill>
              <a:schemeClr val="accent2"/>
            </a:solidFill>
            <a:ln>
              <a:noFill/>
            </a:ln>
            <a:effectLst/>
          </c:spPr>
          <c:invertIfNegative val="0"/>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'!$L$4:$L$13</c:f>
              <c:numCache>
                <c:formatCode>General</c:formatCode>
                <c:ptCount val="10"/>
                <c:pt idx="0">
                  <c:v>-327.01860000000039</c:v>
                </c:pt>
                <c:pt idx="1">
                  <c:v>-1811.0784000000021</c:v>
                </c:pt>
                <c:pt idx="2">
                  <c:v>1285.8171</c:v>
                </c:pt>
                <c:pt idx="3">
                  <c:v>-2640.3206000000018</c:v>
                </c:pt>
                <c:pt idx="4">
                  <c:v>441.71900000000005</c:v>
                </c:pt>
                <c:pt idx="5">
                  <c:v>1481.3735999999994</c:v>
                </c:pt>
                <c:pt idx="6">
                  <c:v>327.50599999999963</c:v>
                </c:pt>
                <c:pt idx="7">
                  <c:v>83.281000000000063</c:v>
                </c:pt>
                <c:pt idx="8">
                  <c:v>909.98180000000025</c:v>
                </c:pt>
                <c:pt idx="9">
                  <c:v>556.85699999999974</c:v>
                </c:pt>
              </c:numCache>
            </c:numRef>
          </c:val>
          <c:extLst>
            <c:ext xmlns:c16="http://schemas.microsoft.com/office/drawing/2014/chart" uri="{C3380CC4-5D6E-409C-BE32-E72D297353CC}">
              <c16:uniqueId val="{00000001-FDBA-4023-9871-69C00D91D8CC}"/>
            </c:ext>
          </c:extLst>
        </c:ser>
        <c:dLbls>
          <c:showLegendKey val="0"/>
          <c:showVal val="0"/>
          <c:showCatName val="0"/>
          <c:showSerName val="0"/>
          <c:showPercent val="0"/>
          <c:showBubbleSize val="0"/>
        </c:dLbls>
        <c:gapWidth val="219"/>
        <c:overlap val="-27"/>
        <c:axId val="1363656480"/>
        <c:axId val="1219868144"/>
      </c:barChart>
      <c:lineChart>
        <c:grouping val="stacked"/>
        <c:varyColors val="0"/>
        <c:ser>
          <c:idx val="2"/>
          <c:order val="2"/>
          <c:tx>
            <c:strRef>
              <c:f>'PRODUCT '!$M$3</c:f>
              <c:strCache>
                <c:ptCount val="1"/>
                <c:pt idx="0">
                  <c:v>TOTAL QUANTITY</c:v>
                </c:pt>
              </c:strCache>
            </c:strRef>
          </c:tx>
          <c:spPr>
            <a:ln w="28575" cap="rnd">
              <a:solidFill>
                <a:schemeClr val="accent3"/>
              </a:solidFill>
              <a:round/>
            </a:ln>
            <a:effectLst/>
          </c:spPr>
          <c:marker>
            <c:symbol val="none"/>
          </c:marker>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'!$M$4:$M$13</c:f>
              <c:numCache>
                <c:formatCode>General</c:formatCode>
                <c:ptCount val="10"/>
                <c:pt idx="0">
                  <c:v>18</c:v>
                </c:pt>
                <c:pt idx="1">
                  <c:v>6</c:v>
                </c:pt>
                <c:pt idx="2">
                  <c:v>10</c:v>
                </c:pt>
                <c:pt idx="3">
                  <c:v>11</c:v>
                </c:pt>
                <c:pt idx="4">
                  <c:v>11</c:v>
                </c:pt>
                <c:pt idx="5">
                  <c:v>22</c:v>
                </c:pt>
                <c:pt idx="6">
                  <c:v>5</c:v>
                </c:pt>
                <c:pt idx="7">
                  <c:v>5</c:v>
                </c:pt>
                <c:pt idx="8">
                  <c:v>7</c:v>
                </c:pt>
                <c:pt idx="9">
                  <c:v>15</c:v>
                </c:pt>
              </c:numCache>
            </c:numRef>
          </c:val>
          <c:smooth val="0"/>
          <c:extLst>
            <c:ext xmlns:c16="http://schemas.microsoft.com/office/drawing/2014/chart" uri="{C3380CC4-5D6E-409C-BE32-E72D297353CC}">
              <c16:uniqueId val="{00000002-FDBA-4023-9871-69C00D91D8CC}"/>
            </c:ext>
          </c:extLst>
        </c:ser>
        <c:ser>
          <c:idx val="3"/>
          <c:order val="3"/>
          <c:tx>
            <c:strRef>
              <c:f>'PRODUCT '!$N$3</c:f>
              <c:strCache>
                <c:ptCount val="1"/>
                <c:pt idx="0">
                  <c:v>TOTAL DISCOUNT</c:v>
                </c:pt>
              </c:strCache>
            </c:strRef>
          </c:tx>
          <c:spPr>
            <a:ln w="28575" cap="rnd">
              <a:solidFill>
                <a:schemeClr val="accent4"/>
              </a:solidFill>
              <a:round/>
            </a:ln>
            <a:effectLst/>
          </c:spPr>
          <c:marker>
            <c:symbol val="none"/>
          </c:marker>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'!$N$4:$N$13</c:f>
              <c:numCache>
                <c:formatCode>General</c:formatCode>
                <c:ptCount val="10"/>
                <c:pt idx="0">
                  <c:v>1.1000000000000001</c:v>
                </c:pt>
                <c:pt idx="1">
                  <c:v>0.5</c:v>
                </c:pt>
                <c:pt idx="2">
                  <c:v>0</c:v>
                </c:pt>
                <c:pt idx="3">
                  <c:v>1</c:v>
                </c:pt>
                <c:pt idx="4">
                  <c:v>0.3</c:v>
                </c:pt>
                <c:pt idx="5">
                  <c:v>0.4</c:v>
                </c:pt>
                <c:pt idx="6">
                  <c:v>0</c:v>
                </c:pt>
                <c:pt idx="7">
                  <c:v>0</c:v>
                </c:pt>
                <c:pt idx="8">
                  <c:v>0</c:v>
                </c:pt>
                <c:pt idx="9">
                  <c:v>0.2</c:v>
                </c:pt>
              </c:numCache>
            </c:numRef>
          </c:val>
          <c:smooth val="0"/>
          <c:extLst>
            <c:ext xmlns:c16="http://schemas.microsoft.com/office/drawing/2014/chart" uri="{C3380CC4-5D6E-409C-BE32-E72D297353CC}">
              <c16:uniqueId val="{00000003-FDBA-4023-9871-69C00D91D8CC}"/>
            </c:ext>
          </c:extLst>
        </c:ser>
        <c:dLbls>
          <c:showLegendKey val="0"/>
          <c:showVal val="0"/>
          <c:showCatName val="0"/>
          <c:showSerName val="0"/>
          <c:showPercent val="0"/>
          <c:showBubbleSize val="0"/>
        </c:dLbls>
        <c:marker val="1"/>
        <c:smooth val="0"/>
        <c:axId val="1363634672"/>
        <c:axId val="1219865744"/>
      </c:lineChart>
      <c:catAx>
        <c:axId val="13636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68144"/>
        <c:crosses val="autoZero"/>
        <c:auto val="1"/>
        <c:lblAlgn val="ctr"/>
        <c:lblOffset val="100"/>
        <c:noMultiLvlLbl val="0"/>
      </c:catAx>
      <c:valAx>
        <c:axId val="12198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656480"/>
        <c:crosses val="autoZero"/>
        <c:crossBetween val="between"/>
      </c:valAx>
      <c:valAx>
        <c:axId val="1219865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634672"/>
        <c:crosses val="max"/>
        <c:crossBetween val="between"/>
      </c:valAx>
      <c:catAx>
        <c:axId val="1363634672"/>
        <c:scaling>
          <c:orientation val="minMax"/>
        </c:scaling>
        <c:delete val="1"/>
        <c:axPos val="b"/>
        <c:numFmt formatCode="General" sourceLinked="1"/>
        <c:majorTickMark val="out"/>
        <c:minorTickMark val="none"/>
        <c:tickLblPos val="nextTo"/>
        <c:crossAx val="1219865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.xlsx]CATEGORY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AND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'!$K$3</c:f>
              <c:strCache>
                <c:ptCount val="1"/>
                <c:pt idx="0">
                  <c:v>TOTAL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'!$J$4</c:f>
              <c:strCache>
                <c:ptCount val="1"/>
                <c:pt idx="0">
                  <c:v>Furniture</c:v>
                </c:pt>
              </c:strCache>
            </c:strRef>
          </c:cat>
          <c:val>
            <c:numRef>
              <c:f>'CATEGORY '!$K$4</c:f>
              <c:numCache>
                <c:formatCode>General</c:formatCode>
                <c:ptCount val="1"/>
                <c:pt idx="0">
                  <c:v>1974.7086999999995</c:v>
                </c:pt>
              </c:numCache>
            </c:numRef>
          </c:val>
          <c:extLst>
            <c:ext xmlns:c16="http://schemas.microsoft.com/office/drawing/2014/chart" uri="{C3380CC4-5D6E-409C-BE32-E72D297353CC}">
              <c16:uniqueId val="{00000000-66FE-4134-A06B-C866C81B0F1F}"/>
            </c:ext>
          </c:extLst>
        </c:ser>
        <c:ser>
          <c:idx val="1"/>
          <c:order val="1"/>
          <c:tx>
            <c:strRef>
              <c:f>'CATEGORY '!$L$3</c:f>
              <c:strCache>
                <c:ptCount val="1"/>
                <c:pt idx="0">
                  <c:v>TOTAL SALES</c:v>
                </c:pt>
              </c:strCache>
            </c:strRef>
          </c:tx>
          <c:spPr>
            <a:solidFill>
              <a:srgbClr val="CC0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'!$J$4</c:f>
              <c:strCache>
                <c:ptCount val="1"/>
                <c:pt idx="0">
                  <c:v>Furniture</c:v>
                </c:pt>
              </c:strCache>
            </c:strRef>
          </c:cat>
          <c:val>
            <c:numRef>
              <c:f>'CATEGORY '!$L$4</c:f>
              <c:numCache>
                <c:formatCode>General</c:formatCode>
                <c:ptCount val="1"/>
                <c:pt idx="0">
                  <c:v>71831.896099999984</c:v>
                </c:pt>
              </c:numCache>
            </c:numRef>
          </c:val>
          <c:extLst>
            <c:ext xmlns:c16="http://schemas.microsoft.com/office/drawing/2014/chart" uri="{C3380CC4-5D6E-409C-BE32-E72D297353CC}">
              <c16:uniqueId val="{00000001-66FE-4134-A06B-C866C81B0F1F}"/>
            </c:ext>
          </c:extLst>
        </c:ser>
        <c:dLbls>
          <c:dLblPos val="outEnd"/>
          <c:showLegendKey val="0"/>
          <c:showVal val="1"/>
          <c:showCatName val="0"/>
          <c:showSerName val="0"/>
          <c:showPercent val="0"/>
          <c:showBubbleSize val="0"/>
        </c:dLbls>
        <c:gapWidth val="219"/>
        <c:overlap val="-27"/>
        <c:axId val="763630575"/>
        <c:axId val="491476303"/>
      </c:barChart>
      <c:catAx>
        <c:axId val="76363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76303"/>
        <c:crosses val="autoZero"/>
        <c:auto val="1"/>
        <c:lblAlgn val="ctr"/>
        <c:lblOffset val="100"/>
        <c:noMultiLvlLbl val="0"/>
      </c:catAx>
      <c:valAx>
        <c:axId val="491476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AND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3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.xlsx]SUB CATEGORY!PivotTable4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doughnutChart>
        <c:varyColors val="1"/>
        <c:ser>
          <c:idx val="0"/>
          <c:order val="0"/>
          <c:tx>
            <c:strRef>
              <c:f>'SUB CATEGORY'!$K$3</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61-47AE-892E-6D86D3E6E0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61-47AE-892E-6D86D3E6E0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61-47AE-892E-6D86D3E6E0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61-47AE-892E-6D86D3E6E0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61-47AE-892E-6D86D3E6E0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61-47AE-892E-6D86D3E6E0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61-47AE-892E-6D86D3E6E0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61-47AE-892E-6D86D3E6E0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461-47AE-892E-6D86D3E6E0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461-47AE-892E-6D86D3E6E0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461-47AE-892E-6D86D3E6E0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461-47AE-892E-6D86D3E6E0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461-47AE-892E-6D86D3E6E0B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461-47AE-892E-6D86D3E6E0B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461-47AE-892E-6D86D3E6E0B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461-47AE-892E-6D86D3E6E0B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461-47AE-892E-6D86D3E6E0B4}"/>
              </c:ext>
            </c:extLst>
          </c:dPt>
          <c:cat>
            <c:strRef>
              <c:f>'SUB CATEGORY'!$J$4:$J$20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CATEGORY'!$K$4:$K$20</c:f>
              <c:numCache>
                <c:formatCode>General</c:formatCode>
                <c:ptCount val="17"/>
                <c:pt idx="0">
                  <c:v>12569.76</c:v>
                </c:pt>
                <c:pt idx="1">
                  <c:v>7190.0769999999993</c:v>
                </c:pt>
                <c:pt idx="2">
                  <c:v>2768.1119999999983</c:v>
                </c:pt>
                <c:pt idx="3">
                  <c:v>20457.864999999983</c:v>
                </c:pt>
                <c:pt idx="4">
                  <c:v>6707.1535999999996</c:v>
                </c:pt>
                <c:pt idx="5">
                  <c:v>34693.988000000005</c:v>
                </c:pt>
                <c:pt idx="6">
                  <c:v>5309.8880000000008</c:v>
                </c:pt>
                <c:pt idx="7">
                  <c:v>1605.8619999999999</c:v>
                </c:pt>
                <c:pt idx="8">
                  <c:v>367.42000000000007</c:v>
                </c:pt>
                <c:pt idx="9">
                  <c:v>6152.85</c:v>
                </c:pt>
                <c:pt idx="10">
                  <c:v>1235.5360000000001</c:v>
                </c:pt>
                <c:pt idx="11">
                  <c:v>26637.587000000003</c:v>
                </c:pt>
                <c:pt idx="12">
                  <c:v>7107.1459999999988</c:v>
                </c:pt>
                <c:pt idx="13">
                  <c:v>38100.507999999994</c:v>
                </c:pt>
                <c:pt idx="14">
                  <c:v>20559.251999999997</c:v>
                </c:pt>
                <c:pt idx="15">
                  <c:v>12940.315999999995</c:v>
                </c:pt>
                <c:pt idx="16">
                  <c:v>24277.904500000001</c:v>
                </c:pt>
              </c:numCache>
            </c:numRef>
          </c:val>
          <c:extLst>
            <c:ext xmlns:c16="http://schemas.microsoft.com/office/drawing/2014/chart" uri="{C3380CC4-5D6E-409C-BE32-E72D297353CC}">
              <c16:uniqueId val="{00000000-E509-488D-B3DA-ED784ACB15C4}"/>
            </c:ext>
          </c:extLst>
        </c:ser>
        <c:ser>
          <c:idx val="1"/>
          <c:order val="1"/>
          <c:tx>
            <c:strRef>
              <c:f>'SUB CATEGORY'!$L$3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B461-47AE-892E-6D86D3E6E0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B461-47AE-892E-6D86D3E6E0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B461-47AE-892E-6D86D3E6E0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B461-47AE-892E-6D86D3E6E0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B461-47AE-892E-6D86D3E6E0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B461-47AE-892E-6D86D3E6E0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B461-47AE-892E-6D86D3E6E0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1-B461-47AE-892E-6D86D3E6E0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3-B461-47AE-892E-6D86D3E6E0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5-B461-47AE-892E-6D86D3E6E0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7-B461-47AE-892E-6D86D3E6E0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9-B461-47AE-892E-6D86D3E6E0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B461-47AE-892E-6D86D3E6E0B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B461-47AE-892E-6D86D3E6E0B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B461-47AE-892E-6D86D3E6E0B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1-B461-47AE-892E-6D86D3E6E0B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3-B461-47AE-892E-6D86D3E6E0B4}"/>
              </c:ext>
            </c:extLst>
          </c:dPt>
          <c:cat>
            <c:strRef>
              <c:f>'SUB CATEGORY'!$J$4:$J$20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CATEGORY'!$L$4:$L$20</c:f>
              <c:numCache>
                <c:formatCode>General</c:formatCode>
                <c:ptCount val="17"/>
                <c:pt idx="0">
                  <c:v>3336.7113999999979</c:v>
                </c:pt>
                <c:pt idx="1">
                  <c:v>1307.9733000000001</c:v>
                </c:pt>
                <c:pt idx="2">
                  <c:v>718.51920000000018</c:v>
                </c:pt>
                <c:pt idx="3">
                  <c:v>434.032999999997</c:v>
                </c:pt>
                <c:pt idx="4">
                  <c:v>-250.70770000000005</c:v>
                </c:pt>
                <c:pt idx="5">
                  <c:v>3163.1897000000004</c:v>
                </c:pt>
                <c:pt idx="6">
                  <c:v>1349.9722999999999</c:v>
                </c:pt>
                <c:pt idx="7">
                  <c:v>635.92949999999996</c:v>
                </c:pt>
                <c:pt idx="8">
                  <c:v>77.933699999999988</c:v>
                </c:pt>
                <c:pt idx="9">
                  <c:v>1047.0709999999999</c:v>
                </c:pt>
                <c:pt idx="10">
                  <c:v>557.01379999999995</c:v>
                </c:pt>
                <c:pt idx="11">
                  <c:v>-1358.8752000000022</c:v>
                </c:pt>
                <c:pt idx="12">
                  <c:v>3030.0508</c:v>
                </c:pt>
                <c:pt idx="13">
                  <c:v>6382.5786999999982</c:v>
                </c:pt>
                <c:pt idx="14">
                  <c:v>1864.6488999999988</c:v>
                </c:pt>
                <c:pt idx="15">
                  <c:v>492.52459999999974</c:v>
                </c:pt>
                <c:pt idx="16">
                  <c:v>-1984.8443000000009</c:v>
                </c:pt>
              </c:numCache>
            </c:numRef>
          </c:val>
          <c:extLst>
            <c:ext xmlns:c16="http://schemas.microsoft.com/office/drawing/2014/chart" uri="{C3380CC4-5D6E-409C-BE32-E72D297353CC}">
              <c16:uniqueId val="{00000001-E509-488D-B3DA-ED784ACB15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66996699669967"/>
          <c:y val="6.7530512559979577E-2"/>
          <c:w val="0.17425742574257425"/>
          <c:h val="0.904347835081332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.xlsx]CATEGORY VS SUB-CATEGORY!PivotTable5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Times New Roman" panose="02020603050405020304" pitchFamily="18" charset="0"/>
                <a:cs typeface="Times New Roman" panose="02020603050405020304" pitchFamily="18" charset="0"/>
              </a:rPr>
              <a:t>CATEGORY</a:t>
            </a:r>
            <a:r>
              <a:rPr lang="en-IN" sz="1200" b="1" baseline="0">
                <a:latin typeface="Times New Roman" panose="02020603050405020304" pitchFamily="18" charset="0"/>
                <a:cs typeface="Times New Roman" panose="02020603050405020304" pitchFamily="18" charset="0"/>
              </a:rPr>
              <a:t> VS SUB-CATEGORY WISE SALES AND PROFIT ANALYSIS</a:t>
            </a:r>
            <a:endParaRPr lang="en-IN"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VS SUB-CATEGORY'!$K$3</c:f>
              <c:strCache>
                <c:ptCount val="1"/>
                <c:pt idx="0">
                  <c:v>TOTAL SALES</c:v>
                </c:pt>
              </c:strCache>
            </c:strRef>
          </c:tx>
          <c:spPr>
            <a:solidFill>
              <a:srgbClr val="FF0000"/>
            </a:solidFill>
            <a:ln>
              <a:noFill/>
            </a:ln>
            <a:effectLst/>
          </c:spPr>
          <c:invertIfNegative val="0"/>
          <c:cat>
            <c:multiLvlStrRef>
              <c:f>'CATEGORY VS SUB-CATEGORY'!$J$4:$J$23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VS SUB-CATEGORY'!$K$4:$K$23</c:f>
              <c:numCache>
                <c:formatCode>General</c:formatCode>
                <c:ptCount val="17"/>
                <c:pt idx="0">
                  <c:v>6707.1535999999996</c:v>
                </c:pt>
                <c:pt idx="1">
                  <c:v>34693.988000000005</c:v>
                </c:pt>
                <c:pt idx="2">
                  <c:v>6152.85</c:v>
                </c:pt>
                <c:pt idx="3">
                  <c:v>24277.904500000001</c:v>
                </c:pt>
                <c:pt idx="4">
                  <c:v>7190.0769999999993</c:v>
                </c:pt>
                <c:pt idx="5">
                  <c:v>2768.1119999999983</c:v>
                </c:pt>
                <c:pt idx="6">
                  <c:v>20457.864999999983</c:v>
                </c:pt>
                <c:pt idx="7">
                  <c:v>1605.8619999999999</c:v>
                </c:pt>
                <c:pt idx="8">
                  <c:v>367.42000000000007</c:v>
                </c:pt>
                <c:pt idx="9">
                  <c:v>1235.5360000000001</c:v>
                </c:pt>
                <c:pt idx="10">
                  <c:v>7107.1459999999988</c:v>
                </c:pt>
                <c:pt idx="11">
                  <c:v>20559.251999999997</c:v>
                </c:pt>
                <c:pt idx="12">
                  <c:v>12940.315999999995</c:v>
                </c:pt>
                <c:pt idx="13">
                  <c:v>12569.76</c:v>
                </c:pt>
                <c:pt idx="14">
                  <c:v>5309.8880000000008</c:v>
                </c:pt>
                <c:pt idx="15">
                  <c:v>26637.587000000003</c:v>
                </c:pt>
                <c:pt idx="16">
                  <c:v>38100.507999999994</c:v>
                </c:pt>
              </c:numCache>
            </c:numRef>
          </c:val>
          <c:extLst>
            <c:ext xmlns:c16="http://schemas.microsoft.com/office/drawing/2014/chart" uri="{C3380CC4-5D6E-409C-BE32-E72D297353CC}">
              <c16:uniqueId val="{00000000-271A-4DD8-AB06-B385189FDCE8}"/>
            </c:ext>
          </c:extLst>
        </c:ser>
        <c:ser>
          <c:idx val="1"/>
          <c:order val="1"/>
          <c:tx>
            <c:strRef>
              <c:f>'CATEGORY VS SUB-CATEGORY'!$L$3</c:f>
              <c:strCache>
                <c:ptCount val="1"/>
                <c:pt idx="0">
                  <c:v>TOTAL PROFIT</c:v>
                </c:pt>
              </c:strCache>
            </c:strRef>
          </c:tx>
          <c:spPr>
            <a:solidFill>
              <a:srgbClr val="C00000"/>
            </a:solidFill>
            <a:ln>
              <a:noFill/>
            </a:ln>
            <a:effectLst/>
          </c:spPr>
          <c:invertIfNegative val="0"/>
          <c:cat>
            <c:multiLvlStrRef>
              <c:f>'CATEGORY VS SUB-CATEGORY'!$J$4:$J$23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VS SUB-CATEGORY'!$L$4:$L$23</c:f>
              <c:numCache>
                <c:formatCode>General</c:formatCode>
                <c:ptCount val="17"/>
                <c:pt idx="0">
                  <c:v>-250.70770000000005</c:v>
                </c:pt>
                <c:pt idx="1">
                  <c:v>3163.1897000000004</c:v>
                </c:pt>
                <c:pt idx="2">
                  <c:v>1047.0709999999999</c:v>
                </c:pt>
                <c:pt idx="3">
                  <c:v>-1984.8443000000009</c:v>
                </c:pt>
                <c:pt idx="4">
                  <c:v>1307.9733000000001</c:v>
                </c:pt>
                <c:pt idx="5">
                  <c:v>718.51920000000018</c:v>
                </c:pt>
                <c:pt idx="6">
                  <c:v>434.032999999997</c:v>
                </c:pt>
                <c:pt idx="7">
                  <c:v>635.92949999999996</c:v>
                </c:pt>
                <c:pt idx="8">
                  <c:v>77.933699999999988</c:v>
                </c:pt>
                <c:pt idx="9">
                  <c:v>557.01379999999995</c:v>
                </c:pt>
                <c:pt idx="10">
                  <c:v>3030.0508</c:v>
                </c:pt>
                <c:pt idx="11">
                  <c:v>1864.6488999999988</c:v>
                </c:pt>
                <c:pt idx="12">
                  <c:v>492.52459999999974</c:v>
                </c:pt>
                <c:pt idx="13">
                  <c:v>3336.7113999999979</c:v>
                </c:pt>
                <c:pt idx="14">
                  <c:v>1349.9722999999999</c:v>
                </c:pt>
                <c:pt idx="15">
                  <c:v>-1358.8752000000022</c:v>
                </c:pt>
                <c:pt idx="16">
                  <c:v>6382.5786999999982</c:v>
                </c:pt>
              </c:numCache>
            </c:numRef>
          </c:val>
          <c:extLst>
            <c:ext xmlns:c16="http://schemas.microsoft.com/office/drawing/2014/chart" uri="{C3380CC4-5D6E-409C-BE32-E72D297353CC}">
              <c16:uniqueId val="{00000001-271A-4DD8-AB06-B385189FDCE8}"/>
            </c:ext>
          </c:extLst>
        </c:ser>
        <c:dLbls>
          <c:showLegendKey val="0"/>
          <c:showVal val="0"/>
          <c:showCatName val="0"/>
          <c:showSerName val="0"/>
          <c:showPercent val="0"/>
          <c:showBubbleSize val="0"/>
        </c:dLbls>
        <c:gapWidth val="150"/>
        <c:overlap val="100"/>
        <c:axId val="766611151"/>
        <c:axId val="491534383"/>
      </c:barChart>
      <c:catAx>
        <c:axId val="7666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534383"/>
        <c:crosses val="autoZero"/>
        <c:auto val="1"/>
        <c:lblAlgn val="ctr"/>
        <c:lblOffset val="100"/>
        <c:noMultiLvlLbl val="0"/>
      </c:catAx>
      <c:valAx>
        <c:axId val="49153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.xlsx]COUNTRY WISE!PivotTable1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latin typeface="Times New Roman" panose="02020603050405020304" pitchFamily="18" charset="0"/>
                <a:cs typeface="Times New Roman" panose="02020603050405020304" pitchFamily="18" charset="0"/>
              </a:rPr>
              <a:t>COUNTRY</a:t>
            </a:r>
            <a:r>
              <a:rPr lang="en-IN" sz="1200" baseline="0">
                <a:latin typeface="Times New Roman" panose="02020603050405020304" pitchFamily="18" charset="0"/>
                <a:cs typeface="Times New Roman" panose="02020603050405020304" pitchFamily="18" charset="0"/>
              </a:rPr>
              <a:t> WISE SALES AND PROFIT ANALYSIS</a:t>
            </a:r>
            <a:endParaRPr lang="en-IN"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C00000"/>
          </a:solidFill>
          <a:ln>
            <a:noFill/>
          </a:ln>
          <a:effectLst/>
        </c:spPr>
      </c:pivotFmt>
    </c:pivotFmts>
    <c:plotArea>
      <c:layout/>
      <c:barChart>
        <c:barDir val="col"/>
        <c:grouping val="clustered"/>
        <c:varyColors val="0"/>
        <c:ser>
          <c:idx val="0"/>
          <c:order val="0"/>
          <c:tx>
            <c:strRef>
              <c:f>'COUNTRY WISE'!$K$3</c:f>
              <c:strCache>
                <c:ptCount val="1"/>
                <c:pt idx="0">
                  <c:v>TOTAL SALES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 WISE'!$J$4:$J$5</c:f>
              <c:strCache>
                <c:ptCount val="2"/>
                <c:pt idx="0">
                  <c:v>Canada</c:v>
                </c:pt>
                <c:pt idx="1">
                  <c:v>United States</c:v>
                </c:pt>
              </c:strCache>
            </c:strRef>
          </c:cat>
          <c:val>
            <c:numRef>
              <c:f>'COUNTRY WISE'!$K$4:$K$5</c:f>
              <c:numCache>
                <c:formatCode>General</c:formatCode>
                <c:ptCount val="2"/>
                <c:pt idx="0">
                  <c:v>5278.7619999999979</c:v>
                </c:pt>
                <c:pt idx="1">
                  <c:v>223402.46309999991</c:v>
                </c:pt>
              </c:numCache>
            </c:numRef>
          </c:val>
          <c:extLst>
            <c:ext xmlns:c16="http://schemas.microsoft.com/office/drawing/2014/chart" uri="{C3380CC4-5D6E-409C-BE32-E72D297353CC}">
              <c16:uniqueId val="{00000000-2A44-4D2A-A5C0-4E78A29A2B72}"/>
            </c:ext>
          </c:extLst>
        </c:ser>
        <c:ser>
          <c:idx val="1"/>
          <c:order val="1"/>
          <c:tx>
            <c:strRef>
              <c:f>'COUNTRY WISE'!$L$3</c:f>
              <c:strCache>
                <c:ptCount val="1"/>
                <c:pt idx="0">
                  <c:v>TOTAL PROFIT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 WISE'!$J$4:$J$5</c:f>
              <c:strCache>
                <c:ptCount val="2"/>
                <c:pt idx="0">
                  <c:v>Canada</c:v>
                </c:pt>
                <c:pt idx="1">
                  <c:v>United States</c:v>
                </c:pt>
              </c:strCache>
            </c:strRef>
          </c:cat>
          <c:val>
            <c:numRef>
              <c:f>'COUNTRY WISE'!$L$4:$L$5</c:f>
              <c:numCache>
                <c:formatCode>General</c:formatCode>
                <c:ptCount val="2"/>
                <c:pt idx="0">
                  <c:v>1211.9571999999998</c:v>
                </c:pt>
                <c:pt idx="1">
                  <c:v>19591.765499999998</c:v>
                </c:pt>
              </c:numCache>
            </c:numRef>
          </c:val>
          <c:extLst>
            <c:ext xmlns:c16="http://schemas.microsoft.com/office/drawing/2014/chart" uri="{C3380CC4-5D6E-409C-BE32-E72D297353CC}">
              <c16:uniqueId val="{00000001-2A44-4D2A-A5C0-4E78A29A2B72}"/>
            </c:ext>
          </c:extLst>
        </c:ser>
        <c:dLbls>
          <c:showLegendKey val="0"/>
          <c:showVal val="0"/>
          <c:showCatName val="0"/>
          <c:showSerName val="0"/>
          <c:showPercent val="0"/>
          <c:showBubbleSize val="0"/>
        </c:dLbls>
        <c:gapWidth val="100"/>
        <c:axId val="1536697056"/>
        <c:axId val="1219796624"/>
      </c:barChart>
      <c:catAx>
        <c:axId val="15366970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9796624"/>
        <c:crosses val="autoZero"/>
        <c:auto val="1"/>
        <c:lblAlgn val="ctr"/>
        <c:lblOffset val="100"/>
        <c:noMultiLvlLbl val="0"/>
      </c:catAx>
      <c:valAx>
        <c:axId val="12197966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669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.xlsx]SEGMENT WISE!PivotTable8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WISE'!$J$3</c:f>
              <c:strCache>
                <c:ptCount val="1"/>
                <c:pt idx="0">
                  <c:v>TOTAL SALES</c:v>
                </c:pt>
              </c:strCache>
            </c:strRef>
          </c:tx>
          <c:spPr>
            <a:solidFill>
              <a:schemeClr val="accent1"/>
            </a:solidFill>
            <a:ln>
              <a:noFill/>
            </a:ln>
            <a:effectLst/>
          </c:spPr>
          <c:invertIfNegative val="0"/>
          <c:cat>
            <c:strRef>
              <c:f>'SEGMENT WISE'!$I$4:$I$6</c:f>
              <c:strCache>
                <c:ptCount val="3"/>
                <c:pt idx="0">
                  <c:v>Consumer</c:v>
                </c:pt>
                <c:pt idx="1">
                  <c:v>Corporate</c:v>
                </c:pt>
                <c:pt idx="2">
                  <c:v>Home Office</c:v>
                </c:pt>
              </c:strCache>
            </c:strRef>
          </c:cat>
          <c:val>
            <c:numRef>
              <c:f>'SEGMENT WISE'!$J$4:$J$6</c:f>
              <c:numCache>
                <c:formatCode>General</c:formatCode>
                <c:ptCount val="3"/>
                <c:pt idx="0">
                  <c:v>108870.32710000005</c:v>
                </c:pt>
                <c:pt idx="1">
                  <c:v>59021.999999999949</c:v>
                </c:pt>
                <c:pt idx="2">
                  <c:v>60788.897999999986</c:v>
                </c:pt>
              </c:numCache>
            </c:numRef>
          </c:val>
          <c:extLst>
            <c:ext xmlns:c16="http://schemas.microsoft.com/office/drawing/2014/chart" uri="{C3380CC4-5D6E-409C-BE32-E72D297353CC}">
              <c16:uniqueId val="{00000000-6771-4415-82CF-38F4C956AE82}"/>
            </c:ext>
          </c:extLst>
        </c:ser>
        <c:ser>
          <c:idx val="1"/>
          <c:order val="1"/>
          <c:tx>
            <c:strRef>
              <c:f>'SEGMENT WISE'!$K$3</c:f>
              <c:strCache>
                <c:ptCount val="1"/>
                <c:pt idx="0">
                  <c:v>TOTAL PROFIT</c:v>
                </c:pt>
              </c:strCache>
            </c:strRef>
          </c:tx>
          <c:spPr>
            <a:solidFill>
              <a:schemeClr val="accent2"/>
            </a:solidFill>
            <a:ln>
              <a:noFill/>
            </a:ln>
            <a:effectLst/>
          </c:spPr>
          <c:invertIfNegative val="0"/>
          <c:cat>
            <c:strRef>
              <c:f>'SEGMENT WISE'!$I$4:$I$6</c:f>
              <c:strCache>
                <c:ptCount val="3"/>
                <c:pt idx="0">
                  <c:v>Consumer</c:v>
                </c:pt>
                <c:pt idx="1">
                  <c:v>Corporate</c:v>
                </c:pt>
                <c:pt idx="2">
                  <c:v>Home Office</c:v>
                </c:pt>
              </c:strCache>
            </c:strRef>
          </c:cat>
          <c:val>
            <c:numRef>
              <c:f>'SEGMENT WISE'!$K$4:$K$6</c:f>
              <c:numCache>
                <c:formatCode>General</c:formatCode>
                <c:ptCount val="3"/>
                <c:pt idx="0">
                  <c:v>7885.0520000000024</c:v>
                </c:pt>
                <c:pt idx="1">
                  <c:v>8117.8840999999939</c:v>
                </c:pt>
                <c:pt idx="2">
                  <c:v>4800.7865999999958</c:v>
                </c:pt>
              </c:numCache>
            </c:numRef>
          </c:val>
          <c:extLst>
            <c:ext xmlns:c16="http://schemas.microsoft.com/office/drawing/2014/chart" uri="{C3380CC4-5D6E-409C-BE32-E72D297353CC}">
              <c16:uniqueId val="{00000001-6771-4415-82CF-38F4C956AE82}"/>
            </c:ext>
          </c:extLst>
        </c:ser>
        <c:ser>
          <c:idx val="2"/>
          <c:order val="2"/>
          <c:tx>
            <c:strRef>
              <c:f>'SEGMENT WISE'!$L$3</c:f>
              <c:strCache>
                <c:ptCount val="1"/>
                <c:pt idx="0">
                  <c:v>TOTAL DISCOUNT</c:v>
                </c:pt>
              </c:strCache>
            </c:strRef>
          </c:tx>
          <c:spPr>
            <a:solidFill>
              <a:schemeClr val="accent3"/>
            </a:solidFill>
            <a:ln>
              <a:noFill/>
            </a:ln>
            <a:effectLst/>
          </c:spPr>
          <c:invertIfNegative val="0"/>
          <c:cat>
            <c:strRef>
              <c:f>'SEGMENT WISE'!$I$4:$I$6</c:f>
              <c:strCache>
                <c:ptCount val="3"/>
                <c:pt idx="0">
                  <c:v>Consumer</c:v>
                </c:pt>
                <c:pt idx="1">
                  <c:v>Corporate</c:v>
                </c:pt>
                <c:pt idx="2">
                  <c:v>Home Office</c:v>
                </c:pt>
              </c:strCache>
            </c:strRef>
          </c:cat>
          <c:val>
            <c:numRef>
              <c:f>'SEGMENT WISE'!$L$4:$L$6</c:f>
              <c:numCache>
                <c:formatCode>General</c:formatCode>
                <c:ptCount val="3"/>
                <c:pt idx="0">
                  <c:v>91.020000000000309</c:v>
                </c:pt>
                <c:pt idx="1">
                  <c:v>34.799999999999976</c:v>
                </c:pt>
                <c:pt idx="2">
                  <c:v>22.499999999999975</c:v>
                </c:pt>
              </c:numCache>
            </c:numRef>
          </c:val>
          <c:extLst>
            <c:ext xmlns:c16="http://schemas.microsoft.com/office/drawing/2014/chart" uri="{C3380CC4-5D6E-409C-BE32-E72D297353CC}">
              <c16:uniqueId val="{00000002-6771-4415-82CF-38F4C956AE82}"/>
            </c:ext>
          </c:extLst>
        </c:ser>
        <c:dLbls>
          <c:showLegendKey val="0"/>
          <c:showVal val="0"/>
          <c:showCatName val="0"/>
          <c:showSerName val="0"/>
          <c:showPercent val="0"/>
          <c:showBubbleSize val="0"/>
        </c:dLbls>
        <c:gapWidth val="182"/>
        <c:axId val="1292852576"/>
        <c:axId val="1219804304"/>
      </c:barChart>
      <c:catAx>
        <c:axId val="12928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04304"/>
        <c:crosses val="autoZero"/>
        <c:auto val="1"/>
        <c:lblAlgn val="ctr"/>
        <c:lblOffset val="100"/>
        <c:noMultiLvlLbl val="0"/>
      </c:catAx>
      <c:valAx>
        <c:axId val="121980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5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.xlsx]STATE WISE!PivotTable2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'STATE WISE'!$K$3</c:f>
              <c:strCache>
                <c:ptCount val="1"/>
                <c:pt idx="0">
                  <c:v>TOTAL SALES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3-162E-495D-92BB-5CF634553E0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162E-495D-92BB-5CF634553E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39-4CFD-BFBC-E6C817BD71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39-4CFD-BFBC-E6C817BD71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39-4CFD-BFBC-E6C817BD71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39-4CFD-BFBC-E6C817BD71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39-4CFD-BFBC-E6C817BD71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939-4CFD-BFBC-E6C817BD71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939-4CFD-BFBC-E6C817BD7153}"/>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04-162E-495D-92BB-5CF634553E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WISE'!$J$4:$J$13</c:f>
              <c:strCache>
                <c:ptCount val="10"/>
                <c:pt idx="0">
                  <c:v>California</c:v>
                </c:pt>
                <c:pt idx="1">
                  <c:v>Florida</c:v>
                </c:pt>
                <c:pt idx="2">
                  <c:v>Illinois</c:v>
                </c:pt>
                <c:pt idx="3">
                  <c:v>Kentucky</c:v>
                </c:pt>
                <c:pt idx="4">
                  <c:v>Minnesota</c:v>
                </c:pt>
                <c:pt idx="5">
                  <c:v>New York</c:v>
                </c:pt>
                <c:pt idx="6">
                  <c:v>Pennsylvania</c:v>
                </c:pt>
                <c:pt idx="7">
                  <c:v>Texas</c:v>
                </c:pt>
                <c:pt idx="8">
                  <c:v>Virginia</c:v>
                </c:pt>
                <c:pt idx="9">
                  <c:v>Washington</c:v>
                </c:pt>
              </c:strCache>
            </c:strRef>
          </c:cat>
          <c:val>
            <c:numRef>
              <c:f>'STATE WISE'!$K$4:$K$13</c:f>
              <c:numCache>
                <c:formatCode>General</c:formatCode>
                <c:ptCount val="10"/>
                <c:pt idx="0">
                  <c:v>50389.273000000001</c:v>
                </c:pt>
                <c:pt idx="1">
                  <c:v>30888.983499999998</c:v>
                </c:pt>
                <c:pt idx="2">
                  <c:v>4895.9939999999988</c:v>
                </c:pt>
                <c:pt idx="3">
                  <c:v>7327.41</c:v>
                </c:pt>
                <c:pt idx="4">
                  <c:v>4788.6000000000004</c:v>
                </c:pt>
                <c:pt idx="5">
                  <c:v>15087.419999999998</c:v>
                </c:pt>
                <c:pt idx="6">
                  <c:v>8304.5969999999998</c:v>
                </c:pt>
                <c:pt idx="7">
                  <c:v>17430.970599999993</c:v>
                </c:pt>
                <c:pt idx="8">
                  <c:v>20873.71</c:v>
                </c:pt>
                <c:pt idx="9">
                  <c:v>14321.271999999997</c:v>
                </c:pt>
              </c:numCache>
            </c:numRef>
          </c:val>
          <c:extLst>
            <c:ext xmlns:c16="http://schemas.microsoft.com/office/drawing/2014/chart" uri="{C3380CC4-5D6E-409C-BE32-E72D297353CC}">
              <c16:uniqueId val="{00000000-162E-495D-92BB-5CF634553E07}"/>
            </c:ext>
          </c:extLst>
        </c:ser>
        <c:ser>
          <c:idx val="1"/>
          <c:order val="1"/>
          <c:tx>
            <c:strRef>
              <c:f>'STATE WISE'!$L$3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A939-4CFD-BFBC-E6C817BD71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A939-4CFD-BFBC-E6C817BD71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A939-4CFD-BFBC-E6C817BD71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A939-4CFD-BFBC-E6C817BD71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A939-4CFD-BFBC-E6C817BD71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A939-4CFD-BFBC-E6C817BD71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A939-4CFD-BFBC-E6C817BD71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A939-4CFD-BFBC-E6C817BD71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A939-4CFD-BFBC-E6C817BD715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A939-4CFD-BFBC-E6C817BD71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WISE'!$J$4:$J$13</c:f>
              <c:strCache>
                <c:ptCount val="10"/>
                <c:pt idx="0">
                  <c:v>California</c:v>
                </c:pt>
                <c:pt idx="1">
                  <c:v>Florida</c:v>
                </c:pt>
                <c:pt idx="2">
                  <c:v>Illinois</c:v>
                </c:pt>
                <c:pt idx="3">
                  <c:v>Kentucky</c:v>
                </c:pt>
                <c:pt idx="4">
                  <c:v>Minnesota</c:v>
                </c:pt>
                <c:pt idx="5">
                  <c:v>New York</c:v>
                </c:pt>
                <c:pt idx="6">
                  <c:v>Pennsylvania</c:v>
                </c:pt>
                <c:pt idx="7">
                  <c:v>Texas</c:v>
                </c:pt>
                <c:pt idx="8">
                  <c:v>Virginia</c:v>
                </c:pt>
                <c:pt idx="9">
                  <c:v>Washington</c:v>
                </c:pt>
              </c:strCache>
            </c:strRef>
          </c:cat>
          <c:val>
            <c:numRef>
              <c:f>'STATE WISE'!$L$4:$L$13</c:f>
              <c:numCache>
                <c:formatCode>General</c:formatCode>
                <c:ptCount val="10"/>
                <c:pt idx="0">
                  <c:v>6605.515099999996</c:v>
                </c:pt>
                <c:pt idx="1">
                  <c:v>-1803.2557000000015</c:v>
                </c:pt>
                <c:pt idx="2">
                  <c:v>-839.83870000000047</c:v>
                </c:pt>
                <c:pt idx="3">
                  <c:v>1959.3459999999998</c:v>
                </c:pt>
                <c:pt idx="4">
                  <c:v>1279.0467000000001</c:v>
                </c:pt>
                <c:pt idx="5">
                  <c:v>1261.8472999999999</c:v>
                </c:pt>
                <c:pt idx="6">
                  <c:v>-725.90449999999987</c:v>
                </c:pt>
                <c:pt idx="7">
                  <c:v>-4959.6499000000003</c:v>
                </c:pt>
                <c:pt idx="8">
                  <c:v>4862.3110999999981</c:v>
                </c:pt>
                <c:pt idx="9">
                  <c:v>2959.3206</c:v>
                </c:pt>
              </c:numCache>
            </c:numRef>
          </c:val>
          <c:extLst>
            <c:ext xmlns:c16="http://schemas.microsoft.com/office/drawing/2014/chart" uri="{C3380CC4-5D6E-409C-BE32-E72D297353CC}">
              <c16:uniqueId val="{00000001-162E-495D-92BB-5CF634553E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763888888888886"/>
          <c:y val="3.7754082822980456E-2"/>
          <c:w val="0.21458333333333335"/>
          <c:h val="0.94342701953922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.xlsx]REGION!PivotTable1</c:name>
    <c:fmtId val="1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latin typeface="Times New Roman" panose="02020603050405020304" pitchFamily="18" charset="0"/>
                <a:cs typeface="Times New Roman" panose="02020603050405020304" pitchFamily="18" charset="0"/>
              </a:rPr>
              <a:t>REGION WISE SALES ANALYSIS</a:t>
            </a:r>
          </a:p>
        </c:rich>
      </c:tx>
      <c:layout>
        <c:manualLayout>
          <c:xMode val="edge"/>
          <c:yMode val="edge"/>
          <c:x val="0.23613424747762043"/>
          <c:y val="0.103196637992505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solidFill>
              <a:schemeClr val="bg1"/>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bg1"/>
            </a:solid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rgbClr val="483BED"/>
          </a:solidFill>
          <a:ln>
            <a:no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83BED"/>
          </a:solidFill>
          <a:ln>
            <a:solidFill>
              <a:schemeClr val="bg1"/>
            </a:solidFill>
          </a:ln>
          <a:effectLst>
            <a:glow rad="12700">
              <a:schemeClr val="accent1">
                <a:alpha val="40000"/>
              </a:schemeClr>
            </a:glow>
          </a:effectLst>
        </c:spPr>
      </c:pivotFmt>
      <c:pivotFmt>
        <c:idx val="12"/>
        <c:spPr>
          <a:solidFill>
            <a:srgbClr val="483BED"/>
          </a:solidFill>
          <a:ln>
            <a:noFill/>
          </a:ln>
          <a:effectLst>
            <a:glow rad="12700">
              <a:schemeClr val="accent1">
                <a:alpha val="40000"/>
              </a:schemeClr>
            </a:glow>
          </a:effectLst>
        </c:spPr>
      </c:pivotFmt>
      <c:pivotFmt>
        <c:idx val="13"/>
        <c:spPr>
          <a:solidFill>
            <a:srgbClr val="483BED"/>
          </a:solidFill>
          <a:ln>
            <a:noFill/>
          </a:ln>
          <a:effectLst>
            <a:glow rad="12700">
              <a:schemeClr val="accent1">
                <a:alpha val="40000"/>
              </a:schemeClr>
            </a:glow>
          </a:effectLst>
        </c:spPr>
      </c:pivotFmt>
      <c:pivotFmt>
        <c:idx val="14"/>
        <c:spPr>
          <a:solidFill>
            <a:srgbClr val="483BED"/>
          </a:solidFill>
          <a:ln>
            <a:noFill/>
          </a:ln>
          <a:effectLst>
            <a:glow rad="12700">
              <a:schemeClr val="accent1">
                <a:alpha val="40000"/>
              </a:schemeClr>
            </a:glow>
          </a:effectLst>
        </c:spPr>
      </c:pivotFmt>
    </c:pivotFmts>
    <c:plotArea>
      <c:layout/>
      <c:barChart>
        <c:barDir val="col"/>
        <c:grouping val="clustered"/>
        <c:varyColors val="0"/>
        <c:ser>
          <c:idx val="0"/>
          <c:order val="0"/>
          <c:tx>
            <c:strRef>
              <c:f>REGION!$M$4</c:f>
              <c:strCache>
                <c:ptCount val="1"/>
                <c:pt idx="0">
                  <c:v>Total</c:v>
                </c:pt>
              </c:strCache>
            </c:strRef>
          </c:tx>
          <c:spPr>
            <a:solidFill>
              <a:srgbClr val="483BED"/>
            </a:solidFill>
            <a:ln>
              <a:noFill/>
            </a:ln>
            <a:effectLst>
              <a:glow rad="12700">
                <a:schemeClr val="accent1">
                  <a:alpha val="40000"/>
                </a:schemeClr>
              </a:glow>
            </a:effectLst>
          </c:spPr>
          <c:invertIfNegative val="0"/>
          <c:dPt>
            <c:idx val="0"/>
            <c:invertIfNegative val="0"/>
            <c:bubble3D val="0"/>
            <c:spPr>
              <a:solidFill>
                <a:srgbClr val="483BED"/>
              </a:solidFill>
              <a:ln>
                <a:solidFill>
                  <a:schemeClr val="bg1"/>
                </a:solidFill>
              </a:ln>
              <a:effectLst>
                <a:glow rad="12700">
                  <a:schemeClr val="accent1">
                    <a:alpha val="40000"/>
                  </a:schemeClr>
                </a:glow>
              </a:effectLst>
            </c:spPr>
            <c:extLst>
              <c:ext xmlns:c16="http://schemas.microsoft.com/office/drawing/2014/chart" uri="{C3380CC4-5D6E-409C-BE32-E72D297353CC}">
                <c16:uniqueId val="{00000001-FFE4-4EDA-83DF-EFFF2CBDB82A}"/>
              </c:ext>
            </c:extLst>
          </c:dPt>
          <c:dPt>
            <c:idx val="1"/>
            <c:invertIfNegative val="0"/>
            <c:bubble3D val="0"/>
            <c:spPr>
              <a:solidFill>
                <a:srgbClr val="483BED"/>
              </a:solidFill>
              <a:ln>
                <a:noFill/>
              </a:ln>
              <a:effectLst>
                <a:glow rad="12700">
                  <a:schemeClr val="accent1">
                    <a:alpha val="40000"/>
                  </a:schemeClr>
                </a:glow>
              </a:effectLst>
            </c:spPr>
            <c:extLst>
              <c:ext xmlns:c16="http://schemas.microsoft.com/office/drawing/2014/chart" uri="{C3380CC4-5D6E-409C-BE32-E72D297353CC}">
                <c16:uniqueId val="{00000003-FFE4-4EDA-83DF-EFFF2CBDB82A}"/>
              </c:ext>
            </c:extLst>
          </c:dPt>
          <c:dPt>
            <c:idx val="2"/>
            <c:invertIfNegative val="0"/>
            <c:bubble3D val="0"/>
            <c:spPr>
              <a:solidFill>
                <a:srgbClr val="483BED"/>
              </a:solidFill>
              <a:ln>
                <a:noFill/>
              </a:ln>
              <a:effectLst>
                <a:glow rad="12700">
                  <a:schemeClr val="accent1">
                    <a:alpha val="40000"/>
                  </a:schemeClr>
                </a:glow>
              </a:effectLst>
            </c:spPr>
            <c:extLst>
              <c:ext xmlns:c16="http://schemas.microsoft.com/office/drawing/2014/chart" uri="{C3380CC4-5D6E-409C-BE32-E72D297353CC}">
                <c16:uniqueId val="{00000005-FFE4-4EDA-83DF-EFFF2CBDB82A}"/>
              </c:ext>
            </c:extLst>
          </c:dPt>
          <c:dPt>
            <c:idx val="3"/>
            <c:invertIfNegative val="0"/>
            <c:bubble3D val="0"/>
            <c:spPr>
              <a:solidFill>
                <a:srgbClr val="483BED"/>
              </a:solidFill>
              <a:ln>
                <a:noFill/>
              </a:ln>
              <a:effectLst>
                <a:glow rad="12700">
                  <a:schemeClr val="accent1">
                    <a:alpha val="40000"/>
                  </a:schemeClr>
                </a:glow>
              </a:effectLst>
            </c:spPr>
            <c:extLst>
              <c:ext xmlns:c16="http://schemas.microsoft.com/office/drawing/2014/chart" uri="{C3380CC4-5D6E-409C-BE32-E72D297353CC}">
                <c16:uniqueId val="{00000007-FFE4-4EDA-83DF-EFFF2CBDB82A}"/>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REGION!$L$5:$L$8</c:f>
              <c:strCache>
                <c:ptCount val="4"/>
                <c:pt idx="0">
                  <c:v>Central</c:v>
                </c:pt>
                <c:pt idx="1">
                  <c:v>East</c:v>
                </c:pt>
                <c:pt idx="2">
                  <c:v>South</c:v>
                </c:pt>
                <c:pt idx="3">
                  <c:v>West</c:v>
                </c:pt>
              </c:strCache>
            </c:strRef>
          </c:cat>
          <c:val>
            <c:numRef>
              <c:f>REGION!$M$5:$M$8</c:f>
              <c:numCache>
                <c:formatCode>General</c:formatCode>
                <c:ptCount val="4"/>
                <c:pt idx="0">
                  <c:v>35805.335600000006</c:v>
                </c:pt>
                <c:pt idx="1">
                  <c:v>39432.862999999983</c:v>
                </c:pt>
                <c:pt idx="2">
                  <c:v>75672.028500000059</c:v>
                </c:pt>
                <c:pt idx="3">
                  <c:v>77770.997999999992</c:v>
                </c:pt>
              </c:numCache>
            </c:numRef>
          </c:val>
          <c:extLst>
            <c:ext xmlns:c16="http://schemas.microsoft.com/office/drawing/2014/chart" uri="{C3380CC4-5D6E-409C-BE32-E72D297353CC}">
              <c16:uniqueId val="{00000008-FFE4-4EDA-83DF-EFFF2CBDB82A}"/>
            </c:ext>
          </c:extLst>
        </c:ser>
        <c:dLbls>
          <c:dLblPos val="outEnd"/>
          <c:showLegendKey val="0"/>
          <c:showVal val="1"/>
          <c:showCatName val="0"/>
          <c:showSerName val="0"/>
          <c:showPercent val="0"/>
          <c:showBubbleSize val="0"/>
        </c:dLbls>
        <c:gapWidth val="219"/>
        <c:overlap val="-27"/>
        <c:axId val="742777103"/>
        <c:axId val="491508463"/>
      </c:barChart>
      <c:catAx>
        <c:axId val="7427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508463"/>
        <c:crosses val="autoZero"/>
        <c:auto val="1"/>
        <c:lblAlgn val="ctr"/>
        <c:lblOffset val="100"/>
        <c:noMultiLvlLbl val="0"/>
      </c:catAx>
      <c:valAx>
        <c:axId val="491508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 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27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6000">
          <a:schemeClr val="accent4">
            <a:lumMod val="40000"/>
            <a:lumOff val="60000"/>
          </a:schemeClr>
        </a:gs>
        <a:gs pos="66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.xlsx]CATEGORY !PivotTable3</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latin typeface="Times New Roman" panose="02020603050405020304" pitchFamily="18" charset="0"/>
                <a:cs typeface="Times New Roman" panose="02020603050405020304" pitchFamily="18" charset="0"/>
              </a:rPr>
              <a:t>CATEGORY WISE SALES AND 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99"/>
          </a:solidFill>
          <a:ln>
            <a:solidFill>
              <a:srgbClr val="483BED"/>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83BED"/>
          </a:solidFill>
          <a:ln>
            <a:solidFill>
              <a:srgbClr val="483BED"/>
            </a:solidFill>
          </a:ln>
          <a:effectLst/>
        </c:spPr>
      </c:pivotFmt>
      <c:pivotFmt>
        <c:idx val="7"/>
        <c:spPr>
          <a:solidFill>
            <a:srgbClr val="483BED"/>
          </a:solidFill>
          <a:ln>
            <a:solidFill>
              <a:srgbClr val="483BED"/>
            </a:solidFill>
          </a:ln>
          <a:effectLst/>
        </c:spPr>
      </c:pivotFmt>
      <c:pivotFmt>
        <c:idx val="8"/>
        <c:spPr>
          <a:solidFill>
            <a:srgbClr val="483BED"/>
          </a:solidFill>
          <a:ln>
            <a:solidFill>
              <a:srgbClr val="483BED"/>
            </a:solidFill>
          </a:ln>
          <a:effectLst/>
        </c:spPr>
      </c:pivotFmt>
    </c:pivotFmts>
    <c:plotArea>
      <c:layout>
        <c:manualLayout>
          <c:layoutTarget val="inner"/>
          <c:xMode val="edge"/>
          <c:yMode val="edge"/>
          <c:x val="0.15536261868153708"/>
          <c:y val="0.24973156764495349"/>
          <c:w val="0.65502155535821205"/>
          <c:h val="0.5166772946242878"/>
        </c:manualLayout>
      </c:layout>
      <c:barChart>
        <c:barDir val="col"/>
        <c:grouping val="clustered"/>
        <c:varyColors val="0"/>
        <c:ser>
          <c:idx val="0"/>
          <c:order val="0"/>
          <c:tx>
            <c:strRef>
              <c:f>'CATEGORY '!$K$3</c:f>
              <c:strCache>
                <c:ptCount val="1"/>
                <c:pt idx="0">
                  <c:v>TOTAL PROFIT</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'!$J$4</c:f>
              <c:strCache>
                <c:ptCount val="1"/>
                <c:pt idx="0">
                  <c:v>Furniture</c:v>
                </c:pt>
              </c:strCache>
            </c:strRef>
          </c:cat>
          <c:val>
            <c:numRef>
              <c:f>'CATEGORY '!$K$4</c:f>
              <c:numCache>
                <c:formatCode>General</c:formatCode>
                <c:ptCount val="1"/>
                <c:pt idx="0">
                  <c:v>1974.7086999999995</c:v>
                </c:pt>
              </c:numCache>
            </c:numRef>
          </c:val>
          <c:extLst>
            <c:ext xmlns:c16="http://schemas.microsoft.com/office/drawing/2014/chart" uri="{C3380CC4-5D6E-409C-BE32-E72D297353CC}">
              <c16:uniqueId val="{00000000-FA82-4A5D-AB29-60FB54DF6F22}"/>
            </c:ext>
          </c:extLst>
        </c:ser>
        <c:ser>
          <c:idx val="1"/>
          <c:order val="1"/>
          <c:tx>
            <c:strRef>
              <c:f>'CATEGORY '!$L$3</c:f>
              <c:strCache>
                <c:ptCount val="1"/>
                <c:pt idx="0">
                  <c:v>TOTAL SALES</c:v>
                </c:pt>
              </c:strCache>
            </c:strRef>
          </c:tx>
          <c:spPr>
            <a:solidFill>
              <a:srgbClr val="FF9999"/>
            </a:solidFill>
            <a:ln>
              <a:solidFill>
                <a:srgbClr val="483BED"/>
              </a:solidFill>
            </a:ln>
            <a:effectLst/>
          </c:spPr>
          <c:invertIfNegative val="0"/>
          <c:dPt>
            <c:idx val="0"/>
            <c:invertIfNegative val="0"/>
            <c:bubble3D val="0"/>
            <c:extLst>
              <c:ext xmlns:c16="http://schemas.microsoft.com/office/drawing/2014/chart" uri="{C3380CC4-5D6E-409C-BE32-E72D297353CC}">
                <c16:uniqueId val="{00000004-FA82-4A5D-AB29-60FB54DF6F22}"/>
              </c:ext>
            </c:extLst>
          </c:dPt>
          <c:dPt>
            <c:idx val="1"/>
            <c:invertIfNegative val="0"/>
            <c:bubble3D val="0"/>
            <c:extLst>
              <c:ext xmlns:c16="http://schemas.microsoft.com/office/drawing/2014/chart" uri="{C3380CC4-5D6E-409C-BE32-E72D297353CC}">
                <c16:uniqueId val="{00000003-FA82-4A5D-AB29-60FB54DF6F22}"/>
              </c:ext>
            </c:extLst>
          </c:dPt>
          <c:dPt>
            <c:idx val="2"/>
            <c:invertIfNegative val="0"/>
            <c:bubble3D val="0"/>
            <c:extLst>
              <c:ext xmlns:c16="http://schemas.microsoft.com/office/drawing/2014/chart" uri="{C3380CC4-5D6E-409C-BE32-E72D297353CC}">
                <c16:uniqueId val="{00000002-FA82-4A5D-AB29-60FB54DF6F22}"/>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'!$J$4</c:f>
              <c:strCache>
                <c:ptCount val="1"/>
                <c:pt idx="0">
                  <c:v>Furniture</c:v>
                </c:pt>
              </c:strCache>
            </c:strRef>
          </c:cat>
          <c:val>
            <c:numRef>
              <c:f>'CATEGORY '!$L$4</c:f>
              <c:numCache>
                <c:formatCode>General</c:formatCode>
                <c:ptCount val="1"/>
                <c:pt idx="0">
                  <c:v>71831.896099999984</c:v>
                </c:pt>
              </c:numCache>
            </c:numRef>
          </c:val>
          <c:extLst>
            <c:ext xmlns:c16="http://schemas.microsoft.com/office/drawing/2014/chart" uri="{C3380CC4-5D6E-409C-BE32-E72D297353CC}">
              <c16:uniqueId val="{00000001-FA82-4A5D-AB29-60FB54DF6F22}"/>
            </c:ext>
          </c:extLst>
        </c:ser>
        <c:dLbls>
          <c:dLblPos val="outEnd"/>
          <c:showLegendKey val="0"/>
          <c:showVal val="1"/>
          <c:showCatName val="0"/>
          <c:showSerName val="0"/>
          <c:showPercent val="0"/>
          <c:showBubbleSize val="0"/>
        </c:dLbls>
        <c:gapWidth val="219"/>
        <c:overlap val="-27"/>
        <c:axId val="763630575"/>
        <c:axId val="491476303"/>
      </c:barChart>
      <c:catAx>
        <c:axId val="76363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476303"/>
        <c:crosses val="autoZero"/>
        <c:auto val="1"/>
        <c:lblAlgn val="ctr"/>
        <c:lblOffset val="100"/>
        <c:noMultiLvlLbl val="0"/>
      </c:catAx>
      <c:valAx>
        <c:axId val="491476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PROFIT AND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363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26000">
          <a:schemeClr val="accent4">
            <a:lumMod val="40000"/>
            <a:lumOff val="60000"/>
          </a:schemeClr>
        </a:gs>
        <a:gs pos="100000">
          <a:schemeClr val="accent4">
            <a:lumMod val="99000"/>
            <a:satMod val="120000"/>
            <a:shade val="78000"/>
          </a:schemeClr>
        </a:gs>
      </a:gsLst>
      <a:lin ang="5400000" scaled="0"/>
    </a:gradFill>
    <a:ln w="12700" cap="flat" cmpd="sng" algn="ctr">
      <a:solidFill>
        <a:schemeClr val="accent4"/>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.xlsx]SUB CATEGORY!PivotTable4</c:name>
    <c:fmtId val="8"/>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s>
    <c:plotArea>
      <c:layout>
        <c:manualLayout>
          <c:layoutTarget val="inner"/>
          <c:xMode val="edge"/>
          <c:yMode val="edge"/>
          <c:x val="0.1931713277219658"/>
          <c:y val="0.11999815812497122"/>
          <c:w val="0.49641596524572357"/>
          <c:h val="0.84187502877929732"/>
        </c:manualLayout>
      </c:layout>
      <c:doughnutChart>
        <c:varyColors val="1"/>
        <c:ser>
          <c:idx val="0"/>
          <c:order val="0"/>
          <c:tx>
            <c:strRef>
              <c:f>'SUB CATEGORY'!$K$3</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7E-4DB3-B34B-968A96537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7E-4DB3-B34B-968A965376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7E-4DB3-B34B-968A965376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7E-4DB3-B34B-968A965376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7E-4DB3-B34B-968A965376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7E-4DB3-B34B-968A9653767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7E-4DB3-B34B-968A9653767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7E-4DB3-B34B-968A9653767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7E-4DB3-B34B-968A9653767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7E-4DB3-B34B-968A9653767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37E-4DB3-B34B-968A9653767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37E-4DB3-B34B-968A9653767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37E-4DB3-B34B-968A9653767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37E-4DB3-B34B-968A9653767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37E-4DB3-B34B-968A9653767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37E-4DB3-B34B-968A9653767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37E-4DB3-B34B-968A9653767A}"/>
              </c:ext>
            </c:extLst>
          </c:dPt>
          <c:cat>
            <c:strRef>
              <c:f>'SUB CATEGORY'!$J$4:$J$20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CATEGORY'!$K$4:$K$20</c:f>
              <c:numCache>
                <c:formatCode>General</c:formatCode>
                <c:ptCount val="17"/>
                <c:pt idx="0">
                  <c:v>12569.76</c:v>
                </c:pt>
                <c:pt idx="1">
                  <c:v>7190.0769999999993</c:v>
                </c:pt>
                <c:pt idx="2">
                  <c:v>2768.1119999999983</c:v>
                </c:pt>
                <c:pt idx="3">
                  <c:v>20457.864999999983</c:v>
                </c:pt>
                <c:pt idx="4">
                  <c:v>6707.1535999999996</c:v>
                </c:pt>
                <c:pt idx="5">
                  <c:v>34693.988000000005</c:v>
                </c:pt>
                <c:pt idx="6">
                  <c:v>5309.8880000000008</c:v>
                </c:pt>
                <c:pt idx="7">
                  <c:v>1605.8619999999999</c:v>
                </c:pt>
                <c:pt idx="8">
                  <c:v>367.42000000000007</c:v>
                </c:pt>
                <c:pt idx="9">
                  <c:v>6152.85</c:v>
                </c:pt>
                <c:pt idx="10">
                  <c:v>1235.5360000000001</c:v>
                </c:pt>
                <c:pt idx="11">
                  <c:v>26637.587000000003</c:v>
                </c:pt>
                <c:pt idx="12">
                  <c:v>7107.1459999999988</c:v>
                </c:pt>
                <c:pt idx="13">
                  <c:v>38100.507999999994</c:v>
                </c:pt>
                <c:pt idx="14">
                  <c:v>20559.251999999997</c:v>
                </c:pt>
                <c:pt idx="15">
                  <c:v>12940.315999999995</c:v>
                </c:pt>
                <c:pt idx="16">
                  <c:v>24277.904500000001</c:v>
                </c:pt>
              </c:numCache>
            </c:numRef>
          </c:val>
          <c:extLst>
            <c:ext xmlns:c16="http://schemas.microsoft.com/office/drawing/2014/chart" uri="{C3380CC4-5D6E-409C-BE32-E72D297353CC}">
              <c16:uniqueId val="{00000022-B37E-4DB3-B34B-968A9653767A}"/>
            </c:ext>
          </c:extLst>
        </c:ser>
        <c:ser>
          <c:idx val="1"/>
          <c:order val="1"/>
          <c:tx>
            <c:strRef>
              <c:f>'SUB CATEGORY'!$L$3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B37E-4DB3-B34B-968A96537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B37E-4DB3-B34B-968A965376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B37E-4DB3-B34B-968A965376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B37E-4DB3-B34B-968A965376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B37E-4DB3-B34B-968A965376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B37E-4DB3-B34B-968A9653767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B37E-4DB3-B34B-968A9653767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B37E-4DB3-B34B-968A9653767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B37E-4DB3-B34B-968A9653767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B37E-4DB3-B34B-968A9653767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B37E-4DB3-B34B-968A9653767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B37E-4DB3-B34B-968A9653767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B37E-4DB3-B34B-968A9653767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B37E-4DB3-B34B-968A9653767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B37E-4DB3-B34B-968A9653767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B37E-4DB3-B34B-968A9653767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B37E-4DB3-B34B-968A9653767A}"/>
              </c:ext>
            </c:extLst>
          </c:dPt>
          <c:cat>
            <c:strRef>
              <c:f>'SUB CATEGORY'!$J$4:$J$20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CATEGORY'!$L$4:$L$20</c:f>
              <c:numCache>
                <c:formatCode>General</c:formatCode>
                <c:ptCount val="17"/>
                <c:pt idx="0">
                  <c:v>3336.7113999999979</c:v>
                </c:pt>
                <c:pt idx="1">
                  <c:v>1307.9733000000001</c:v>
                </c:pt>
                <c:pt idx="2">
                  <c:v>718.51920000000018</c:v>
                </c:pt>
                <c:pt idx="3">
                  <c:v>434.032999999997</c:v>
                </c:pt>
                <c:pt idx="4">
                  <c:v>-250.70770000000005</c:v>
                </c:pt>
                <c:pt idx="5">
                  <c:v>3163.1897000000004</c:v>
                </c:pt>
                <c:pt idx="6">
                  <c:v>1349.9722999999999</c:v>
                </c:pt>
                <c:pt idx="7">
                  <c:v>635.92949999999996</c:v>
                </c:pt>
                <c:pt idx="8">
                  <c:v>77.933699999999988</c:v>
                </c:pt>
                <c:pt idx="9">
                  <c:v>1047.0709999999999</c:v>
                </c:pt>
                <c:pt idx="10">
                  <c:v>557.01379999999995</c:v>
                </c:pt>
                <c:pt idx="11">
                  <c:v>-1358.8752000000022</c:v>
                </c:pt>
                <c:pt idx="12">
                  <c:v>3030.0508</c:v>
                </c:pt>
                <c:pt idx="13">
                  <c:v>6382.5786999999982</c:v>
                </c:pt>
                <c:pt idx="14">
                  <c:v>1864.6488999999988</c:v>
                </c:pt>
                <c:pt idx="15">
                  <c:v>492.52459999999974</c:v>
                </c:pt>
                <c:pt idx="16">
                  <c:v>-1984.8443000000009</c:v>
                </c:pt>
              </c:numCache>
            </c:numRef>
          </c:val>
          <c:extLst>
            <c:ext xmlns:c16="http://schemas.microsoft.com/office/drawing/2014/chart" uri="{C3380CC4-5D6E-409C-BE32-E72D297353CC}">
              <c16:uniqueId val="{00000045-B37E-4DB3-B34B-968A965376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66996699669967"/>
          <c:y val="6.7530512559979577E-2"/>
          <c:w val="0.17425742574257425"/>
          <c:h val="0.904347835081332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6000">
          <a:schemeClr val="accent4">
            <a:lumMod val="60000"/>
            <a:lumOff val="40000"/>
          </a:schemeClr>
        </a:gs>
        <a:gs pos="54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.xlsx]CATEGORY VS SUB-CATEGORY!PivotTable5</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CATEGORY VS SUB-CATEGORY WISE SALES AND 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83B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VS SUB-CATEGORY'!$K$3</c:f>
              <c:strCache>
                <c:ptCount val="1"/>
                <c:pt idx="0">
                  <c:v>TOTAL SALES</c:v>
                </c:pt>
              </c:strCache>
            </c:strRef>
          </c:tx>
          <c:spPr>
            <a:solidFill>
              <a:srgbClr val="483BED"/>
            </a:solidFill>
            <a:ln>
              <a:noFill/>
            </a:ln>
            <a:effectLst/>
          </c:spPr>
          <c:invertIfNegative val="0"/>
          <c:cat>
            <c:multiLvlStrRef>
              <c:f>'CATEGORY VS SUB-CATEGORY'!$J$4:$J$23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VS SUB-CATEGORY'!$K$4:$K$23</c:f>
              <c:numCache>
                <c:formatCode>General</c:formatCode>
                <c:ptCount val="17"/>
                <c:pt idx="0">
                  <c:v>6707.1535999999996</c:v>
                </c:pt>
                <c:pt idx="1">
                  <c:v>34693.988000000005</c:v>
                </c:pt>
                <c:pt idx="2">
                  <c:v>6152.85</c:v>
                </c:pt>
                <c:pt idx="3">
                  <c:v>24277.904500000001</c:v>
                </c:pt>
                <c:pt idx="4">
                  <c:v>7190.0769999999993</c:v>
                </c:pt>
                <c:pt idx="5">
                  <c:v>2768.1119999999983</c:v>
                </c:pt>
                <c:pt idx="6">
                  <c:v>20457.864999999983</c:v>
                </c:pt>
                <c:pt idx="7">
                  <c:v>1605.8619999999999</c:v>
                </c:pt>
                <c:pt idx="8">
                  <c:v>367.42000000000007</c:v>
                </c:pt>
                <c:pt idx="9">
                  <c:v>1235.5360000000001</c:v>
                </c:pt>
                <c:pt idx="10">
                  <c:v>7107.1459999999988</c:v>
                </c:pt>
                <c:pt idx="11">
                  <c:v>20559.251999999997</c:v>
                </c:pt>
                <c:pt idx="12">
                  <c:v>12940.315999999995</c:v>
                </c:pt>
                <c:pt idx="13">
                  <c:v>12569.76</c:v>
                </c:pt>
                <c:pt idx="14">
                  <c:v>5309.8880000000008</c:v>
                </c:pt>
                <c:pt idx="15">
                  <c:v>26637.587000000003</c:v>
                </c:pt>
                <c:pt idx="16">
                  <c:v>38100.507999999994</c:v>
                </c:pt>
              </c:numCache>
            </c:numRef>
          </c:val>
          <c:extLst>
            <c:ext xmlns:c16="http://schemas.microsoft.com/office/drawing/2014/chart" uri="{C3380CC4-5D6E-409C-BE32-E72D297353CC}">
              <c16:uniqueId val="{00000000-057D-4BF1-AB9D-FB0C8AD33712}"/>
            </c:ext>
          </c:extLst>
        </c:ser>
        <c:ser>
          <c:idx val="1"/>
          <c:order val="1"/>
          <c:tx>
            <c:strRef>
              <c:f>'CATEGORY VS SUB-CATEGORY'!$L$3</c:f>
              <c:strCache>
                <c:ptCount val="1"/>
                <c:pt idx="0">
                  <c:v>TOTAL PROFIT</c:v>
                </c:pt>
              </c:strCache>
            </c:strRef>
          </c:tx>
          <c:spPr>
            <a:solidFill>
              <a:srgbClr val="FF0000"/>
            </a:solidFill>
            <a:ln>
              <a:noFill/>
            </a:ln>
            <a:effectLst/>
          </c:spPr>
          <c:invertIfNegative val="0"/>
          <c:cat>
            <c:multiLvlStrRef>
              <c:f>'CATEGORY VS SUB-CATEGORY'!$J$4:$J$23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 VS SUB-CATEGORY'!$L$4:$L$23</c:f>
              <c:numCache>
                <c:formatCode>General</c:formatCode>
                <c:ptCount val="17"/>
                <c:pt idx="0">
                  <c:v>-250.70770000000005</c:v>
                </c:pt>
                <c:pt idx="1">
                  <c:v>3163.1897000000004</c:v>
                </c:pt>
                <c:pt idx="2">
                  <c:v>1047.0709999999999</c:v>
                </c:pt>
                <c:pt idx="3">
                  <c:v>-1984.8443000000009</c:v>
                </c:pt>
                <c:pt idx="4">
                  <c:v>1307.9733000000001</c:v>
                </c:pt>
                <c:pt idx="5">
                  <c:v>718.51920000000018</c:v>
                </c:pt>
                <c:pt idx="6">
                  <c:v>434.032999999997</c:v>
                </c:pt>
                <c:pt idx="7">
                  <c:v>635.92949999999996</c:v>
                </c:pt>
                <c:pt idx="8">
                  <c:v>77.933699999999988</c:v>
                </c:pt>
                <c:pt idx="9">
                  <c:v>557.01379999999995</c:v>
                </c:pt>
                <c:pt idx="10">
                  <c:v>3030.0508</c:v>
                </c:pt>
                <c:pt idx="11">
                  <c:v>1864.6488999999988</c:v>
                </c:pt>
                <c:pt idx="12">
                  <c:v>492.52459999999974</c:v>
                </c:pt>
                <c:pt idx="13">
                  <c:v>3336.7113999999979</c:v>
                </c:pt>
                <c:pt idx="14">
                  <c:v>1349.9722999999999</c:v>
                </c:pt>
                <c:pt idx="15">
                  <c:v>-1358.8752000000022</c:v>
                </c:pt>
                <c:pt idx="16">
                  <c:v>6382.5786999999982</c:v>
                </c:pt>
              </c:numCache>
            </c:numRef>
          </c:val>
          <c:extLst>
            <c:ext xmlns:c16="http://schemas.microsoft.com/office/drawing/2014/chart" uri="{C3380CC4-5D6E-409C-BE32-E72D297353CC}">
              <c16:uniqueId val="{00000001-057D-4BF1-AB9D-FB0C8AD33712}"/>
            </c:ext>
          </c:extLst>
        </c:ser>
        <c:dLbls>
          <c:showLegendKey val="0"/>
          <c:showVal val="0"/>
          <c:showCatName val="0"/>
          <c:showSerName val="0"/>
          <c:showPercent val="0"/>
          <c:showBubbleSize val="0"/>
        </c:dLbls>
        <c:gapWidth val="150"/>
        <c:overlap val="100"/>
        <c:axId val="766611151"/>
        <c:axId val="491534383"/>
      </c:barChart>
      <c:catAx>
        <c:axId val="7666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1534383"/>
        <c:crosses val="autoZero"/>
        <c:auto val="1"/>
        <c:lblAlgn val="ctr"/>
        <c:lblOffset val="100"/>
        <c:noMultiLvlLbl val="0"/>
      </c:catAx>
      <c:valAx>
        <c:axId val="49153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66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49000">
          <a:schemeClr val="accent4">
            <a:lumMod val="60000"/>
            <a:lumOff val="40000"/>
          </a:schemeClr>
        </a:gs>
        <a:gs pos="7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.xlsx]SEGMENT WISE!PivotTable8</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800" b="1">
                <a:latin typeface="Times New Roman" panose="02020603050405020304" pitchFamily="18" charset="0"/>
                <a:cs typeface="Times New Roman" panose="02020603050405020304" pitchFamily="18" charset="0"/>
              </a:rPr>
              <a:t>SEGMENT</a:t>
            </a:r>
            <a:r>
              <a:rPr lang="en-IN" sz="1800" b="1" baseline="0">
                <a:latin typeface="Times New Roman" panose="02020603050405020304" pitchFamily="18" charset="0"/>
                <a:cs typeface="Times New Roman" panose="02020603050405020304" pitchFamily="18" charset="0"/>
              </a:rPr>
              <a:t> WISE ANALYSIS</a:t>
            </a:r>
            <a:endParaRPr lang="en-IN"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WISE'!$J$3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WISE'!$I$4:$I$6</c:f>
              <c:strCache>
                <c:ptCount val="3"/>
                <c:pt idx="0">
                  <c:v>Consumer</c:v>
                </c:pt>
                <c:pt idx="1">
                  <c:v>Corporate</c:v>
                </c:pt>
                <c:pt idx="2">
                  <c:v>Home Office</c:v>
                </c:pt>
              </c:strCache>
            </c:strRef>
          </c:cat>
          <c:val>
            <c:numRef>
              <c:f>'SEGMENT WISE'!$J$4:$J$6</c:f>
              <c:numCache>
                <c:formatCode>General</c:formatCode>
                <c:ptCount val="3"/>
                <c:pt idx="0">
                  <c:v>108870.32710000005</c:v>
                </c:pt>
                <c:pt idx="1">
                  <c:v>59021.999999999949</c:v>
                </c:pt>
                <c:pt idx="2">
                  <c:v>60788.897999999986</c:v>
                </c:pt>
              </c:numCache>
            </c:numRef>
          </c:val>
          <c:extLst>
            <c:ext xmlns:c16="http://schemas.microsoft.com/office/drawing/2014/chart" uri="{C3380CC4-5D6E-409C-BE32-E72D297353CC}">
              <c16:uniqueId val="{00000000-F3A1-4B66-AFE3-BC667F83E0D5}"/>
            </c:ext>
          </c:extLst>
        </c:ser>
        <c:ser>
          <c:idx val="1"/>
          <c:order val="1"/>
          <c:tx>
            <c:strRef>
              <c:f>'SEGMENT WISE'!$K$3</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WISE'!$I$4:$I$6</c:f>
              <c:strCache>
                <c:ptCount val="3"/>
                <c:pt idx="0">
                  <c:v>Consumer</c:v>
                </c:pt>
                <c:pt idx="1">
                  <c:v>Corporate</c:v>
                </c:pt>
                <c:pt idx="2">
                  <c:v>Home Office</c:v>
                </c:pt>
              </c:strCache>
            </c:strRef>
          </c:cat>
          <c:val>
            <c:numRef>
              <c:f>'SEGMENT WISE'!$K$4:$K$6</c:f>
              <c:numCache>
                <c:formatCode>General</c:formatCode>
                <c:ptCount val="3"/>
                <c:pt idx="0">
                  <c:v>7885.0520000000024</c:v>
                </c:pt>
                <c:pt idx="1">
                  <c:v>8117.8840999999939</c:v>
                </c:pt>
                <c:pt idx="2">
                  <c:v>4800.7865999999958</c:v>
                </c:pt>
              </c:numCache>
            </c:numRef>
          </c:val>
          <c:extLst>
            <c:ext xmlns:c16="http://schemas.microsoft.com/office/drawing/2014/chart" uri="{C3380CC4-5D6E-409C-BE32-E72D297353CC}">
              <c16:uniqueId val="{00000001-F3A1-4B66-AFE3-BC667F83E0D5}"/>
            </c:ext>
          </c:extLst>
        </c:ser>
        <c:ser>
          <c:idx val="2"/>
          <c:order val="2"/>
          <c:tx>
            <c:strRef>
              <c:f>'SEGMENT WISE'!$L$3</c:f>
              <c:strCache>
                <c:ptCount val="1"/>
                <c:pt idx="0">
                  <c:v>TOTAL DISCOUNT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WISE'!$I$4:$I$6</c:f>
              <c:strCache>
                <c:ptCount val="3"/>
                <c:pt idx="0">
                  <c:v>Consumer</c:v>
                </c:pt>
                <c:pt idx="1">
                  <c:v>Corporate</c:v>
                </c:pt>
                <c:pt idx="2">
                  <c:v>Home Office</c:v>
                </c:pt>
              </c:strCache>
            </c:strRef>
          </c:cat>
          <c:val>
            <c:numRef>
              <c:f>'SEGMENT WISE'!$L$4:$L$6</c:f>
              <c:numCache>
                <c:formatCode>General</c:formatCode>
                <c:ptCount val="3"/>
                <c:pt idx="0">
                  <c:v>91.020000000000309</c:v>
                </c:pt>
                <c:pt idx="1">
                  <c:v>34.799999999999976</c:v>
                </c:pt>
                <c:pt idx="2">
                  <c:v>22.499999999999975</c:v>
                </c:pt>
              </c:numCache>
            </c:numRef>
          </c:val>
          <c:extLst>
            <c:ext xmlns:c16="http://schemas.microsoft.com/office/drawing/2014/chart" uri="{C3380CC4-5D6E-409C-BE32-E72D297353CC}">
              <c16:uniqueId val="{00000002-F3A1-4B66-AFE3-BC667F83E0D5}"/>
            </c:ext>
          </c:extLst>
        </c:ser>
        <c:dLbls>
          <c:dLblPos val="outEnd"/>
          <c:showLegendKey val="0"/>
          <c:showVal val="1"/>
          <c:showCatName val="0"/>
          <c:showSerName val="0"/>
          <c:showPercent val="0"/>
          <c:showBubbleSize val="0"/>
        </c:dLbls>
        <c:gapWidth val="182"/>
        <c:axId val="1292852576"/>
        <c:axId val="1219804304"/>
      </c:barChart>
      <c:catAx>
        <c:axId val="12928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9804304"/>
        <c:crosses val="autoZero"/>
        <c:auto val="1"/>
        <c:lblAlgn val="ctr"/>
        <c:lblOffset val="100"/>
        <c:noMultiLvlLbl val="0"/>
      </c:catAx>
      <c:valAx>
        <c:axId val="121980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9285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34000">
          <a:schemeClr val="accent4">
            <a:lumMod val="60000"/>
            <a:lumOff val="40000"/>
          </a:schemeClr>
        </a:gs>
        <a:gs pos="2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.xlsx]STATE WISE!PivotTable2</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latin typeface="Times New Roman" panose="02020603050405020304" pitchFamily="18" charset="0"/>
                <a:cs typeface="Times New Roman" panose="02020603050405020304" pitchFamily="18" charset="0"/>
              </a:rPr>
              <a:t>STATE</a:t>
            </a:r>
            <a:r>
              <a:rPr lang="en-US" b="1" baseline="0">
                <a:latin typeface="Times New Roman" panose="02020603050405020304" pitchFamily="18" charset="0"/>
                <a:cs typeface="Times New Roman" panose="02020603050405020304" pitchFamily="18" charset="0"/>
              </a:rPr>
              <a:t> WISE ANALYSIS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w="19050">
            <a:solidFill>
              <a:schemeClr val="lt1"/>
            </a:solidFill>
          </a:ln>
          <a:effectLst/>
        </c:spPr>
      </c:pivotFmt>
      <c:pivotFmt>
        <c:idx val="24"/>
        <c:spPr>
          <a:solidFill>
            <a:schemeClr val="accent2">
              <a:lumMod val="60000"/>
              <a:lumOff val="40000"/>
            </a:schemeClr>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rgbClr val="FFC000"/>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0000"/>
          </a:solidFill>
          <a:ln w="19050">
            <a:solidFill>
              <a:schemeClr val="lt1"/>
            </a:solidFill>
          </a:ln>
          <a:effectLst/>
        </c:spPr>
        <c:dLbl>
          <c:idx val="0"/>
          <c:layout>
            <c:manualLayout>
              <c:x val="-0.14628297362110312"/>
              <c:y val="0.1226345144356955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868105515587529"/>
                  <c:h val="7.4519230769230768E-2"/>
                </c:manualLayout>
              </c15:layout>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rgbClr val="C00000"/>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s>
    <c:plotArea>
      <c:layout/>
      <c:pieChart>
        <c:varyColors val="1"/>
        <c:ser>
          <c:idx val="0"/>
          <c:order val="0"/>
          <c:tx>
            <c:strRef>
              <c:f>'STATE WISE'!$K$3</c:f>
              <c:strCache>
                <c:ptCount val="1"/>
                <c:pt idx="0">
                  <c:v>TOTAL SALES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2644-4E68-BACD-133B330D6D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44-4E68-BACD-133B330D6D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44-4E68-BACD-133B330D6D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44-4E68-BACD-133B330D6D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44-4E68-BACD-133B330D6D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44-4E68-BACD-133B330D6D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44-4E68-BACD-133B330D6D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644-4E68-BACD-133B330D6D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644-4E68-BACD-133B330D6D12}"/>
              </c:ext>
            </c:extLst>
          </c:dPt>
          <c:dPt>
            <c:idx val="9"/>
            <c:bubble3D val="0"/>
            <c:spPr>
              <a:solidFill>
                <a:srgbClr val="C00000"/>
              </a:solidFill>
              <a:ln w="19050">
                <a:solidFill>
                  <a:schemeClr val="lt1"/>
                </a:solidFill>
              </a:ln>
              <a:effectLst/>
            </c:spPr>
            <c:extLst>
              <c:ext xmlns:c16="http://schemas.microsoft.com/office/drawing/2014/chart" uri="{C3380CC4-5D6E-409C-BE32-E72D297353CC}">
                <c16:uniqueId val="{00000013-2644-4E68-BACD-133B330D6D12}"/>
              </c:ext>
            </c:extLst>
          </c:dPt>
          <c:dLbls>
            <c:dLbl>
              <c:idx val="0"/>
              <c:layout>
                <c:manualLayout>
                  <c:x val="-0.14628297362110312"/>
                  <c:y val="0.1226345144356955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868105515587529"/>
                      <c:h val="7.4519230769230768E-2"/>
                    </c:manualLayout>
                  </c15:layout>
                </c:ext>
                <c:ext xmlns:c16="http://schemas.microsoft.com/office/drawing/2014/chart" uri="{C3380CC4-5D6E-409C-BE32-E72D297353CC}">
                  <c16:uniqueId val="{00000001-2644-4E68-BACD-133B330D6D1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WISE'!$J$4:$J$13</c:f>
              <c:strCache>
                <c:ptCount val="10"/>
                <c:pt idx="0">
                  <c:v>California</c:v>
                </c:pt>
                <c:pt idx="1">
                  <c:v>Florida</c:v>
                </c:pt>
                <c:pt idx="2">
                  <c:v>Illinois</c:v>
                </c:pt>
                <c:pt idx="3">
                  <c:v>Kentucky</c:v>
                </c:pt>
                <c:pt idx="4">
                  <c:v>Minnesota</c:v>
                </c:pt>
                <c:pt idx="5">
                  <c:v>New York</c:v>
                </c:pt>
                <c:pt idx="6">
                  <c:v>Pennsylvania</c:v>
                </c:pt>
                <c:pt idx="7">
                  <c:v>Texas</c:v>
                </c:pt>
                <c:pt idx="8">
                  <c:v>Virginia</c:v>
                </c:pt>
                <c:pt idx="9">
                  <c:v>Washington</c:v>
                </c:pt>
              </c:strCache>
            </c:strRef>
          </c:cat>
          <c:val>
            <c:numRef>
              <c:f>'STATE WISE'!$K$4:$K$13</c:f>
              <c:numCache>
                <c:formatCode>General</c:formatCode>
                <c:ptCount val="10"/>
                <c:pt idx="0">
                  <c:v>50389.273000000001</c:v>
                </c:pt>
                <c:pt idx="1">
                  <c:v>30888.983499999998</c:v>
                </c:pt>
                <c:pt idx="2">
                  <c:v>4895.9939999999988</c:v>
                </c:pt>
                <c:pt idx="3">
                  <c:v>7327.41</c:v>
                </c:pt>
                <c:pt idx="4">
                  <c:v>4788.6000000000004</c:v>
                </c:pt>
                <c:pt idx="5">
                  <c:v>15087.419999999998</c:v>
                </c:pt>
                <c:pt idx="6">
                  <c:v>8304.5969999999998</c:v>
                </c:pt>
                <c:pt idx="7">
                  <c:v>17430.970599999993</c:v>
                </c:pt>
                <c:pt idx="8">
                  <c:v>20873.71</c:v>
                </c:pt>
                <c:pt idx="9">
                  <c:v>14321.271999999997</c:v>
                </c:pt>
              </c:numCache>
            </c:numRef>
          </c:val>
          <c:extLst>
            <c:ext xmlns:c16="http://schemas.microsoft.com/office/drawing/2014/chart" uri="{C3380CC4-5D6E-409C-BE32-E72D297353CC}">
              <c16:uniqueId val="{00000014-2644-4E68-BACD-133B330D6D12}"/>
            </c:ext>
          </c:extLst>
        </c:ser>
        <c:ser>
          <c:idx val="1"/>
          <c:order val="1"/>
          <c:tx>
            <c:strRef>
              <c:f>'STATE WISE'!$L$3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2644-4E68-BACD-133B330D6D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2644-4E68-BACD-133B330D6D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2644-4E68-BACD-133B330D6D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2644-4E68-BACD-133B330D6D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2644-4E68-BACD-133B330D6D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2644-4E68-BACD-133B330D6D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2644-4E68-BACD-133B330D6D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2644-4E68-BACD-133B330D6D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2644-4E68-BACD-133B330D6D1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2644-4E68-BACD-133B330D6D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WISE'!$J$4:$J$13</c:f>
              <c:strCache>
                <c:ptCount val="10"/>
                <c:pt idx="0">
                  <c:v>California</c:v>
                </c:pt>
                <c:pt idx="1">
                  <c:v>Florida</c:v>
                </c:pt>
                <c:pt idx="2">
                  <c:v>Illinois</c:v>
                </c:pt>
                <c:pt idx="3">
                  <c:v>Kentucky</c:v>
                </c:pt>
                <c:pt idx="4">
                  <c:v>Minnesota</c:v>
                </c:pt>
                <c:pt idx="5">
                  <c:v>New York</c:v>
                </c:pt>
                <c:pt idx="6">
                  <c:v>Pennsylvania</c:v>
                </c:pt>
                <c:pt idx="7">
                  <c:v>Texas</c:v>
                </c:pt>
                <c:pt idx="8">
                  <c:v>Virginia</c:v>
                </c:pt>
                <c:pt idx="9">
                  <c:v>Washington</c:v>
                </c:pt>
              </c:strCache>
            </c:strRef>
          </c:cat>
          <c:val>
            <c:numRef>
              <c:f>'STATE WISE'!$L$4:$L$13</c:f>
              <c:numCache>
                <c:formatCode>General</c:formatCode>
                <c:ptCount val="10"/>
                <c:pt idx="0">
                  <c:v>6605.515099999996</c:v>
                </c:pt>
                <c:pt idx="1">
                  <c:v>-1803.2557000000015</c:v>
                </c:pt>
                <c:pt idx="2">
                  <c:v>-839.83870000000047</c:v>
                </c:pt>
                <c:pt idx="3">
                  <c:v>1959.3459999999998</c:v>
                </c:pt>
                <c:pt idx="4">
                  <c:v>1279.0467000000001</c:v>
                </c:pt>
                <c:pt idx="5">
                  <c:v>1261.8472999999999</c:v>
                </c:pt>
                <c:pt idx="6">
                  <c:v>-725.90449999999987</c:v>
                </c:pt>
                <c:pt idx="7">
                  <c:v>-4959.6499000000003</c:v>
                </c:pt>
                <c:pt idx="8">
                  <c:v>4862.3110999999981</c:v>
                </c:pt>
                <c:pt idx="9">
                  <c:v>2959.3206</c:v>
                </c:pt>
              </c:numCache>
            </c:numRef>
          </c:val>
          <c:extLst>
            <c:ext xmlns:c16="http://schemas.microsoft.com/office/drawing/2014/chart" uri="{C3380CC4-5D6E-409C-BE32-E72D297353CC}">
              <c16:uniqueId val="{00000029-2644-4E68-BACD-133B330D6D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763888888888886"/>
          <c:y val="3.7754082822980456E-2"/>
          <c:w val="0.21458333333333335"/>
          <c:h val="0.94342701953922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accent4">
            <a:lumMod val="60000"/>
            <a:lumOff val="40000"/>
          </a:schemeClr>
        </a:gs>
        <a:gs pos="0">
          <a:schemeClr val="accent4">
            <a:satMod val="110000"/>
            <a:lumMod val="100000"/>
            <a:shade val="100000"/>
          </a:schemeClr>
        </a:gs>
        <a:gs pos="44000">
          <a:schemeClr val="accent4">
            <a:lumMod val="99000"/>
            <a:satMod val="120000"/>
            <a:shade val="78000"/>
          </a:schemeClr>
        </a:gs>
      </a:gsLst>
      <a:lin ang="5400000" scaled="0"/>
    </a:gradFill>
    <a:ln w="9525" cap="flat" cmpd="sng" algn="ctr">
      <a:noFill/>
      <a:round/>
    </a:ln>
    <a:effectLst>
      <a:glow rad="127000">
        <a:schemeClr val="bg1"/>
      </a:glow>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.xlsx]PRODUCT !PivotTable1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83BED"/>
          </a:solidFill>
          <a:ln w="57150">
            <a:solidFill>
              <a:srgbClr val="49EDE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rgbClr val="FF3B8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83BED"/>
          </a:solidFill>
          <a:ln w="57150">
            <a:solidFill>
              <a:srgbClr val="49EDE9"/>
            </a:solidFill>
          </a:ln>
          <a:effectLst/>
        </c:spPr>
      </c:pivotFmt>
    </c:pivotFmts>
    <c:plotArea>
      <c:layout/>
      <c:barChart>
        <c:barDir val="col"/>
        <c:grouping val="clustered"/>
        <c:varyColors val="0"/>
        <c:ser>
          <c:idx val="0"/>
          <c:order val="0"/>
          <c:tx>
            <c:strRef>
              <c:f>'PRODUCT '!$K$3</c:f>
              <c:strCache>
                <c:ptCount val="1"/>
                <c:pt idx="0">
                  <c:v>TOTAL SALES</c:v>
                </c:pt>
              </c:strCache>
            </c:strRef>
          </c:tx>
          <c:spPr>
            <a:solidFill>
              <a:srgbClr val="483BED"/>
            </a:solidFill>
            <a:ln w="57150">
              <a:solidFill>
                <a:srgbClr val="49EDE9"/>
              </a:solidFill>
            </a:ln>
            <a:effectLst/>
          </c:spPr>
          <c:invertIfNegative val="0"/>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'!$K$4:$K$13</c:f>
              <c:numCache>
                <c:formatCode>General</c:formatCode>
                <c:ptCount val="10"/>
                <c:pt idx="0">
                  <c:v>2914.7309999999998</c:v>
                </c:pt>
                <c:pt idx="1">
                  <c:v>22638.48</c:v>
                </c:pt>
                <c:pt idx="2">
                  <c:v>2735.3700000000003</c:v>
                </c:pt>
                <c:pt idx="3">
                  <c:v>5443.9599999999991</c:v>
                </c:pt>
                <c:pt idx="4">
                  <c:v>2792.8040000000001</c:v>
                </c:pt>
                <c:pt idx="5">
                  <c:v>5948.3880000000008</c:v>
                </c:pt>
                <c:pt idx="6">
                  <c:v>8187.65</c:v>
                </c:pt>
                <c:pt idx="7">
                  <c:v>4164.0499999999993</c:v>
                </c:pt>
                <c:pt idx="8">
                  <c:v>3499.9300000000003</c:v>
                </c:pt>
                <c:pt idx="9">
                  <c:v>3818.4480000000003</c:v>
                </c:pt>
              </c:numCache>
            </c:numRef>
          </c:val>
          <c:extLst>
            <c:ext xmlns:c16="http://schemas.microsoft.com/office/drawing/2014/chart" uri="{C3380CC4-5D6E-409C-BE32-E72D297353CC}">
              <c16:uniqueId val="{00000000-F4D8-475A-A1B4-811F91D4EBFB}"/>
            </c:ext>
          </c:extLst>
        </c:ser>
        <c:ser>
          <c:idx val="1"/>
          <c:order val="1"/>
          <c:tx>
            <c:strRef>
              <c:f>'PRODUCT '!$L$3</c:f>
              <c:strCache>
                <c:ptCount val="1"/>
                <c:pt idx="0">
                  <c:v>TOTAL PROFIT</c:v>
                </c:pt>
              </c:strCache>
            </c:strRef>
          </c:tx>
          <c:spPr>
            <a:solidFill>
              <a:schemeClr val="accent2"/>
            </a:solidFill>
            <a:ln>
              <a:noFill/>
            </a:ln>
            <a:effectLst/>
          </c:spPr>
          <c:invertIfNegative val="0"/>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'!$L$4:$L$13</c:f>
              <c:numCache>
                <c:formatCode>General</c:formatCode>
                <c:ptCount val="10"/>
                <c:pt idx="0">
                  <c:v>-327.01860000000039</c:v>
                </c:pt>
                <c:pt idx="1">
                  <c:v>-1811.0784000000021</c:v>
                </c:pt>
                <c:pt idx="2">
                  <c:v>1285.8171</c:v>
                </c:pt>
                <c:pt idx="3">
                  <c:v>-2640.3206000000018</c:v>
                </c:pt>
                <c:pt idx="4">
                  <c:v>441.71900000000005</c:v>
                </c:pt>
                <c:pt idx="5">
                  <c:v>1481.3735999999994</c:v>
                </c:pt>
                <c:pt idx="6">
                  <c:v>327.50599999999963</c:v>
                </c:pt>
                <c:pt idx="7">
                  <c:v>83.281000000000063</c:v>
                </c:pt>
                <c:pt idx="8">
                  <c:v>909.98180000000025</c:v>
                </c:pt>
                <c:pt idx="9">
                  <c:v>556.85699999999974</c:v>
                </c:pt>
              </c:numCache>
            </c:numRef>
          </c:val>
          <c:extLst>
            <c:ext xmlns:c16="http://schemas.microsoft.com/office/drawing/2014/chart" uri="{C3380CC4-5D6E-409C-BE32-E72D297353CC}">
              <c16:uniqueId val="{00000001-F4D8-475A-A1B4-811F91D4EBFB}"/>
            </c:ext>
          </c:extLst>
        </c:ser>
        <c:dLbls>
          <c:showLegendKey val="0"/>
          <c:showVal val="0"/>
          <c:showCatName val="0"/>
          <c:showSerName val="0"/>
          <c:showPercent val="0"/>
          <c:showBubbleSize val="0"/>
        </c:dLbls>
        <c:gapWidth val="219"/>
        <c:overlap val="-27"/>
        <c:axId val="1363656480"/>
        <c:axId val="1219868144"/>
      </c:barChart>
      <c:lineChart>
        <c:grouping val="stacked"/>
        <c:varyColors val="0"/>
        <c:ser>
          <c:idx val="2"/>
          <c:order val="2"/>
          <c:tx>
            <c:strRef>
              <c:f>'PRODUCT '!$M$3</c:f>
              <c:strCache>
                <c:ptCount val="1"/>
                <c:pt idx="0">
                  <c:v>TOTAL QUANTITY</c:v>
                </c:pt>
              </c:strCache>
            </c:strRef>
          </c:tx>
          <c:spPr>
            <a:ln w="28575" cap="rnd">
              <a:solidFill>
                <a:schemeClr val="accent3"/>
              </a:solidFill>
              <a:round/>
            </a:ln>
            <a:effectLst/>
          </c:spPr>
          <c:marker>
            <c:symbol val="none"/>
          </c:marker>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'!$M$4:$M$13</c:f>
              <c:numCache>
                <c:formatCode>General</c:formatCode>
                <c:ptCount val="10"/>
                <c:pt idx="0">
                  <c:v>18</c:v>
                </c:pt>
                <c:pt idx="1">
                  <c:v>6</c:v>
                </c:pt>
                <c:pt idx="2">
                  <c:v>10</c:v>
                </c:pt>
                <c:pt idx="3">
                  <c:v>11</c:v>
                </c:pt>
                <c:pt idx="4">
                  <c:v>11</c:v>
                </c:pt>
                <c:pt idx="5">
                  <c:v>22</c:v>
                </c:pt>
                <c:pt idx="6">
                  <c:v>5</c:v>
                </c:pt>
                <c:pt idx="7">
                  <c:v>5</c:v>
                </c:pt>
                <c:pt idx="8">
                  <c:v>7</c:v>
                </c:pt>
                <c:pt idx="9">
                  <c:v>15</c:v>
                </c:pt>
              </c:numCache>
            </c:numRef>
          </c:val>
          <c:smooth val="0"/>
          <c:extLst>
            <c:ext xmlns:c16="http://schemas.microsoft.com/office/drawing/2014/chart" uri="{C3380CC4-5D6E-409C-BE32-E72D297353CC}">
              <c16:uniqueId val="{00000002-F4D8-475A-A1B4-811F91D4EBFB}"/>
            </c:ext>
          </c:extLst>
        </c:ser>
        <c:ser>
          <c:idx val="3"/>
          <c:order val="3"/>
          <c:tx>
            <c:strRef>
              <c:f>'PRODUCT '!$N$3</c:f>
              <c:strCache>
                <c:ptCount val="1"/>
                <c:pt idx="0">
                  <c:v>TOTAL DISCOUNT</c:v>
                </c:pt>
              </c:strCache>
            </c:strRef>
          </c:tx>
          <c:spPr>
            <a:ln w="38100" cap="rnd">
              <a:solidFill>
                <a:srgbClr val="FF3B81"/>
              </a:solidFill>
              <a:round/>
            </a:ln>
            <a:effectLst/>
          </c:spPr>
          <c:marker>
            <c:symbol val="none"/>
          </c:marker>
          <c:cat>
            <c:strRef>
              <c:f>'PRODUCT '!$J$4:$J$13</c:f>
              <c:strCache>
                <c:ptCount val="10"/>
                <c:pt idx="0">
                  <c:v>Chromcraft Rectangular Conference Tables</c:v>
                </c:pt>
                <c:pt idx="1">
                  <c:v>Cisco TelePresence System EX90 Videoconferencing Unit</c:v>
                </c:pt>
                <c:pt idx="2">
                  <c:v>Fellowes PB300 Plastic Comb Binding Machine</c:v>
                </c:pt>
                <c:pt idx="3">
                  <c:v>GBC DocuBind P400 Electric Binding System</c:v>
                </c:pt>
                <c:pt idx="4">
                  <c:v>Global Commerce Series High-Back Swivel/Tilt Chairs</c:v>
                </c:pt>
                <c:pt idx="5">
                  <c:v>Global Deluxe High-Back Manager's Chair</c:v>
                </c:pt>
                <c:pt idx="6">
                  <c:v>High Speed Automatic Electric Letter Opener</c:v>
                </c:pt>
                <c:pt idx="7">
                  <c:v>Martin Yale Chadless Opener Electric Letter Opener</c:v>
                </c:pt>
                <c:pt idx="8">
                  <c:v>Samsung Galaxy S4 Active</c:v>
                </c:pt>
                <c:pt idx="9">
                  <c:v>Tennsco 6- and 18-Compartment Lockers</c:v>
                </c:pt>
              </c:strCache>
            </c:strRef>
          </c:cat>
          <c:val>
            <c:numRef>
              <c:f>'PRODUCT '!$N$4:$N$13</c:f>
              <c:numCache>
                <c:formatCode>General</c:formatCode>
                <c:ptCount val="10"/>
                <c:pt idx="0">
                  <c:v>1.1000000000000001</c:v>
                </c:pt>
                <c:pt idx="1">
                  <c:v>0.5</c:v>
                </c:pt>
                <c:pt idx="2">
                  <c:v>0</c:v>
                </c:pt>
                <c:pt idx="3">
                  <c:v>1</c:v>
                </c:pt>
                <c:pt idx="4">
                  <c:v>0.3</c:v>
                </c:pt>
                <c:pt idx="5">
                  <c:v>0.4</c:v>
                </c:pt>
                <c:pt idx="6">
                  <c:v>0</c:v>
                </c:pt>
                <c:pt idx="7">
                  <c:v>0</c:v>
                </c:pt>
                <c:pt idx="8">
                  <c:v>0</c:v>
                </c:pt>
                <c:pt idx="9">
                  <c:v>0.2</c:v>
                </c:pt>
              </c:numCache>
            </c:numRef>
          </c:val>
          <c:smooth val="0"/>
          <c:extLst>
            <c:ext xmlns:c16="http://schemas.microsoft.com/office/drawing/2014/chart" uri="{C3380CC4-5D6E-409C-BE32-E72D297353CC}">
              <c16:uniqueId val="{00000003-F4D8-475A-A1B4-811F91D4EBFB}"/>
            </c:ext>
          </c:extLst>
        </c:ser>
        <c:dLbls>
          <c:showLegendKey val="0"/>
          <c:showVal val="0"/>
          <c:showCatName val="0"/>
          <c:showSerName val="0"/>
          <c:showPercent val="0"/>
          <c:showBubbleSize val="0"/>
        </c:dLbls>
        <c:marker val="1"/>
        <c:smooth val="0"/>
        <c:axId val="1363634672"/>
        <c:axId val="1219865744"/>
      </c:lineChart>
      <c:catAx>
        <c:axId val="1363656480"/>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9868144"/>
        <c:crosses val="autoZero"/>
        <c:auto val="1"/>
        <c:lblAlgn val="ctr"/>
        <c:lblOffset val="100"/>
        <c:noMultiLvlLbl val="0"/>
      </c:catAx>
      <c:valAx>
        <c:axId val="121986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3656480"/>
        <c:crosses val="autoZero"/>
        <c:crossBetween val="between"/>
      </c:valAx>
      <c:valAx>
        <c:axId val="1219865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3634672"/>
        <c:crosses val="max"/>
        <c:crossBetween val="between"/>
      </c:valAx>
      <c:catAx>
        <c:axId val="1363634672"/>
        <c:scaling>
          <c:orientation val="minMax"/>
        </c:scaling>
        <c:delete val="1"/>
        <c:axPos val="b"/>
        <c:numFmt formatCode="General" sourceLinked="1"/>
        <c:majorTickMark val="out"/>
        <c:minorTickMark val="none"/>
        <c:tickLblPos val="nextTo"/>
        <c:crossAx val="1219865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5000">
          <a:schemeClr val="accent4">
            <a:lumMod val="60000"/>
            <a:lumOff val="40000"/>
          </a:schemeClr>
        </a:gs>
        <a:gs pos="5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 DASHBOARD SALES DATA .xlsx]COUNTRY WISE!PivotTable1</c:name>
    <c:fmtId val="13"/>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IN"/>
              <a:t>COUNTRY WISE SALES AND PROFIT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C00000"/>
          </a:solidFill>
          <a:ln>
            <a:noFill/>
          </a:ln>
          <a:effectLst/>
        </c:spPr>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83BED"/>
          </a:solidFill>
          <a:ln>
            <a:noFill/>
          </a:ln>
          <a:effectLst/>
        </c:spPr>
      </c:pivotFmt>
      <c:pivotFmt>
        <c:idx val="9"/>
        <c:spPr>
          <a:solidFill>
            <a:srgbClr val="483BED"/>
          </a:solidFill>
          <a:ln>
            <a:noFill/>
          </a:ln>
          <a:effectLst/>
        </c:spPr>
      </c:pivotFmt>
    </c:pivotFmts>
    <c:plotArea>
      <c:layout/>
      <c:barChart>
        <c:barDir val="col"/>
        <c:grouping val="clustered"/>
        <c:varyColors val="0"/>
        <c:ser>
          <c:idx val="0"/>
          <c:order val="0"/>
          <c:tx>
            <c:strRef>
              <c:f>'COUNTRY WISE'!$K$3</c:f>
              <c:strCache>
                <c:ptCount val="1"/>
                <c:pt idx="0">
                  <c:v>TOTAL SALES</c:v>
                </c:pt>
              </c:strCache>
            </c:strRef>
          </c:tx>
          <c:spPr>
            <a:solidFill>
              <a:srgbClr val="FF0000"/>
            </a:solidFill>
            <a:ln>
              <a:noFill/>
            </a:ln>
            <a:effectLst/>
          </c:spPr>
          <c:invertIfNegative val="0"/>
          <c:dPt>
            <c:idx val="0"/>
            <c:invertIfNegative val="0"/>
            <c:bubble3D val="0"/>
            <c:spPr>
              <a:solidFill>
                <a:srgbClr val="483BED"/>
              </a:solidFill>
              <a:ln>
                <a:noFill/>
              </a:ln>
              <a:effectLst/>
            </c:spPr>
            <c:extLst>
              <c:ext xmlns:c16="http://schemas.microsoft.com/office/drawing/2014/chart" uri="{C3380CC4-5D6E-409C-BE32-E72D297353CC}">
                <c16:uniqueId val="{00000003-D75C-446C-98DC-386698AC6A6B}"/>
              </c:ext>
            </c:extLst>
          </c:dPt>
          <c:dPt>
            <c:idx val="1"/>
            <c:invertIfNegative val="0"/>
            <c:bubble3D val="0"/>
            <c:spPr>
              <a:solidFill>
                <a:srgbClr val="483BED"/>
              </a:solidFill>
              <a:ln>
                <a:noFill/>
              </a:ln>
              <a:effectLst/>
            </c:spPr>
            <c:extLst>
              <c:ext xmlns:c16="http://schemas.microsoft.com/office/drawing/2014/chart" uri="{C3380CC4-5D6E-409C-BE32-E72D297353CC}">
                <c16:uniqueId val="{00000002-D75C-446C-98DC-386698AC6A6B}"/>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 WISE'!$J$4:$J$5</c:f>
              <c:strCache>
                <c:ptCount val="2"/>
                <c:pt idx="0">
                  <c:v>Canada</c:v>
                </c:pt>
                <c:pt idx="1">
                  <c:v>United States</c:v>
                </c:pt>
              </c:strCache>
            </c:strRef>
          </c:cat>
          <c:val>
            <c:numRef>
              <c:f>'COUNTRY WISE'!$K$4:$K$5</c:f>
              <c:numCache>
                <c:formatCode>General</c:formatCode>
                <c:ptCount val="2"/>
                <c:pt idx="0">
                  <c:v>5278.7619999999979</c:v>
                </c:pt>
                <c:pt idx="1">
                  <c:v>223402.46309999991</c:v>
                </c:pt>
              </c:numCache>
            </c:numRef>
          </c:val>
          <c:extLst>
            <c:ext xmlns:c16="http://schemas.microsoft.com/office/drawing/2014/chart" uri="{C3380CC4-5D6E-409C-BE32-E72D297353CC}">
              <c16:uniqueId val="{00000000-D75C-446C-98DC-386698AC6A6B}"/>
            </c:ext>
          </c:extLst>
        </c:ser>
        <c:ser>
          <c:idx val="1"/>
          <c:order val="1"/>
          <c:tx>
            <c:strRef>
              <c:f>'COUNTRY WISE'!$L$3</c:f>
              <c:strCache>
                <c:ptCount val="1"/>
                <c:pt idx="0">
                  <c:v>TOTAL PROFIT</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 WISE'!$J$4:$J$5</c:f>
              <c:strCache>
                <c:ptCount val="2"/>
                <c:pt idx="0">
                  <c:v>Canada</c:v>
                </c:pt>
                <c:pt idx="1">
                  <c:v>United States</c:v>
                </c:pt>
              </c:strCache>
            </c:strRef>
          </c:cat>
          <c:val>
            <c:numRef>
              <c:f>'COUNTRY WISE'!$L$4:$L$5</c:f>
              <c:numCache>
                <c:formatCode>General</c:formatCode>
                <c:ptCount val="2"/>
                <c:pt idx="0">
                  <c:v>1211.9571999999998</c:v>
                </c:pt>
                <c:pt idx="1">
                  <c:v>19591.765499999998</c:v>
                </c:pt>
              </c:numCache>
            </c:numRef>
          </c:val>
          <c:extLst>
            <c:ext xmlns:c16="http://schemas.microsoft.com/office/drawing/2014/chart" uri="{C3380CC4-5D6E-409C-BE32-E72D297353CC}">
              <c16:uniqueId val="{00000001-D75C-446C-98DC-386698AC6A6B}"/>
            </c:ext>
          </c:extLst>
        </c:ser>
        <c:dLbls>
          <c:showLegendKey val="0"/>
          <c:showVal val="0"/>
          <c:showCatName val="0"/>
          <c:showSerName val="0"/>
          <c:showPercent val="0"/>
          <c:showBubbleSize val="0"/>
        </c:dLbls>
        <c:gapWidth val="100"/>
        <c:axId val="1536697056"/>
        <c:axId val="1219796624"/>
      </c:barChart>
      <c:catAx>
        <c:axId val="15366970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9796624"/>
        <c:crosses val="autoZero"/>
        <c:auto val="1"/>
        <c:lblAlgn val="ctr"/>
        <c:lblOffset val="100"/>
        <c:noMultiLvlLbl val="0"/>
      </c:catAx>
      <c:valAx>
        <c:axId val="12197966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669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25000">
          <a:schemeClr val="accent4">
            <a:lumMod val="60000"/>
            <a:lumOff val="40000"/>
          </a:schemeClr>
        </a:gs>
        <a:gs pos="72000">
          <a:schemeClr val="accent4">
            <a:satMod val="110000"/>
            <a:lumMod val="100000"/>
            <a:shade val="100000"/>
          </a:schemeClr>
        </a:gs>
        <a:gs pos="100000">
          <a:schemeClr val="accent4">
            <a:lumMod val="99000"/>
            <a:satMod val="120000"/>
            <a:shade val="78000"/>
          </a:schemeClr>
        </a:gs>
      </a:gsLst>
      <a:lin ang="5400000" scaled="0"/>
    </a:gradFill>
    <a:ln w="12700" cap="flat" cmpd="sng" algn="ctr">
      <a:solidFill>
        <a:schemeClr val="accent4"/>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28575</xdr:colOff>
      <xdr:row>8</xdr:row>
      <xdr:rowOff>185737</xdr:rowOff>
    </xdr:from>
    <xdr:to>
      <xdr:col>15</xdr:col>
      <xdr:colOff>19050</xdr:colOff>
      <xdr:row>23</xdr:row>
      <xdr:rowOff>100237</xdr:rowOff>
    </xdr:to>
    <xdr:graphicFrame macro="">
      <xdr:nvGraphicFramePr>
        <xdr:cNvPr id="3" name="Chart 2">
          <a:extLst>
            <a:ext uri="{FF2B5EF4-FFF2-40B4-BE49-F238E27FC236}">
              <a16:creationId xmlns:a16="http://schemas.microsoft.com/office/drawing/2014/main" id="{7AB77A53-B5D6-B0BF-C2F2-1C032EFB9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1285875</xdr:colOff>
      <xdr:row>13</xdr:row>
      <xdr:rowOff>123825</xdr:rowOff>
    </xdr:from>
    <xdr:to>
      <xdr:col>13</xdr:col>
      <xdr:colOff>0</xdr:colOff>
      <xdr:row>28</xdr:row>
      <xdr:rowOff>9525</xdr:rowOff>
    </xdr:to>
    <xdr:graphicFrame macro="">
      <xdr:nvGraphicFramePr>
        <xdr:cNvPr id="3" name="Chart 2">
          <a:extLst>
            <a:ext uri="{FF2B5EF4-FFF2-40B4-BE49-F238E27FC236}">
              <a16:creationId xmlns:a16="http://schemas.microsoft.com/office/drawing/2014/main" id="{0717FD07-CD5A-5E9A-4D7F-20A50B55A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571500</xdr:colOff>
      <xdr:row>6</xdr:row>
      <xdr:rowOff>147637</xdr:rowOff>
    </xdr:from>
    <xdr:to>
      <xdr:col>13</xdr:col>
      <xdr:colOff>247650</xdr:colOff>
      <xdr:row>21</xdr:row>
      <xdr:rowOff>33337</xdr:rowOff>
    </xdr:to>
    <xdr:graphicFrame macro="">
      <xdr:nvGraphicFramePr>
        <xdr:cNvPr id="2" name="Chart 1">
          <a:extLst>
            <a:ext uri="{FF2B5EF4-FFF2-40B4-BE49-F238E27FC236}">
              <a16:creationId xmlns:a16="http://schemas.microsoft.com/office/drawing/2014/main" id="{A9878A00-E78E-27D9-CAB5-52E07BB96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295275</xdr:colOff>
      <xdr:row>20</xdr:row>
      <xdr:rowOff>176212</xdr:rowOff>
    </xdr:from>
    <xdr:to>
      <xdr:col>13</xdr:col>
      <xdr:colOff>352425</xdr:colOff>
      <xdr:row>36</xdr:row>
      <xdr:rowOff>28575</xdr:rowOff>
    </xdr:to>
    <xdr:graphicFrame macro="">
      <xdr:nvGraphicFramePr>
        <xdr:cNvPr id="2" name="Chart 1">
          <a:extLst>
            <a:ext uri="{FF2B5EF4-FFF2-40B4-BE49-F238E27FC236}">
              <a16:creationId xmlns:a16="http://schemas.microsoft.com/office/drawing/2014/main" id="{7BB20BBD-95D5-DF2D-D348-782E639FF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57149</xdr:colOff>
      <xdr:row>24</xdr:row>
      <xdr:rowOff>42862</xdr:rowOff>
    </xdr:from>
    <xdr:to>
      <xdr:col>12</xdr:col>
      <xdr:colOff>601979</xdr:colOff>
      <xdr:row>38</xdr:row>
      <xdr:rowOff>147862</xdr:rowOff>
    </xdr:to>
    <xdr:graphicFrame macro="">
      <xdr:nvGraphicFramePr>
        <xdr:cNvPr id="2" name="Chart 1">
          <a:extLst>
            <a:ext uri="{FF2B5EF4-FFF2-40B4-BE49-F238E27FC236}">
              <a16:creationId xmlns:a16="http://schemas.microsoft.com/office/drawing/2014/main" id="{9709108C-CD29-DA7F-554C-7A9813620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285750</xdr:colOff>
      <xdr:row>5</xdr:row>
      <xdr:rowOff>185737</xdr:rowOff>
    </xdr:from>
    <xdr:to>
      <xdr:col>13</xdr:col>
      <xdr:colOff>457200</xdr:colOff>
      <xdr:row>20</xdr:row>
      <xdr:rowOff>71437</xdr:rowOff>
    </xdr:to>
    <xdr:graphicFrame macro="">
      <xdr:nvGraphicFramePr>
        <xdr:cNvPr id="2" name="Chart 1">
          <a:extLst>
            <a:ext uri="{FF2B5EF4-FFF2-40B4-BE49-F238E27FC236}">
              <a16:creationId xmlns:a16="http://schemas.microsoft.com/office/drawing/2014/main" id="{97F4A040-363A-3A45-4E04-4535FE1CA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209550</xdr:colOff>
      <xdr:row>6</xdr:row>
      <xdr:rowOff>157162</xdr:rowOff>
    </xdr:from>
    <xdr:to>
      <xdr:col>12</xdr:col>
      <xdr:colOff>495300</xdr:colOff>
      <xdr:row>21</xdr:row>
      <xdr:rowOff>42862</xdr:rowOff>
    </xdr:to>
    <xdr:graphicFrame macro="">
      <xdr:nvGraphicFramePr>
        <xdr:cNvPr id="4" name="Chart 3">
          <a:extLst>
            <a:ext uri="{FF2B5EF4-FFF2-40B4-BE49-F238E27FC236}">
              <a16:creationId xmlns:a16="http://schemas.microsoft.com/office/drawing/2014/main" id="{A185B6F5-F7EB-ACC4-1DBD-5472886A2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19050</xdr:colOff>
      <xdr:row>14</xdr:row>
      <xdr:rowOff>33336</xdr:rowOff>
    </xdr:from>
    <xdr:to>
      <xdr:col>13</xdr:col>
      <xdr:colOff>190500</xdr:colOff>
      <xdr:row>28</xdr:row>
      <xdr:rowOff>180975</xdr:rowOff>
    </xdr:to>
    <xdr:graphicFrame macro="">
      <xdr:nvGraphicFramePr>
        <xdr:cNvPr id="2" name="Chart 1">
          <a:extLst>
            <a:ext uri="{FF2B5EF4-FFF2-40B4-BE49-F238E27FC236}">
              <a16:creationId xmlns:a16="http://schemas.microsoft.com/office/drawing/2014/main" id="{176FBE2F-E74D-1C61-620A-2CD94E1BD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266700</xdr:colOff>
      <xdr:row>4</xdr:row>
      <xdr:rowOff>76200</xdr:rowOff>
    </xdr:from>
    <xdr:to>
      <xdr:col>40</xdr:col>
      <xdr:colOff>476250</xdr:colOff>
      <xdr:row>49</xdr:row>
      <xdr:rowOff>19050</xdr:rowOff>
    </xdr:to>
    <xdr:sp macro="" textlink="">
      <xdr:nvSpPr>
        <xdr:cNvPr id="9" name="Rectangle 8">
          <a:extLst>
            <a:ext uri="{FF2B5EF4-FFF2-40B4-BE49-F238E27FC236}">
              <a16:creationId xmlns:a16="http://schemas.microsoft.com/office/drawing/2014/main" id="{156B0195-12A6-3E19-77F3-40B87FB22C6C}"/>
            </a:ext>
          </a:extLst>
        </xdr:cNvPr>
        <xdr:cNvSpPr/>
      </xdr:nvSpPr>
      <xdr:spPr>
        <a:xfrm>
          <a:off x="266700" y="838200"/>
          <a:ext cx="24593550" cy="851535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0</xdr:colOff>
      <xdr:row>5</xdr:row>
      <xdr:rowOff>0</xdr:rowOff>
    </xdr:from>
    <xdr:to>
      <xdr:col>36</xdr:col>
      <xdr:colOff>0</xdr:colOff>
      <xdr:row>8</xdr:row>
      <xdr:rowOff>0</xdr:rowOff>
    </xdr:to>
    <xdr:sp macro="" textlink="">
      <xdr:nvSpPr>
        <xdr:cNvPr id="16" name="TextBox 15">
          <a:extLst>
            <a:ext uri="{FF2B5EF4-FFF2-40B4-BE49-F238E27FC236}">
              <a16:creationId xmlns:a16="http://schemas.microsoft.com/office/drawing/2014/main" id="{EB2AD42B-0E16-C1F3-7FD7-E5068E3F3EFF}"/>
            </a:ext>
          </a:extLst>
        </xdr:cNvPr>
        <xdr:cNvSpPr txBox="1"/>
      </xdr:nvSpPr>
      <xdr:spPr>
        <a:xfrm>
          <a:off x="6096000" y="952500"/>
          <a:ext cx="15849600" cy="571500"/>
        </a:xfrm>
        <a:prstGeom prst="rect">
          <a:avLst/>
        </a:prstGeom>
        <a:solidFill>
          <a:srgbClr val="B369A5"/>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latin typeface="Times New Roman" panose="02020603050405020304" pitchFamily="18" charset="0"/>
              <a:cs typeface="Times New Roman" panose="02020603050405020304" pitchFamily="18" charset="0"/>
            </a:rPr>
            <a:t>SALES </a:t>
          </a:r>
          <a:r>
            <a:rPr lang="en-IN" sz="3600" b="1" baseline="0">
              <a:solidFill>
                <a:schemeClr val="bg1"/>
              </a:solidFill>
              <a:latin typeface="Times New Roman" panose="02020603050405020304" pitchFamily="18" charset="0"/>
              <a:cs typeface="Times New Roman" panose="02020603050405020304" pitchFamily="18" charset="0"/>
            </a:rPr>
            <a:t> PERFORMANCE DASHBOARD</a:t>
          </a:r>
          <a:endParaRPr lang="en-IN" sz="3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xdr:colOff>
      <xdr:row>8</xdr:row>
      <xdr:rowOff>95250</xdr:rowOff>
    </xdr:from>
    <xdr:to>
      <xdr:col>16</xdr:col>
      <xdr:colOff>190500</xdr:colOff>
      <xdr:row>12</xdr:row>
      <xdr:rowOff>171450</xdr:rowOff>
    </xdr:to>
    <xdr:sp macro="" textlink="">
      <xdr:nvSpPr>
        <xdr:cNvPr id="31" name="Rectangle 30">
          <a:extLst>
            <a:ext uri="{FF2B5EF4-FFF2-40B4-BE49-F238E27FC236}">
              <a16:creationId xmlns:a16="http://schemas.microsoft.com/office/drawing/2014/main" id="{69FBBF88-7238-4CAC-9138-F3FFFE0EA69E}"/>
            </a:ext>
          </a:extLst>
        </xdr:cNvPr>
        <xdr:cNvSpPr/>
      </xdr:nvSpPr>
      <xdr:spPr>
        <a:xfrm>
          <a:off x="6762750" y="1619250"/>
          <a:ext cx="3181350" cy="8382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2000" b="1">
              <a:solidFill>
                <a:schemeClr val="bg1"/>
              </a:solidFill>
              <a:latin typeface="Times New Roman" panose="02020603050405020304" pitchFamily="18" charset="0"/>
              <a:cs typeface="Times New Roman" panose="02020603050405020304" pitchFamily="18" charset="0"/>
            </a:rPr>
            <a:t>TOTAL</a:t>
          </a:r>
          <a:r>
            <a:rPr lang="en-IN" sz="2000" b="1" baseline="0">
              <a:solidFill>
                <a:schemeClr val="bg1"/>
              </a:solidFill>
              <a:latin typeface="Times New Roman" panose="02020603050405020304" pitchFamily="18" charset="0"/>
              <a:cs typeface="Times New Roman" panose="02020603050405020304" pitchFamily="18" charset="0"/>
            </a:rPr>
            <a:t> SALES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lt1"/>
              </a:solidFill>
              <a:effectLst/>
              <a:latin typeface="Times New Roman" panose="02020603050405020304" pitchFamily="18" charset="0"/>
              <a:ea typeface="+mn-ea"/>
              <a:cs typeface="Times New Roman" panose="02020603050405020304" pitchFamily="18" charset="0"/>
            </a:rPr>
            <a:t>₹ 228,681</a:t>
          </a:r>
        </a:p>
        <a:p>
          <a:pPr algn="ct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540000</xdr:colOff>
      <xdr:row>8</xdr:row>
      <xdr:rowOff>57150</xdr:rowOff>
    </xdr:from>
    <xdr:to>
      <xdr:col>21</xdr:col>
      <xdr:colOff>318001</xdr:colOff>
      <xdr:row>13</xdr:row>
      <xdr:rowOff>0</xdr:rowOff>
    </xdr:to>
    <xdr:sp macro="" textlink="">
      <xdr:nvSpPr>
        <xdr:cNvPr id="33" name="Rectangle 32">
          <a:extLst>
            <a:ext uri="{FF2B5EF4-FFF2-40B4-BE49-F238E27FC236}">
              <a16:creationId xmlns:a16="http://schemas.microsoft.com/office/drawing/2014/main" id="{A89983B6-6AB9-A1FD-6A96-3E89BA72F004}"/>
            </a:ext>
          </a:extLst>
        </xdr:cNvPr>
        <xdr:cNvSpPr/>
      </xdr:nvSpPr>
      <xdr:spPr>
        <a:xfrm>
          <a:off x="10293600" y="1581150"/>
          <a:ext cx="2826001" cy="8953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b="1">
              <a:solidFill>
                <a:schemeClr val="bg1"/>
              </a:solidFill>
              <a:latin typeface="Times New Roman" panose="02020603050405020304" pitchFamily="18" charset="0"/>
              <a:cs typeface="Times New Roman" panose="02020603050405020304" pitchFamily="18" charset="0"/>
            </a:rPr>
            <a:t>TOTAL</a:t>
          </a:r>
          <a:r>
            <a:rPr lang="en-IN" sz="2000" b="1" baseline="0">
              <a:solidFill>
                <a:schemeClr val="bg1"/>
              </a:solidFill>
              <a:latin typeface="Times New Roman" panose="02020603050405020304" pitchFamily="18" charset="0"/>
              <a:cs typeface="Times New Roman" panose="02020603050405020304" pitchFamily="18" charset="0"/>
            </a:rPr>
            <a:t>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lt1"/>
              </a:solidFill>
              <a:effectLst/>
              <a:latin typeface="Times New Roman" panose="02020603050405020304" pitchFamily="18" charset="0"/>
              <a:ea typeface="+mn-ea"/>
              <a:cs typeface="Times New Roman" panose="02020603050405020304" pitchFamily="18" charset="0"/>
            </a:rPr>
            <a:t>₹ 20,804</a:t>
          </a:r>
        </a:p>
        <a:p>
          <a:pPr algn="ct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603751</xdr:colOff>
      <xdr:row>8</xdr:row>
      <xdr:rowOff>76200</xdr:rowOff>
    </xdr:from>
    <xdr:to>
      <xdr:col>26</xdr:col>
      <xdr:colOff>603750</xdr:colOff>
      <xdr:row>12</xdr:row>
      <xdr:rowOff>171450</xdr:rowOff>
    </xdr:to>
    <xdr:sp macro="" textlink="">
      <xdr:nvSpPr>
        <xdr:cNvPr id="34" name="Rectangle 33">
          <a:extLst>
            <a:ext uri="{FF2B5EF4-FFF2-40B4-BE49-F238E27FC236}">
              <a16:creationId xmlns:a16="http://schemas.microsoft.com/office/drawing/2014/main" id="{2B7165A9-E88B-9844-6528-A92C619A7C3F}"/>
            </a:ext>
          </a:extLst>
        </xdr:cNvPr>
        <xdr:cNvSpPr/>
      </xdr:nvSpPr>
      <xdr:spPr>
        <a:xfrm>
          <a:off x="13405351" y="1600200"/>
          <a:ext cx="3047999" cy="8572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2000" b="1">
              <a:solidFill>
                <a:schemeClr val="bg1"/>
              </a:solidFill>
              <a:latin typeface="Times New Roman" panose="02020603050405020304" pitchFamily="18" charset="0"/>
              <a:cs typeface="Times New Roman" panose="02020603050405020304" pitchFamily="18" charset="0"/>
            </a:rPr>
            <a:t>TOTAL</a:t>
          </a:r>
          <a:r>
            <a:rPr lang="en-IN" sz="2000" b="1" baseline="0">
              <a:solidFill>
                <a:schemeClr val="bg1"/>
              </a:solidFill>
              <a:latin typeface="Times New Roman" panose="02020603050405020304" pitchFamily="18" charset="0"/>
              <a:cs typeface="Times New Roman" panose="02020603050405020304" pitchFamily="18" charset="0"/>
            </a:rPr>
            <a:t> QUANTITY</a:t>
          </a:r>
        </a:p>
        <a:p>
          <a:pPr algn="ctr"/>
          <a:r>
            <a:rPr lang="en-IN" sz="2000" b="1" baseline="0">
              <a:solidFill>
                <a:schemeClr val="bg1"/>
              </a:solidFill>
              <a:latin typeface="Times New Roman" panose="02020603050405020304" pitchFamily="18" charset="0"/>
              <a:cs typeface="Times New Roman" panose="02020603050405020304" pitchFamily="18" charset="0"/>
            </a:rPr>
            <a:t>3819</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190500</xdr:colOff>
      <xdr:row>8</xdr:row>
      <xdr:rowOff>76200</xdr:rowOff>
    </xdr:from>
    <xdr:to>
      <xdr:col>33</xdr:col>
      <xdr:colOff>95250</xdr:colOff>
      <xdr:row>12</xdr:row>
      <xdr:rowOff>152400</xdr:rowOff>
    </xdr:to>
    <xdr:sp macro="" textlink="">
      <xdr:nvSpPr>
        <xdr:cNvPr id="35" name="Rectangle 34">
          <a:extLst>
            <a:ext uri="{FF2B5EF4-FFF2-40B4-BE49-F238E27FC236}">
              <a16:creationId xmlns:a16="http://schemas.microsoft.com/office/drawing/2014/main" id="{908CA556-2A09-6475-1E1A-CD3C35E3A1A1}"/>
            </a:ext>
          </a:extLst>
        </xdr:cNvPr>
        <xdr:cNvSpPr/>
      </xdr:nvSpPr>
      <xdr:spPr>
        <a:xfrm>
          <a:off x="16649700" y="1600200"/>
          <a:ext cx="3562350" cy="8382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2000" b="1" baseline="0">
              <a:solidFill>
                <a:schemeClr val="bg1"/>
              </a:solidFill>
              <a:latin typeface="Times New Roman" panose="02020603050405020304" pitchFamily="18" charset="0"/>
              <a:cs typeface="Times New Roman" panose="02020603050405020304" pitchFamily="18" charset="0"/>
            </a:rPr>
            <a:t>AVERAGE DISCOUNT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lt1"/>
              </a:solidFill>
              <a:effectLst/>
              <a:latin typeface="Times New Roman" panose="02020603050405020304" pitchFamily="18" charset="0"/>
              <a:ea typeface="+mn-ea"/>
              <a:cs typeface="Times New Roman" panose="02020603050405020304" pitchFamily="18" charset="0"/>
            </a:rPr>
            <a:t>14.83%</a:t>
          </a:r>
        </a:p>
        <a:p>
          <a:pPr algn="ct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342900</xdr:colOff>
      <xdr:row>13</xdr:row>
      <xdr:rowOff>57150</xdr:rowOff>
    </xdr:from>
    <xdr:to>
      <xdr:col>13</xdr:col>
      <xdr:colOff>209550</xdr:colOff>
      <xdr:row>30</xdr:row>
      <xdr:rowOff>57150</xdr:rowOff>
    </xdr:to>
    <xdr:graphicFrame macro="">
      <xdr:nvGraphicFramePr>
        <xdr:cNvPr id="36" name="Chart 35">
          <a:extLst>
            <a:ext uri="{FF2B5EF4-FFF2-40B4-BE49-F238E27FC236}">
              <a16:creationId xmlns:a16="http://schemas.microsoft.com/office/drawing/2014/main" id="{6FB921F8-02A3-4CB5-B0DA-D4A0C2EA0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304800</xdr:colOff>
      <xdr:row>13</xdr:row>
      <xdr:rowOff>76200</xdr:rowOff>
    </xdr:from>
    <xdr:to>
      <xdr:col>22</xdr:col>
      <xdr:colOff>266700</xdr:colOff>
      <xdr:row>30</xdr:row>
      <xdr:rowOff>57150</xdr:rowOff>
    </xdr:to>
    <xdr:graphicFrame macro="">
      <xdr:nvGraphicFramePr>
        <xdr:cNvPr id="37" name="Chart 36">
          <a:extLst>
            <a:ext uri="{FF2B5EF4-FFF2-40B4-BE49-F238E27FC236}">
              <a16:creationId xmlns:a16="http://schemas.microsoft.com/office/drawing/2014/main" id="{E81B3D46-3AAA-4145-A444-FEFB31268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381000</xdr:colOff>
      <xdr:row>13</xdr:row>
      <xdr:rowOff>57150</xdr:rowOff>
    </xdr:from>
    <xdr:to>
      <xdr:col>31</xdr:col>
      <xdr:colOff>419100</xdr:colOff>
      <xdr:row>30</xdr:row>
      <xdr:rowOff>76200</xdr:rowOff>
    </xdr:to>
    <xdr:graphicFrame macro="">
      <xdr:nvGraphicFramePr>
        <xdr:cNvPr id="38" name="Chart 37">
          <a:extLst>
            <a:ext uri="{FF2B5EF4-FFF2-40B4-BE49-F238E27FC236}">
              <a16:creationId xmlns:a16="http://schemas.microsoft.com/office/drawing/2014/main" id="{351ECAA8-73E3-4EED-A0D8-231E0CF09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31</xdr:row>
      <xdr:rowOff>0</xdr:rowOff>
    </xdr:from>
    <xdr:to>
      <xdr:col>14</xdr:col>
      <xdr:colOff>228600</xdr:colOff>
      <xdr:row>47</xdr:row>
      <xdr:rowOff>171450</xdr:rowOff>
    </xdr:to>
    <xdr:graphicFrame macro="">
      <xdr:nvGraphicFramePr>
        <xdr:cNvPr id="39" name="Chart 38">
          <a:extLst>
            <a:ext uri="{FF2B5EF4-FFF2-40B4-BE49-F238E27FC236}">
              <a16:creationId xmlns:a16="http://schemas.microsoft.com/office/drawing/2014/main" id="{0E33F4CB-0160-4791-9081-66736EF81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323851</xdr:colOff>
      <xdr:row>30</xdr:row>
      <xdr:rowOff>144947</xdr:rowOff>
    </xdr:from>
    <xdr:to>
      <xdr:col>23</xdr:col>
      <xdr:colOff>266700</xdr:colOff>
      <xdr:row>47</xdr:row>
      <xdr:rowOff>171451</xdr:rowOff>
    </xdr:to>
    <xdr:graphicFrame macro="">
      <xdr:nvGraphicFramePr>
        <xdr:cNvPr id="40" name="Chart 39">
          <a:extLst>
            <a:ext uri="{FF2B5EF4-FFF2-40B4-BE49-F238E27FC236}">
              <a16:creationId xmlns:a16="http://schemas.microsoft.com/office/drawing/2014/main" id="{872E71ED-3BFF-48A0-9B8E-D457BF13A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514350</xdr:colOff>
      <xdr:row>13</xdr:row>
      <xdr:rowOff>76200</xdr:rowOff>
    </xdr:from>
    <xdr:to>
      <xdr:col>40</xdr:col>
      <xdr:colOff>400050</xdr:colOff>
      <xdr:row>30</xdr:row>
      <xdr:rowOff>38100</xdr:rowOff>
    </xdr:to>
    <xdr:graphicFrame macro="">
      <xdr:nvGraphicFramePr>
        <xdr:cNvPr id="42" name="Chart 41">
          <a:extLst>
            <a:ext uri="{FF2B5EF4-FFF2-40B4-BE49-F238E27FC236}">
              <a16:creationId xmlns:a16="http://schemas.microsoft.com/office/drawing/2014/main" id="{A6DE5D65-8561-4F31-B4D4-9DF21DE0C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552450</xdr:colOff>
      <xdr:row>31</xdr:row>
      <xdr:rowOff>38100</xdr:rowOff>
    </xdr:from>
    <xdr:to>
      <xdr:col>40</xdr:col>
      <xdr:colOff>438150</xdr:colOff>
      <xdr:row>47</xdr:row>
      <xdr:rowOff>152400</xdr:rowOff>
    </xdr:to>
    <xdr:graphicFrame macro="">
      <xdr:nvGraphicFramePr>
        <xdr:cNvPr id="43" name="Chart 42">
          <a:extLst>
            <a:ext uri="{FF2B5EF4-FFF2-40B4-BE49-F238E27FC236}">
              <a16:creationId xmlns:a16="http://schemas.microsoft.com/office/drawing/2014/main" id="{72249EFB-4DB3-4ED6-ACD2-713C179CB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352012</xdr:colOff>
      <xdr:row>31</xdr:row>
      <xdr:rowOff>19050</xdr:rowOff>
    </xdr:from>
    <xdr:to>
      <xdr:col>31</xdr:col>
      <xdr:colOff>457201</xdr:colOff>
      <xdr:row>47</xdr:row>
      <xdr:rowOff>171450</xdr:rowOff>
    </xdr:to>
    <xdr:graphicFrame macro="">
      <xdr:nvGraphicFramePr>
        <xdr:cNvPr id="46" name="Chart 45">
          <a:extLst>
            <a:ext uri="{FF2B5EF4-FFF2-40B4-BE49-F238E27FC236}">
              <a16:creationId xmlns:a16="http://schemas.microsoft.com/office/drawing/2014/main" id="{6FFD62C4-BD86-4362-B7A9-CE7D456D7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400050</xdr:colOff>
      <xdr:row>5</xdr:row>
      <xdr:rowOff>0</xdr:rowOff>
    </xdr:from>
    <xdr:to>
      <xdr:col>4</xdr:col>
      <xdr:colOff>209550</xdr:colOff>
      <xdr:row>13</xdr:row>
      <xdr:rowOff>0</xdr:rowOff>
    </xdr:to>
    <mc:AlternateContent xmlns:mc="http://schemas.openxmlformats.org/markup-compatibility/2006" xmlns:a14="http://schemas.microsoft.com/office/drawing/2010/main">
      <mc:Choice Requires="a14">
        <xdr:graphicFrame macro="">
          <xdr:nvGraphicFramePr>
            <xdr:cNvPr id="48" name="Region 1">
              <a:extLst>
                <a:ext uri="{FF2B5EF4-FFF2-40B4-BE49-F238E27FC236}">
                  <a16:creationId xmlns:a16="http://schemas.microsoft.com/office/drawing/2014/main" id="{F750C179-85FE-4C0F-A10A-DC07FB3AEA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0050" y="952500"/>
              <a:ext cx="22479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13</xdr:row>
      <xdr:rowOff>19050</xdr:rowOff>
    </xdr:from>
    <xdr:to>
      <xdr:col>4</xdr:col>
      <xdr:colOff>209550</xdr:colOff>
      <xdr:row>21</xdr:row>
      <xdr:rowOff>0</xdr:rowOff>
    </xdr:to>
    <mc:AlternateContent xmlns:mc="http://schemas.openxmlformats.org/markup-compatibility/2006" xmlns:a14="http://schemas.microsoft.com/office/drawing/2010/main">
      <mc:Choice Requires="a14">
        <xdr:graphicFrame macro="">
          <xdr:nvGraphicFramePr>
            <xdr:cNvPr id="49" name="Category 1">
              <a:extLst>
                <a:ext uri="{FF2B5EF4-FFF2-40B4-BE49-F238E27FC236}">
                  <a16:creationId xmlns:a16="http://schemas.microsoft.com/office/drawing/2014/main" id="{02AF717B-F370-4BE1-AA63-DC00E96E722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19100" y="2495550"/>
              <a:ext cx="222885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21</xdr:row>
      <xdr:rowOff>38100</xdr:rowOff>
    </xdr:from>
    <xdr:to>
      <xdr:col>4</xdr:col>
      <xdr:colOff>209550</xdr:colOff>
      <xdr:row>31</xdr:row>
      <xdr:rowOff>76200</xdr:rowOff>
    </xdr:to>
    <mc:AlternateContent xmlns:mc="http://schemas.openxmlformats.org/markup-compatibility/2006" xmlns:a14="http://schemas.microsoft.com/office/drawing/2010/main">
      <mc:Choice Requires="a14">
        <xdr:graphicFrame macro="">
          <xdr:nvGraphicFramePr>
            <xdr:cNvPr id="50" name="Sub-Category 1">
              <a:extLst>
                <a:ext uri="{FF2B5EF4-FFF2-40B4-BE49-F238E27FC236}">
                  <a16:creationId xmlns:a16="http://schemas.microsoft.com/office/drawing/2014/main" id="{E5B9ABBB-8327-44A0-AB23-56C3CD85F78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400050" y="4038600"/>
              <a:ext cx="22479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31</xdr:row>
      <xdr:rowOff>114300</xdr:rowOff>
    </xdr:from>
    <xdr:to>
      <xdr:col>4</xdr:col>
      <xdr:colOff>209550</xdr:colOff>
      <xdr:row>39</xdr:row>
      <xdr:rowOff>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8012D60B-7334-4CB9-9BB4-0B86A76AE25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81000" y="6019800"/>
              <a:ext cx="22669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39</xdr:row>
      <xdr:rowOff>0</xdr:rowOff>
    </xdr:from>
    <xdr:to>
      <xdr:col>4</xdr:col>
      <xdr:colOff>209550</xdr:colOff>
      <xdr:row>48</xdr:row>
      <xdr:rowOff>95250</xdr:rowOff>
    </xdr:to>
    <mc:AlternateContent xmlns:mc="http://schemas.openxmlformats.org/markup-compatibility/2006" xmlns:a14="http://schemas.microsoft.com/office/drawing/2010/main">
      <mc:Choice Requires="a14">
        <xdr:graphicFrame macro="">
          <xdr:nvGraphicFramePr>
            <xdr:cNvPr id="52" name="Country/Region 1">
              <a:extLst>
                <a:ext uri="{FF2B5EF4-FFF2-40B4-BE49-F238E27FC236}">
                  <a16:creationId xmlns:a16="http://schemas.microsoft.com/office/drawing/2014/main" id="{F6F4CB26-F154-4578-92BE-C54A1AF2947B}"/>
                </a:ext>
              </a:extLst>
            </xdr:cNvPr>
            <xdr:cNvGraphicFramePr/>
          </xdr:nvGraphicFramePr>
          <xdr:xfrm>
            <a:off x="0" y="0"/>
            <a:ext cx="0" cy="0"/>
          </xdr:xfrm>
          <a:graphic>
            <a:graphicData uri="http://schemas.microsoft.com/office/drawing/2010/slicer">
              <sle:slicer xmlns:sle="http://schemas.microsoft.com/office/drawing/2010/slicer" name="Country/Region 1"/>
            </a:graphicData>
          </a:graphic>
        </xdr:graphicFrame>
      </mc:Choice>
      <mc:Fallback xmlns="">
        <xdr:sp macro="" textlink="">
          <xdr:nvSpPr>
            <xdr:cNvPr id="0" name=""/>
            <xdr:cNvSpPr>
              <a:spLocks noTextEdit="1"/>
            </xdr:cNvSpPr>
          </xdr:nvSpPr>
          <xdr:spPr>
            <a:xfrm>
              <a:off x="400050" y="7429500"/>
              <a:ext cx="22479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323850</xdr:colOff>
      <xdr:row>5</xdr:row>
      <xdr:rowOff>19050</xdr:rowOff>
    </xdr:from>
    <xdr:to>
      <xdr:col>8</xdr:col>
      <xdr:colOff>247650</xdr:colOff>
      <xdr:row>13</xdr:row>
      <xdr:rowOff>0</xdr:rowOff>
    </xdr:to>
    <mc:AlternateContent xmlns:mc="http://schemas.openxmlformats.org/markup-compatibility/2006" xmlns:a14="http://schemas.microsoft.com/office/drawing/2010/main">
      <mc:Choice Requires="a14">
        <xdr:graphicFrame macro="">
          <xdr:nvGraphicFramePr>
            <xdr:cNvPr id="53" name="State/Province 1">
              <a:extLst>
                <a:ext uri="{FF2B5EF4-FFF2-40B4-BE49-F238E27FC236}">
                  <a16:creationId xmlns:a16="http://schemas.microsoft.com/office/drawing/2014/main" id="{0D9BB0C7-B629-42B1-B29C-F9B6281930AE}"/>
                </a:ext>
              </a:extLst>
            </xdr:cNvPr>
            <xdr:cNvGraphicFramePr/>
          </xdr:nvGraphicFramePr>
          <xdr:xfrm>
            <a:off x="0" y="0"/>
            <a:ext cx="0" cy="0"/>
          </xdr:xfrm>
          <a:graphic>
            <a:graphicData uri="http://schemas.microsoft.com/office/drawing/2010/slicer">
              <sle:slicer xmlns:sle="http://schemas.microsoft.com/office/drawing/2010/slicer" name="State/Province 1"/>
            </a:graphicData>
          </a:graphic>
        </xdr:graphicFrame>
      </mc:Choice>
      <mc:Fallback xmlns="">
        <xdr:sp macro="" textlink="">
          <xdr:nvSpPr>
            <xdr:cNvPr id="0" name=""/>
            <xdr:cNvSpPr>
              <a:spLocks noTextEdit="1"/>
            </xdr:cNvSpPr>
          </xdr:nvSpPr>
          <xdr:spPr>
            <a:xfrm>
              <a:off x="2857500" y="971550"/>
              <a:ext cx="226695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4</xdr:row>
      <xdr:rowOff>95250</xdr:rowOff>
    </xdr:from>
    <xdr:to>
      <xdr:col>10</xdr:col>
      <xdr:colOff>19050</xdr:colOff>
      <xdr:row>9</xdr:row>
      <xdr:rowOff>0</xdr:rowOff>
    </xdr:to>
    <xdr:pic>
      <xdr:nvPicPr>
        <xdr:cNvPr id="55" name="Graphic 54" descr="Bar graph with upward trend with solid fill">
          <a:extLst>
            <a:ext uri="{FF2B5EF4-FFF2-40B4-BE49-F238E27FC236}">
              <a16:creationId xmlns:a16="http://schemas.microsoft.com/office/drawing/2014/main" id="{627A071D-44C6-0188-73A2-9E7A94B555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05400" y="857250"/>
          <a:ext cx="1009650" cy="857250"/>
        </a:xfrm>
        <a:prstGeom prst="rect">
          <a:avLst/>
        </a:prstGeom>
      </xdr:spPr>
    </xdr:pic>
    <xdr:clientData/>
  </xdr:twoCellAnchor>
  <xdr:twoCellAnchor editAs="oneCell">
    <xdr:from>
      <xdr:col>36</xdr:col>
      <xdr:colOff>0</xdr:colOff>
      <xdr:row>4</xdr:row>
      <xdr:rowOff>95250</xdr:rowOff>
    </xdr:from>
    <xdr:to>
      <xdr:col>38</xdr:col>
      <xdr:colOff>0</xdr:colOff>
      <xdr:row>10</xdr:row>
      <xdr:rowOff>0</xdr:rowOff>
    </xdr:to>
    <xdr:pic>
      <xdr:nvPicPr>
        <xdr:cNvPr id="57" name="Graphic 56" descr="Upward trend with solid fill">
          <a:extLst>
            <a:ext uri="{FF2B5EF4-FFF2-40B4-BE49-F238E27FC236}">
              <a16:creationId xmlns:a16="http://schemas.microsoft.com/office/drawing/2014/main" id="{25E7E014-3735-B28B-FCAC-2046B02E23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945600" y="857250"/>
          <a:ext cx="1219200" cy="1047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ARHANA%20EXCEL%20PROJEC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7.426454050925" createdVersion="8" refreshedVersion="8" minRefreshableVersion="3" recordCount="1000" xr:uid="{97D018D9-3DF2-43E7-837E-0BFDB1D66255}">
  <cacheSource type="worksheet">
    <worksheetSource ref="A1:U1001" sheet="DATA" r:id="rId2"/>
  </cacheSource>
  <cacheFields count="21">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23-01-03T00:00:00" maxDate="2023-09-03T00:00:00" count="194">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sharedItems>
    </cacheField>
    <cacheField name="Ship Date" numFmtId="14">
      <sharedItems containsSemiMixedTypes="0" containsNonDate="0" containsDate="1" containsString="0" minDate="2023-01-07T00:00:00" maxDate="2023-09-06T00:00:00" count="204">
        <d v="2023-01-07T00:00:00"/>
        <d v="2023-01-08T00:00:00"/>
        <d v="2023-01-12T00:00:00"/>
        <d v="2023-01-10T00:00:00"/>
        <d v="2023-01-13T00:00:00"/>
        <d v="2023-01-15T00:00:00"/>
        <d v="2023-01-14T00:00:00"/>
        <d v="2023-01-18T00:00:00"/>
        <d v="2023-01-16T00:00:00"/>
        <d v="2023-01-17T00:00:00"/>
        <d v="2023-01-21T00:00:00"/>
        <d v="2023-01-20T00:00:00"/>
        <d v="2023-01-26T00:00:00"/>
        <d v="2023-01-25T00:00:00"/>
        <d v="2023-01-23T00:00:00"/>
        <d v="2023-01-24T00:00:00"/>
        <d v="2023-01-27T00:00:00"/>
        <d v="2023-01-28T00:00:00"/>
        <d v="2023-01-29T00:00:00"/>
        <d v="2023-01-31T00:00:00"/>
        <d v="2023-02-02T00:00:00"/>
        <d v="2023-02-03T00:00:00"/>
        <d v="2023-02-04T00:00:00"/>
        <d v="2023-02-09T00:00:00"/>
        <d v="2023-02-06T00:00:00"/>
        <d v="2023-02-08T00:00:00"/>
        <d v="2023-02-10T00:00:00"/>
        <d v="2023-02-12T00:00:00"/>
        <d v="2023-02-15T00:00:00"/>
        <d v="2023-02-18T00:00:00"/>
        <d v="2023-02-19T00:00:00"/>
        <d v="2023-02-21T00:00:00"/>
        <d v="2023-02-24T00:00:00"/>
        <d v="2023-02-26T00:00:00"/>
        <d v="2023-02-25T00:00:00"/>
        <d v="2023-02-27T00:00:00"/>
        <d v="2023-03-02T00:00:00"/>
        <d v="2023-03-03T00:00:00"/>
        <d v="2023-03-05T00:00:00"/>
        <d v="2023-03-06T00:00:00"/>
        <d v="2023-03-07T00:00:00"/>
        <d v="2023-03-08T00:00:00"/>
        <d v="2023-03-09T00:00:00"/>
        <d v="2023-03-04T00:00:00"/>
        <d v="2023-03-12T00:00:00"/>
        <d v="2023-03-11T00:00:00"/>
        <d v="2023-03-17T00:00:00"/>
        <d v="2023-03-14T00:00:00"/>
        <d v="2023-03-16T00:00:00"/>
        <d v="2023-03-13T00:00:00"/>
        <d v="2023-03-15T00:00:00"/>
        <d v="2023-03-18T00:00:00"/>
        <d v="2023-03-19T00:00:00"/>
        <d v="2023-03-21T00:00:00"/>
        <d v="2023-03-24T00:00:00"/>
        <d v="2023-03-20T00:00:00"/>
        <d v="2023-03-23T00:00:00"/>
        <d v="2023-03-25T00:00:00"/>
        <d v="2023-03-26T00:00:00"/>
        <d v="2023-03-22T00:00:00"/>
        <d v="2023-03-29T00:00:00"/>
        <d v="2023-03-28T00:00:00"/>
        <d v="2023-04-01T00:00:00"/>
        <d v="2023-03-30T00:00:00"/>
        <d v="2023-03-31T00:00:00"/>
        <d v="2023-04-03T00:00:00"/>
        <d v="2023-04-02T00:00:00"/>
        <d v="2023-04-04T00:00:00"/>
        <d v="2023-04-05T00:00:00"/>
        <d v="2023-04-06T00:00:00"/>
        <d v="2023-04-08T00:00:00"/>
        <d v="2023-04-09T00:00:00"/>
        <d v="2023-04-07T00:00:00"/>
        <d v="2023-04-12T00:00:00"/>
        <d v="2023-04-10T00:00:00"/>
        <d v="2023-04-15T00:00:00"/>
        <d v="2023-04-13T00:00:00"/>
        <d v="2023-04-16T00:00:00"/>
        <d v="2023-04-18T00:00:00"/>
        <d v="2023-04-17T00:00:00"/>
        <d v="2023-04-20T00:00:00"/>
        <d v="2023-04-22T00:00:00"/>
        <d v="2023-04-23T00:00:00"/>
        <d v="2023-04-21T00:00:00"/>
        <d v="2023-04-25T00:00:00"/>
        <d v="2023-04-26T00:00:00"/>
        <d v="2023-04-24T00:00:00"/>
        <d v="2023-04-27T00:00:00"/>
        <d v="2023-04-30T00:00:00"/>
        <d v="2023-04-29T00:00:00"/>
        <d v="2023-05-03T00:00:00"/>
        <d v="2023-05-01T00:00:00"/>
        <d v="2023-05-04T00:00:00"/>
        <d v="2023-05-02T00:00:00"/>
        <d v="2023-05-10T00:00:00"/>
        <d v="2023-05-05T00:00:00"/>
        <d v="2023-05-07T00:00:00"/>
        <d v="2023-05-08T00:00:00"/>
        <d v="2023-05-09T00:00:00"/>
        <d v="2023-05-11T00:00:00"/>
        <d v="2023-05-12T00:00:00"/>
        <d v="2023-05-15T00:00:00"/>
        <d v="2023-05-14T00:00:00"/>
        <d v="2023-05-16T00:00:00"/>
        <d v="2023-05-18T00:00:00"/>
        <d v="2023-05-17T00:00:00"/>
        <d v="2023-05-19T00:00:00"/>
        <d v="2023-05-20T00:00:00"/>
        <d v="2023-05-23T00:00:00"/>
        <d v="2023-05-21T00:00:00"/>
        <d v="2023-05-22T00:00:00"/>
        <d v="2023-05-24T00:00:00"/>
        <d v="2023-05-26T00:00:00"/>
        <d v="2023-05-25T00:00:00"/>
        <d v="2023-05-29T00:00:00"/>
        <d v="2023-05-27T00:00:00"/>
        <d v="2023-05-30T00:00:00"/>
        <d v="2023-05-31T00:00:00"/>
        <d v="2023-06-01T00:00:00"/>
        <d v="2023-06-02T00:00:00"/>
        <d v="2023-06-05T00:00:00"/>
        <d v="2023-06-06T00:00:00"/>
        <d v="2023-06-03T00:00:00"/>
        <d v="2023-06-07T00:00:00"/>
        <d v="2023-06-09T00:00:00"/>
        <d v="2023-06-11T00:00:00"/>
        <d v="2023-06-12T00:00:00"/>
        <d v="2023-06-10T00:00:00"/>
        <d v="2023-06-14T00:00:00"/>
        <d v="2023-06-13T00:00:00"/>
        <d v="2023-06-16T00:00:00"/>
        <d v="2023-06-15T00:00:00"/>
        <d v="2023-06-17T00:00:00"/>
        <d v="2023-06-20T00:00:00"/>
        <d v="2023-06-21T00:00:00"/>
        <d v="2023-06-22T00:00:00"/>
        <d v="2023-06-23T00:00:00"/>
        <d v="2023-06-24T00:00:00"/>
        <d v="2023-06-27T00:00:00"/>
        <d v="2023-06-25T00:00:00"/>
        <d v="2023-06-26T00:00:00"/>
        <d v="2023-06-28T00:00:00"/>
        <d v="2023-07-01T00:00:00"/>
        <d v="2023-07-02T00:00:00"/>
        <d v="2023-07-04T00:00:00"/>
        <d v="2023-07-06T00:00:00"/>
        <d v="2023-07-03T00:00:00"/>
        <d v="2023-07-05T00:00:00"/>
        <d v="2023-06-30T00:00:00"/>
        <d v="2023-07-07T00:00:00"/>
        <d v="2023-07-09T00:00:00"/>
        <d v="2023-07-08T00:00:00"/>
        <d v="2023-07-12T00:00:00"/>
        <d v="2023-07-11T00:00:00"/>
        <d v="2023-07-10T00:00:00"/>
        <d v="2023-07-14T00:00:00"/>
        <d v="2023-07-13T00:00:00"/>
        <d v="2023-07-15T00:00:00"/>
        <d v="2023-07-18T00:00:00"/>
        <d v="2023-07-16T00:00:00"/>
        <d v="2023-07-17T00:00:00"/>
        <d v="2023-07-20T00:00:00"/>
        <d v="2023-07-21T00:00:00"/>
        <d v="2023-07-19T00:00:00"/>
        <d v="2023-07-23T00:00:00"/>
        <d v="2023-07-24T00:00:00"/>
        <d v="2023-07-22T00:00:00"/>
        <d v="2023-07-25T00:00:00"/>
        <d v="2023-07-27T00:00:00"/>
        <d v="2023-07-28T00:00:00"/>
        <d v="2023-08-01T00:00:00"/>
        <d v="2023-08-02T00:00:00"/>
        <d v="2023-07-30T00:00:00"/>
        <d v="2023-07-29T00:00:00"/>
        <d v="2023-08-05T00:00:00"/>
        <d v="2023-08-03T00:00:00"/>
        <d v="2023-08-06T00:00:00"/>
        <d v="2023-08-08T00:00:00"/>
        <d v="2023-08-09T00:00:00"/>
        <d v="2023-08-07T00:00:00"/>
        <d v="2023-08-12T00:00:00"/>
        <d v="2023-08-11T00:00:00"/>
        <d v="2023-08-10T00:00:00"/>
        <d v="2023-08-14T00:00:00"/>
        <d v="2023-08-15T00:00:00"/>
        <d v="2023-08-13T00:00:00"/>
        <d v="2023-08-16T00:00:00"/>
        <d v="2023-08-19T00:00:00"/>
        <d v="2023-08-17T00:00:00"/>
        <d v="2023-08-18T00:00:00"/>
        <d v="2023-08-20T00:00:00"/>
        <d v="2023-08-21T00:00:00"/>
        <d v="2023-08-23T00:00:00"/>
        <d v="2023-08-26T00:00:00"/>
        <d v="2023-08-24T00:00:00"/>
        <d v="2023-08-25T00:00:00"/>
        <d v="2023-08-27T00:00:00"/>
        <d v="2023-08-28T00:00:00"/>
        <d v="2023-08-29T00:00:00"/>
        <d v="2023-08-30T00:00:00"/>
        <d v="2023-09-01T00:00:00"/>
        <d v="2023-09-02T00:00:00"/>
        <d v="2023-09-04T00:00:00"/>
        <d v="2023-09-05T00:00:00"/>
      </sharedItems>
    </cacheField>
    <cacheField name="Ship Mode" numFmtId="0">
      <sharedItems/>
    </cacheField>
    <cacheField name="Customer ID" numFmtId="0">
      <sharedItems/>
    </cacheField>
    <cacheField name="Customer Name" numFmtId="0">
      <sharedItems count="381">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ount="47">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haredItems>
    </cacheField>
    <cacheField name="Postal Code" numFmtId="0">
      <sharedItems containsMixedTypes="1" containsNumber="1" containsInteger="1" minValue="1841" maxValue="98198"/>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85200000000000009"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701.8928000000014" maxValue="1276.4871000000001"/>
    </cacheField>
  </cacheFields>
  <extLst>
    <ext xmlns:x14="http://schemas.microsoft.com/office/spreadsheetml/2009/9/main" uri="{725AE2AE-9491-48be-B2B4-4EB974FC3084}">
      <x14:pivotCacheDefinition pivotCacheId="6206144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1.736200115738" createdVersion="8" refreshedVersion="8" minRefreshableVersion="3" recordCount="1000" xr:uid="{10582A26-2A0A-41F5-8DD8-025B08292DB9}">
  <cacheSource type="worksheet">
    <worksheetSource ref="A1:U1001" sheet="DATA "/>
  </cacheSource>
  <cacheFields count="21">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23-01-03T00:00:00" maxDate="2023-09-03T00:00:00" count="194">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sharedItems>
    </cacheField>
    <cacheField name="Ship Date" numFmtId="14">
      <sharedItems containsSemiMixedTypes="0" containsNonDate="0" containsDate="1" containsString="0" minDate="2023-01-07T00:00:00" maxDate="2023-09-06T00:00:00" count="204">
        <d v="2023-01-07T00:00:00"/>
        <d v="2023-01-08T00:00:00"/>
        <d v="2023-01-12T00:00:00"/>
        <d v="2023-01-10T00:00:00"/>
        <d v="2023-01-13T00:00:00"/>
        <d v="2023-01-15T00:00:00"/>
        <d v="2023-01-14T00:00:00"/>
        <d v="2023-01-18T00:00:00"/>
        <d v="2023-01-16T00:00:00"/>
        <d v="2023-01-17T00:00:00"/>
        <d v="2023-01-21T00:00:00"/>
        <d v="2023-01-20T00:00:00"/>
        <d v="2023-01-26T00:00:00"/>
        <d v="2023-01-25T00:00:00"/>
        <d v="2023-01-23T00:00:00"/>
        <d v="2023-01-24T00:00:00"/>
        <d v="2023-01-27T00:00:00"/>
        <d v="2023-01-28T00:00:00"/>
        <d v="2023-01-29T00:00:00"/>
        <d v="2023-01-31T00:00:00"/>
        <d v="2023-02-02T00:00:00"/>
        <d v="2023-02-03T00:00:00"/>
        <d v="2023-02-04T00:00:00"/>
        <d v="2023-02-09T00:00:00"/>
        <d v="2023-02-06T00:00:00"/>
        <d v="2023-02-08T00:00:00"/>
        <d v="2023-02-10T00:00:00"/>
        <d v="2023-02-12T00:00:00"/>
        <d v="2023-02-15T00:00:00"/>
        <d v="2023-02-18T00:00:00"/>
        <d v="2023-02-19T00:00:00"/>
        <d v="2023-02-21T00:00:00"/>
        <d v="2023-02-24T00:00:00"/>
        <d v="2023-02-26T00:00:00"/>
        <d v="2023-02-25T00:00:00"/>
        <d v="2023-02-27T00:00:00"/>
        <d v="2023-03-02T00:00:00"/>
        <d v="2023-03-03T00:00:00"/>
        <d v="2023-03-05T00:00:00"/>
        <d v="2023-03-06T00:00:00"/>
        <d v="2023-03-07T00:00:00"/>
        <d v="2023-03-08T00:00:00"/>
        <d v="2023-03-09T00:00:00"/>
        <d v="2023-03-04T00:00:00"/>
        <d v="2023-03-12T00:00:00"/>
        <d v="2023-03-11T00:00:00"/>
        <d v="2023-03-17T00:00:00"/>
        <d v="2023-03-14T00:00:00"/>
        <d v="2023-03-16T00:00:00"/>
        <d v="2023-03-13T00:00:00"/>
        <d v="2023-03-15T00:00:00"/>
        <d v="2023-03-18T00:00:00"/>
        <d v="2023-03-19T00:00:00"/>
        <d v="2023-03-21T00:00:00"/>
        <d v="2023-03-24T00:00:00"/>
        <d v="2023-03-20T00:00:00"/>
        <d v="2023-03-23T00:00:00"/>
        <d v="2023-03-25T00:00:00"/>
        <d v="2023-03-26T00:00:00"/>
        <d v="2023-03-22T00:00:00"/>
        <d v="2023-03-29T00:00:00"/>
        <d v="2023-03-28T00:00:00"/>
        <d v="2023-04-01T00:00:00"/>
        <d v="2023-03-30T00:00:00"/>
        <d v="2023-03-31T00:00:00"/>
        <d v="2023-04-03T00:00:00"/>
        <d v="2023-04-02T00:00:00"/>
        <d v="2023-04-04T00:00:00"/>
        <d v="2023-04-05T00:00:00"/>
        <d v="2023-04-06T00:00:00"/>
        <d v="2023-04-08T00:00:00"/>
        <d v="2023-04-09T00:00:00"/>
        <d v="2023-04-07T00:00:00"/>
        <d v="2023-04-12T00:00:00"/>
        <d v="2023-04-10T00:00:00"/>
        <d v="2023-04-15T00:00:00"/>
        <d v="2023-04-13T00:00:00"/>
        <d v="2023-04-16T00:00:00"/>
        <d v="2023-04-18T00:00:00"/>
        <d v="2023-04-17T00:00:00"/>
        <d v="2023-04-20T00:00:00"/>
        <d v="2023-04-22T00:00:00"/>
        <d v="2023-04-23T00:00:00"/>
        <d v="2023-04-21T00:00:00"/>
        <d v="2023-04-25T00:00:00"/>
        <d v="2023-04-26T00:00:00"/>
        <d v="2023-04-24T00:00:00"/>
        <d v="2023-04-27T00:00:00"/>
        <d v="2023-04-30T00:00:00"/>
        <d v="2023-04-29T00:00:00"/>
        <d v="2023-05-03T00:00:00"/>
        <d v="2023-05-01T00:00:00"/>
        <d v="2023-05-04T00:00:00"/>
        <d v="2023-05-02T00:00:00"/>
        <d v="2023-05-10T00:00:00"/>
        <d v="2023-05-05T00:00:00"/>
        <d v="2023-05-07T00:00:00"/>
        <d v="2023-05-08T00:00:00"/>
        <d v="2023-05-09T00:00:00"/>
        <d v="2023-05-11T00:00:00"/>
        <d v="2023-05-12T00:00:00"/>
        <d v="2023-05-15T00:00:00"/>
        <d v="2023-05-14T00:00:00"/>
        <d v="2023-05-16T00:00:00"/>
        <d v="2023-05-18T00:00:00"/>
        <d v="2023-05-17T00:00:00"/>
        <d v="2023-05-19T00:00:00"/>
        <d v="2023-05-20T00:00:00"/>
        <d v="2023-05-23T00:00:00"/>
        <d v="2023-05-21T00:00:00"/>
        <d v="2023-05-22T00:00:00"/>
        <d v="2023-05-24T00:00:00"/>
        <d v="2023-05-26T00:00:00"/>
        <d v="2023-05-25T00:00:00"/>
        <d v="2023-05-29T00:00:00"/>
        <d v="2023-05-27T00:00:00"/>
        <d v="2023-05-30T00:00:00"/>
        <d v="2023-05-31T00:00:00"/>
        <d v="2023-06-01T00:00:00"/>
        <d v="2023-06-02T00:00:00"/>
        <d v="2023-06-05T00:00:00"/>
        <d v="2023-06-06T00:00:00"/>
        <d v="2023-06-03T00:00:00"/>
        <d v="2023-06-07T00:00:00"/>
        <d v="2023-06-09T00:00:00"/>
        <d v="2023-06-11T00:00:00"/>
        <d v="2023-06-12T00:00:00"/>
        <d v="2023-06-10T00:00:00"/>
        <d v="2023-06-14T00:00:00"/>
        <d v="2023-06-13T00:00:00"/>
        <d v="2023-06-16T00:00:00"/>
        <d v="2023-06-15T00:00:00"/>
        <d v="2023-06-17T00:00:00"/>
        <d v="2023-06-20T00:00:00"/>
        <d v="2023-06-21T00:00:00"/>
        <d v="2023-06-22T00:00:00"/>
        <d v="2023-06-23T00:00:00"/>
        <d v="2023-06-24T00:00:00"/>
        <d v="2023-06-27T00:00:00"/>
        <d v="2023-06-25T00:00:00"/>
        <d v="2023-06-26T00:00:00"/>
        <d v="2023-06-28T00:00:00"/>
        <d v="2023-07-01T00:00:00"/>
        <d v="2023-07-02T00:00:00"/>
        <d v="2023-07-04T00:00:00"/>
        <d v="2023-07-06T00:00:00"/>
        <d v="2023-07-03T00:00:00"/>
        <d v="2023-07-05T00:00:00"/>
        <d v="2023-06-30T00:00:00"/>
        <d v="2023-07-07T00:00:00"/>
        <d v="2023-07-09T00:00:00"/>
        <d v="2023-07-08T00:00:00"/>
        <d v="2023-07-12T00:00:00"/>
        <d v="2023-07-11T00:00:00"/>
        <d v="2023-07-10T00:00:00"/>
        <d v="2023-07-14T00:00:00"/>
        <d v="2023-07-13T00:00:00"/>
        <d v="2023-07-15T00:00:00"/>
        <d v="2023-07-18T00:00:00"/>
        <d v="2023-07-16T00:00:00"/>
        <d v="2023-07-17T00:00:00"/>
        <d v="2023-07-20T00:00:00"/>
        <d v="2023-07-21T00:00:00"/>
        <d v="2023-07-19T00:00:00"/>
        <d v="2023-07-23T00:00:00"/>
        <d v="2023-07-24T00:00:00"/>
        <d v="2023-07-22T00:00:00"/>
        <d v="2023-07-25T00:00:00"/>
        <d v="2023-07-27T00:00:00"/>
        <d v="2023-07-28T00:00:00"/>
        <d v="2023-08-01T00:00:00"/>
        <d v="2023-08-02T00:00:00"/>
        <d v="2023-07-30T00:00:00"/>
        <d v="2023-07-29T00:00:00"/>
        <d v="2023-08-05T00:00:00"/>
        <d v="2023-08-03T00:00:00"/>
        <d v="2023-08-06T00:00:00"/>
        <d v="2023-08-08T00:00:00"/>
        <d v="2023-08-09T00:00:00"/>
        <d v="2023-08-07T00:00:00"/>
        <d v="2023-08-12T00:00:00"/>
        <d v="2023-08-11T00:00:00"/>
        <d v="2023-08-10T00:00:00"/>
        <d v="2023-08-14T00:00:00"/>
        <d v="2023-08-15T00:00:00"/>
        <d v="2023-08-13T00:00:00"/>
        <d v="2023-08-16T00:00:00"/>
        <d v="2023-08-19T00:00:00"/>
        <d v="2023-08-17T00:00:00"/>
        <d v="2023-08-18T00:00:00"/>
        <d v="2023-08-20T00:00:00"/>
        <d v="2023-08-21T00:00:00"/>
        <d v="2023-08-23T00:00:00"/>
        <d v="2023-08-26T00:00:00"/>
        <d v="2023-08-24T00:00:00"/>
        <d v="2023-08-25T00:00:00"/>
        <d v="2023-08-27T00:00:00"/>
        <d v="2023-08-28T00:00:00"/>
        <d v="2023-08-29T00:00:00"/>
        <d v="2023-08-30T00:00:00"/>
        <d v="2023-09-01T00:00:00"/>
        <d v="2023-09-02T00:00:00"/>
        <d v="2023-09-04T00:00:00"/>
        <d v="2023-09-05T00:00:00"/>
      </sharedItems>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ount="47">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haredItems>
    </cacheField>
    <cacheField name="Postal Code" numFmtId="0">
      <sharedItems containsMixedTypes="1" containsNumber="1" containsInteger="1" minValue="1841" maxValue="98198"/>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767">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haredItems>
    </cacheField>
    <cacheField name="Sales" numFmtId="0">
      <sharedItems containsSemiMixedTypes="0" containsString="0" containsNumber="1" minValue="0.85200000000000009"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701.8928000000014" maxValue="1276.4871000000001"/>
    </cacheField>
  </cacheFields>
  <extLst>
    <ext xmlns:x14="http://schemas.microsoft.com/office/spreadsheetml/2009/9/main" uri="{725AE2AE-9491-48be-B2B4-4EB974FC3084}">
      <x14:pivotCacheDefinition pivotCacheId="223903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US-2023-103800"/>
    <x v="0"/>
    <x v="0"/>
    <s v="Standard Class"/>
    <s v="DP-13000"/>
    <x v="0"/>
    <x v="0"/>
    <x v="0"/>
    <s v="Houston"/>
    <x v="0"/>
    <n v="77095"/>
    <x v="0"/>
    <s v="OFF-PA-10000174"/>
    <x v="0"/>
    <x v="0"/>
    <s v="Message Book, Wirebound, Four 5 1/2&quot; X 4&quot; Forms/Pg., 200 Dupl. Sets/Book"/>
    <n v="16.448"/>
    <n v="2"/>
    <n v="0.2"/>
    <n v="5.5511999999999979"/>
  </r>
  <r>
    <n v="2"/>
    <s v="US-2023-112326"/>
    <x v="1"/>
    <x v="1"/>
    <s v="Standard Class"/>
    <s v="PO-19195"/>
    <x v="1"/>
    <x v="1"/>
    <x v="0"/>
    <s v="Naperville"/>
    <x v="1"/>
    <n v="60540"/>
    <x v="0"/>
    <s v="OFF-BI-10004094"/>
    <x v="0"/>
    <x v="1"/>
    <s v="GBC Standard Plastic Binding Systems Combs"/>
    <n v="3.5399999999999991"/>
    <n v="2"/>
    <n v="0.8"/>
    <n v="-5.4870000000000001"/>
  </r>
  <r>
    <n v="3"/>
    <s v="US-2023-112326"/>
    <x v="1"/>
    <x v="1"/>
    <s v="Standard Class"/>
    <s v="PO-19195"/>
    <x v="1"/>
    <x v="1"/>
    <x v="0"/>
    <s v="Naperville"/>
    <x v="1"/>
    <n v="60540"/>
    <x v="0"/>
    <s v="OFF-LA-10003223"/>
    <x v="0"/>
    <x v="2"/>
    <s v="Avery 508"/>
    <n v="11.784000000000001"/>
    <n v="3"/>
    <n v="0.2"/>
    <n v="4.2716999999999992"/>
  </r>
  <r>
    <n v="4"/>
    <s v="US-2023-112326"/>
    <x v="1"/>
    <x v="1"/>
    <s v="Standard Class"/>
    <s v="PO-19195"/>
    <x v="1"/>
    <x v="1"/>
    <x v="0"/>
    <s v="Naperville"/>
    <x v="1"/>
    <n v="60540"/>
    <x v="0"/>
    <s v="OFF-ST-10002743"/>
    <x v="0"/>
    <x v="3"/>
    <s v="SAFCO Boltless Steel Shelving"/>
    <n v="272.73599999999999"/>
    <n v="3"/>
    <n v="0.2"/>
    <n v="-64.774800000000013"/>
  </r>
  <r>
    <n v="5"/>
    <s v="US-2023-141817"/>
    <x v="2"/>
    <x v="2"/>
    <s v="Standard Class"/>
    <s v="MB-18085"/>
    <x v="2"/>
    <x v="0"/>
    <x v="0"/>
    <s v="Philadelphia"/>
    <x v="2"/>
    <n v="19143"/>
    <x v="1"/>
    <s v="OFF-AR-10003478"/>
    <x v="0"/>
    <x v="4"/>
    <s v="Avery Hi-Liter EverBold Pen Style Fluorescent Highlighters, 4/Pack"/>
    <n v="19.536000000000001"/>
    <n v="3"/>
    <n v="0.2"/>
    <n v="4.8840000000000003"/>
  </r>
  <r>
    <n v="6"/>
    <s v="US-2023-167199"/>
    <x v="3"/>
    <x v="3"/>
    <s v="Standard Class"/>
    <s v="ME-17320"/>
    <x v="3"/>
    <x v="1"/>
    <x v="0"/>
    <s v="Henderson"/>
    <x v="3"/>
    <n v="42420"/>
    <x v="2"/>
    <s v="FUR-CH-10004063"/>
    <x v="1"/>
    <x v="5"/>
    <s v="Global Deluxe High-Back Manager's Chair"/>
    <n v="2573.8200000000002"/>
    <n v="9"/>
    <n v="0"/>
    <n v="746.40779999999972"/>
  </r>
  <r>
    <n v="7"/>
    <s v="US-2023-167199"/>
    <x v="3"/>
    <x v="3"/>
    <s v="Standard Class"/>
    <s v="ME-17320"/>
    <x v="3"/>
    <x v="1"/>
    <x v="0"/>
    <s v="Henderson"/>
    <x v="3"/>
    <n v="42420"/>
    <x v="2"/>
    <s v="OFF-AR-10001662"/>
    <x v="0"/>
    <x v="4"/>
    <s v="Rogers Handheld Barrel Pencil Sharpener"/>
    <n v="5.48"/>
    <n v="2"/>
    <n v="0"/>
    <n v="1.4796000000000005"/>
  </r>
  <r>
    <n v="8"/>
    <s v="US-2023-106054"/>
    <x v="3"/>
    <x v="0"/>
    <s v="First Class"/>
    <s v="JO-15145"/>
    <x v="4"/>
    <x v="2"/>
    <x v="0"/>
    <s v="Athens"/>
    <x v="4"/>
    <n v="30605"/>
    <x v="2"/>
    <s v="OFF-AR-10002399"/>
    <x v="0"/>
    <x v="4"/>
    <s v="Dixon Prang Watercolor Pencils, 10-Color Set with Brush"/>
    <n v="12.78"/>
    <n v="3"/>
    <n v="0"/>
    <n v="5.2397999999999998"/>
  </r>
  <r>
    <n v="9"/>
    <s v="US-2023-167199"/>
    <x v="3"/>
    <x v="3"/>
    <s v="Standard Class"/>
    <s v="ME-17320"/>
    <x v="3"/>
    <x v="1"/>
    <x v="0"/>
    <s v="Henderson"/>
    <x v="3"/>
    <n v="42420"/>
    <x v="2"/>
    <s v="OFF-BI-10004632"/>
    <x v="0"/>
    <x v="1"/>
    <s v="Ibico Hi-Tech Manual Binding System"/>
    <n v="609.98"/>
    <n v="2"/>
    <n v="0"/>
    <n v="274.49099999999999"/>
  </r>
  <r>
    <n v="10"/>
    <s v="US-2023-167199"/>
    <x v="3"/>
    <x v="3"/>
    <s v="Standard Class"/>
    <s v="ME-17320"/>
    <x v="3"/>
    <x v="1"/>
    <x v="0"/>
    <s v="Henderson"/>
    <x v="3"/>
    <n v="42420"/>
    <x v="2"/>
    <s v="OFF-FA-10001883"/>
    <x v="0"/>
    <x v="6"/>
    <s v="Alliance Super-Size Bands, Assorted Sizes"/>
    <n v="31.12"/>
    <n v="4"/>
    <n v="0"/>
    <n v="0.31119999999999948"/>
  </r>
  <r>
    <n v="11"/>
    <s v="US-2023-167199"/>
    <x v="3"/>
    <x v="3"/>
    <s v="Standard Class"/>
    <s v="ME-17320"/>
    <x v="3"/>
    <x v="1"/>
    <x v="0"/>
    <s v="Henderson"/>
    <x v="3"/>
    <n v="42420"/>
    <x v="2"/>
    <s v="OFF-PA-10000955"/>
    <x v="0"/>
    <x v="0"/>
    <s v="Southworth 25% Cotton Granite Paper &amp; Envelopes"/>
    <n v="6.54"/>
    <n v="1"/>
    <n v="0"/>
    <n v="3.0084"/>
  </r>
  <r>
    <n v="12"/>
    <s v="US-2023-130813"/>
    <x v="3"/>
    <x v="1"/>
    <s v="Second Class"/>
    <s v="LS-17230"/>
    <x v="5"/>
    <x v="0"/>
    <x v="0"/>
    <s v="Los Angeles"/>
    <x v="5"/>
    <n v="90049"/>
    <x v="3"/>
    <s v="OFF-PA-10002005"/>
    <x v="0"/>
    <x v="0"/>
    <s v="Xerox 225"/>
    <n v="19.440000000000001"/>
    <n v="3"/>
    <n v="0"/>
    <n v="9.3312000000000008"/>
  </r>
  <r>
    <n v="13"/>
    <s v="US-2023-167199"/>
    <x v="3"/>
    <x v="3"/>
    <s v="Standard Class"/>
    <s v="ME-17320"/>
    <x v="3"/>
    <x v="1"/>
    <x v="0"/>
    <s v="Henderson"/>
    <x v="3"/>
    <n v="42420"/>
    <x v="2"/>
    <s v="TEC-PH-10004539"/>
    <x v="2"/>
    <x v="7"/>
    <s v="Wireless Extenders zBoost YX545 SOHO Signal Booster"/>
    <n v="755.96"/>
    <n v="4"/>
    <n v="0"/>
    <n v="204.10919999999999"/>
  </r>
  <r>
    <n v="14"/>
    <s v="US-2023-167199"/>
    <x v="3"/>
    <x v="3"/>
    <s v="Standard Class"/>
    <s v="ME-17320"/>
    <x v="3"/>
    <x v="1"/>
    <x v="0"/>
    <s v="Henderson"/>
    <x v="3"/>
    <n v="42420"/>
    <x v="2"/>
    <s v="TEC-PH-10004977"/>
    <x v="2"/>
    <x v="7"/>
    <s v="GE 30524EE4"/>
    <n v="391.98"/>
    <n v="2"/>
    <n v="0"/>
    <n v="113.67419999999998"/>
  </r>
  <r>
    <n v="15"/>
    <s v="US-2023-105417"/>
    <x v="4"/>
    <x v="2"/>
    <s v="Standard Class"/>
    <s v="VS-21820"/>
    <x v="6"/>
    <x v="0"/>
    <x v="0"/>
    <s v="Huntsville"/>
    <x v="0"/>
    <n v="77340"/>
    <x v="0"/>
    <s v="FUR-FU-10004864"/>
    <x v="1"/>
    <x v="8"/>
    <s v="Howard Miller 14-1/2&quot; Diameter Chrome Round Wall Clock"/>
    <n v="76.728000000000009"/>
    <n v="3"/>
    <n v="0.6"/>
    <n v="-53.709599999999988"/>
  </r>
  <r>
    <n v="16"/>
    <s v="US-2023-105417"/>
    <x v="4"/>
    <x v="2"/>
    <s v="Standard Class"/>
    <s v="VS-21820"/>
    <x v="6"/>
    <x v="0"/>
    <x v="0"/>
    <s v="Huntsville"/>
    <x v="0"/>
    <n v="77340"/>
    <x v="0"/>
    <s v="OFF-BI-10003708"/>
    <x v="0"/>
    <x v="1"/>
    <s v="Acco Four Pocket Poly Ring Binder with Label Holder, Smoke, 1&quot;"/>
    <n v="10.429999999999998"/>
    <n v="7"/>
    <n v="0.8"/>
    <n v="-18.252500000000005"/>
  </r>
  <r>
    <n v="17"/>
    <s v="US-2023-135405"/>
    <x v="5"/>
    <x v="4"/>
    <s v="Standard Class"/>
    <s v="MS-17830"/>
    <x v="7"/>
    <x v="0"/>
    <x v="0"/>
    <s v="Laredo"/>
    <x v="0"/>
    <n v="78041"/>
    <x v="0"/>
    <s v="OFF-AR-10004078"/>
    <x v="0"/>
    <x v="4"/>
    <s v="Newell 312"/>
    <n v="9.3439999999999994"/>
    <n v="2"/>
    <n v="0.2"/>
    <n v="1.1679999999999997"/>
  </r>
  <r>
    <n v="18"/>
    <s v="US-2023-135405"/>
    <x v="5"/>
    <x v="4"/>
    <s v="Standard Class"/>
    <s v="MS-17830"/>
    <x v="7"/>
    <x v="0"/>
    <x v="0"/>
    <s v="Laredo"/>
    <x v="0"/>
    <n v="78041"/>
    <x v="0"/>
    <s v="TEC-AC-10001266"/>
    <x v="2"/>
    <x v="9"/>
    <s v="Memorex Micro Travel Drive 8 GB"/>
    <n v="31.200000000000003"/>
    <n v="3"/>
    <n v="0.2"/>
    <n v="9.7499999999999964"/>
  </r>
  <r>
    <n v="19"/>
    <s v="US-2023-149020"/>
    <x v="6"/>
    <x v="5"/>
    <s v="Standard Class"/>
    <s v="AJ-10780"/>
    <x v="8"/>
    <x v="2"/>
    <x v="0"/>
    <s v="Springfield"/>
    <x v="6"/>
    <n v="22153"/>
    <x v="2"/>
    <s v="FUR-FU-10000965"/>
    <x v="1"/>
    <x v="8"/>
    <s v="Howard Miller 11-1/2&quot; Diameter Ridgewood Wall Clock"/>
    <n v="51.94"/>
    <n v="1"/>
    <n v="0"/>
    <n v="21.295400000000001"/>
  </r>
  <r>
    <n v="20"/>
    <s v="US-2023-149020"/>
    <x v="6"/>
    <x v="5"/>
    <s v="Standard Class"/>
    <s v="AJ-10780"/>
    <x v="8"/>
    <x v="2"/>
    <x v="0"/>
    <s v="Springfield"/>
    <x v="6"/>
    <n v="22153"/>
    <x v="2"/>
    <s v="OFF-LA-10004272"/>
    <x v="0"/>
    <x v="2"/>
    <s v="Avery 482"/>
    <n v="2.89"/>
    <n v="1"/>
    <n v="0"/>
    <n v="1.3583000000000001"/>
  </r>
  <r>
    <n v="21"/>
    <s v="US-2023-130092"/>
    <x v="7"/>
    <x v="6"/>
    <s v="First Class"/>
    <s v="SV-20365"/>
    <x v="9"/>
    <x v="0"/>
    <x v="0"/>
    <s v="Dover"/>
    <x v="7"/>
    <n v="19901"/>
    <x v="1"/>
    <s v="FUR-FU-10000010"/>
    <x v="1"/>
    <x v="8"/>
    <s v="DAX Value U-Channel Document Frames, Easel Back"/>
    <n v="9.94"/>
    <n v="2"/>
    <n v="0"/>
    <n v="3.0813999999999995"/>
  </r>
  <r>
    <n v="22"/>
    <s v="US-2023-157147"/>
    <x v="8"/>
    <x v="7"/>
    <s v="Standard Class"/>
    <s v="BD-11605"/>
    <x v="10"/>
    <x v="0"/>
    <x v="0"/>
    <s v="San Francisco"/>
    <x v="5"/>
    <n v="94109"/>
    <x v="3"/>
    <s v="FUR-BO-10003034"/>
    <x v="1"/>
    <x v="10"/>
    <s v="O'Sullivan Elevations Bookcase, Cherry Finish"/>
    <n v="333.99899999999997"/>
    <n v="3"/>
    <n v="0.15"/>
    <n v="3.9294000000000082"/>
  </r>
  <r>
    <n v="23"/>
    <s v="US-2023-109232"/>
    <x v="8"/>
    <x v="8"/>
    <s v="Second Class"/>
    <s v="ND-18370"/>
    <x v="11"/>
    <x v="0"/>
    <x v="0"/>
    <s v="Mount Pleasant"/>
    <x v="8"/>
    <n v="29464"/>
    <x v="2"/>
    <s v="FUR-CH-10000422"/>
    <x v="1"/>
    <x v="5"/>
    <s v="Global Highback Leather Tilter in Burgundy"/>
    <n v="545.93999999999994"/>
    <n v="6"/>
    <n v="0"/>
    <n v="87.350400000000036"/>
  </r>
  <r>
    <n v="24"/>
    <s v="US-2023-157147"/>
    <x v="8"/>
    <x v="7"/>
    <s v="Standard Class"/>
    <s v="BD-11605"/>
    <x v="10"/>
    <x v="0"/>
    <x v="0"/>
    <s v="San Francisco"/>
    <x v="5"/>
    <n v="94109"/>
    <x v="3"/>
    <s v="OFF-AR-10003514"/>
    <x v="0"/>
    <x v="4"/>
    <s v="4009 Highlighters by Sanford"/>
    <n v="19.899999999999999"/>
    <n v="5"/>
    <n v="0"/>
    <n v="6.5669999999999984"/>
  </r>
  <r>
    <n v="25"/>
    <s v="US-2023-118192"/>
    <x v="8"/>
    <x v="7"/>
    <s v="Standard Class"/>
    <s v="MM-17920"/>
    <x v="12"/>
    <x v="0"/>
    <x v="0"/>
    <s v="Newark"/>
    <x v="9"/>
    <n v="43055"/>
    <x v="1"/>
    <s v="OFF-BI-10003476"/>
    <x v="0"/>
    <x v="1"/>
    <s v="Avery Metallic Poly Binders"/>
    <n v="3.4380000000000006"/>
    <n v="2"/>
    <n v="0.7"/>
    <n v="-2.5212000000000003"/>
  </r>
  <r>
    <n v="26"/>
    <s v="US-2023-162775"/>
    <x v="8"/>
    <x v="5"/>
    <s v="Second Class"/>
    <s v="CS-12250"/>
    <x v="13"/>
    <x v="2"/>
    <x v="0"/>
    <s v="Bossier City"/>
    <x v="10"/>
    <n v="71111"/>
    <x v="2"/>
    <s v="OFF-BI-10004187"/>
    <x v="0"/>
    <x v="1"/>
    <s v="3-ring staple pack"/>
    <n v="5.64"/>
    <n v="3"/>
    <n v="0"/>
    <n v="2.7071999999999994"/>
  </r>
  <r>
    <n v="27"/>
    <s v="US-2023-162775"/>
    <x v="8"/>
    <x v="5"/>
    <s v="Second Class"/>
    <s v="CS-12250"/>
    <x v="13"/>
    <x v="2"/>
    <x v="0"/>
    <s v="Bossier City"/>
    <x v="10"/>
    <n v="71111"/>
    <x v="2"/>
    <s v="OFF-EN-10001532"/>
    <x v="0"/>
    <x v="11"/>
    <s v="Brown Kraft Recycled Envelopes"/>
    <n v="50.94"/>
    <n v="3"/>
    <n v="0"/>
    <n v="25.47"/>
  </r>
  <r>
    <n v="28"/>
    <s v="US-2023-162775"/>
    <x v="8"/>
    <x v="5"/>
    <s v="Second Class"/>
    <s v="CS-12250"/>
    <x v="13"/>
    <x v="2"/>
    <x v="0"/>
    <s v="Bossier City"/>
    <x v="10"/>
    <n v="71111"/>
    <x v="2"/>
    <s v="OFF-EN-10001990"/>
    <x v="0"/>
    <x v="11"/>
    <s v="Staple envelope"/>
    <n v="11.36"/>
    <n v="2"/>
    <n v="0"/>
    <n v="5.3391999999999991"/>
  </r>
  <r>
    <n v="29"/>
    <s v="US-2023-118192"/>
    <x v="8"/>
    <x v="7"/>
    <s v="Standard Class"/>
    <s v="MM-17920"/>
    <x v="12"/>
    <x v="0"/>
    <x v="0"/>
    <s v="Newark"/>
    <x v="9"/>
    <n v="43055"/>
    <x v="1"/>
    <s v="OFF-PA-10002947"/>
    <x v="0"/>
    <x v="0"/>
    <s v="Xerox 1923"/>
    <n v="37.408000000000001"/>
    <n v="7"/>
    <n v="0.2"/>
    <n v="13.0928"/>
  </r>
  <r>
    <n v="30"/>
    <s v="US-2023-162775"/>
    <x v="8"/>
    <x v="5"/>
    <s v="Second Class"/>
    <s v="CS-12250"/>
    <x v="13"/>
    <x v="2"/>
    <x v="0"/>
    <s v="Bossier City"/>
    <x v="10"/>
    <n v="71111"/>
    <x v="2"/>
    <s v="OFF-ST-10000025"/>
    <x v="0"/>
    <x v="3"/>
    <s v="Fellowes Stor/Drawer Steel Plus Storage Drawers"/>
    <n v="572.58000000000004"/>
    <n v="6"/>
    <n v="0"/>
    <n v="34.354799999999955"/>
  </r>
  <r>
    <n v="31"/>
    <s v="US-2023-157147"/>
    <x v="8"/>
    <x v="7"/>
    <s v="Standard Class"/>
    <s v="BD-11605"/>
    <x v="10"/>
    <x v="0"/>
    <x v="0"/>
    <s v="San Francisco"/>
    <x v="5"/>
    <n v="94109"/>
    <x v="3"/>
    <s v="OFF-ST-10000078"/>
    <x v="0"/>
    <x v="3"/>
    <s v="Tennsco 6- and 18-Compartment Lockers"/>
    <n v="1325.8500000000001"/>
    <n v="5"/>
    <n v="0"/>
    <n v="238.65299999999991"/>
  </r>
  <r>
    <n v="32"/>
    <s v="US-2023-162775"/>
    <x v="8"/>
    <x v="5"/>
    <s v="Second Class"/>
    <s v="CS-12250"/>
    <x v="13"/>
    <x v="2"/>
    <x v="0"/>
    <s v="Bossier City"/>
    <x v="10"/>
    <n v="71111"/>
    <x v="2"/>
    <s v="TEC-AC-10003174"/>
    <x v="2"/>
    <x v="9"/>
    <s v="Plantronics S12 Corded Telephone Headset System"/>
    <n v="646.74"/>
    <n v="6"/>
    <n v="0"/>
    <n v="258.69600000000003"/>
  </r>
  <r>
    <n v="33"/>
    <s v="US-2023-149524"/>
    <x v="9"/>
    <x v="5"/>
    <s v="First Class"/>
    <s v="BS-11590"/>
    <x v="14"/>
    <x v="2"/>
    <x v="0"/>
    <s v="Philadelphia"/>
    <x v="2"/>
    <n v="19140"/>
    <x v="1"/>
    <s v="FUR-BO-10003433"/>
    <x v="1"/>
    <x v="10"/>
    <s v="Sauder Cornerstone Collection Library"/>
    <n v="61.96"/>
    <n v="4"/>
    <n v="0.5"/>
    <n v="-53.285600000000009"/>
  </r>
  <r>
    <n v="34"/>
    <s v="US-2023-103366"/>
    <x v="10"/>
    <x v="9"/>
    <s v="First Class"/>
    <s v="EH-13990"/>
    <x v="15"/>
    <x v="0"/>
    <x v="0"/>
    <s v="Roswell"/>
    <x v="4"/>
    <n v="30076"/>
    <x v="2"/>
    <s v="TEC-AC-10003628"/>
    <x v="2"/>
    <x v="9"/>
    <s v="Logitech 910-002974 M325 Wireless Mouse for Web Scrolling"/>
    <n v="149.94999999999999"/>
    <n v="5"/>
    <n v="0"/>
    <n v="65.978000000000009"/>
  </r>
  <r>
    <n v="35"/>
    <s v="US-2023-115791"/>
    <x v="11"/>
    <x v="7"/>
    <s v="Second Class"/>
    <s v="DL-13315"/>
    <x v="16"/>
    <x v="0"/>
    <x v="0"/>
    <s v="Philadelphia"/>
    <x v="2"/>
    <n v="19134"/>
    <x v="1"/>
    <s v="FUR-FU-10001095"/>
    <x v="1"/>
    <x v="8"/>
    <s v="DAX Black Cherry Wood-Tone Poster Frame"/>
    <n v="127.10400000000001"/>
    <n v="6"/>
    <n v="0.2"/>
    <n v="28.598399999999998"/>
  </r>
  <r>
    <n v="36"/>
    <s v="US-2023-115791"/>
    <x v="11"/>
    <x v="7"/>
    <s v="Second Class"/>
    <s v="DL-13315"/>
    <x v="16"/>
    <x v="0"/>
    <x v="0"/>
    <s v="Philadelphia"/>
    <x v="2"/>
    <n v="19134"/>
    <x v="1"/>
    <s v="OFF-BI-10001575"/>
    <x v="0"/>
    <x v="1"/>
    <s v="GBC Linen Binding Covers"/>
    <n v="18.588000000000005"/>
    <n v="2"/>
    <n v="0.7"/>
    <n v="-13.6312"/>
  </r>
  <r>
    <n v="37"/>
    <s v="US-2023-115791"/>
    <x v="11"/>
    <x v="7"/>
    <s v="Second Class"/>
    <s v="DL-13315"/>
    <x v="16"/>
    <x v="0"/>
    <x v="0"/>
    <s v="Philadelphia"/>
    <x v="2"/>
    <n v="19134"/>
    <x v="1"/>
    <s v="OFF-LA-10001074"/>
    <x v="0"/>
    <x v="2"/>
    <s v="Round Specialty Laser Printer Labels"/>
    <n v="30.072000000000003"/>
    <n v="3"/>
    <n v="0.2"/>
    <n v="10.149299999999997"/>
  </r>
  <r>
    <n v="38"/>
    <s v="US-2023-115791"/>
    <x v="11"/>
    <x v="7"/>
    <s v="Second Class"/>
    <s v="DL-13315"/>
    <x v="16"/>
    <x v="0"/>
    <x v="0"/>
    <s v="Philadelphia"/>
    <x v="2"/>
    <n v="19134"/>
    <x v="1"/>
    <s v="TEC-PH-10004614"/>
    <x v="2"/>
    <x v="7"/>
    <s v="AT&amp;T 841000 Phone"/>
    <n v="124.19999999999999"/>
    <n v="3"/>
    <n v="0.4"/>
    <n v="-31.050000000000011"/>
  </r>
  <r>
    <n v="39"/>
    <s v="US-2023-123477"/>
    <x v="12"/>
    <x v="10"/>
    <s v="Second Class"/>
    <s v="DW-13195"/>
    <x v="17"/>
    <x v="2"/>
    <x v="0"/>
    <s v="Springfield"/>
    <x v="11"/>
    <n v="97477"/>
    <x v="3"/>
    <s v="OFF-AP-10000692"/>
    <x v="0"/>
    <x v="12"/>
    <s v="Fellowes Mighty 8 Compact Surge Protector"/>
    <n v="64.864000000000004"/>
    <n v="4"/>
    <n v="0.2"/>
    <n v="6.4864000000000033"/>
  </r>
  <r>
    <n v="40"/>
    <s v="US-2023-146591"/>
    <x v="13"/>
    <x v="11"/>
    <s v="First Class"/>
    <s v="TS-21340"/>
    <x v="18"/>
    <x v="0"/>
    <x v="0"/>
    <s v="Scottsdale"/>
    <x v="12"/>
    <n v="85254"/>
    <x v="3"/>
    <s v="FUR-BO-10001972"/>
    <x v="1"/>
    <x v="10"/>
    <s v="O'Sullivan 4-Shelf Bookcase in Odessa Pine"/>
    <n v="181.47000000000003"/>
    <n v="5"/>
    <n v="0.7"/>
    <n v="-320.59699999999998"/>
  </r>
  <r>
    <n v="41"/>
    <s v="US-2023-146591"/>
    <x v="13"/>
    <x v="11"/>
    <s v="First Class"/>
    <s v="TS-21340"/>
    <x v="18"/>
    <x v="0"/>
    <x v="0"/>
    <s v="Scottsdale"/>
    <x v="12"/>
    <n v="85254"/>
    <x v="3"/>
    <s v="OFF-BI-10003676"/>
    <x v="0"/>
    <x v="1"/>
    <s v="GBC Standard Recycled Report Covers, Clear Plastic Sheets"/>
    <n v="32.340000000000003"/>
    <n v="10"/>
    <n v="0.7"/>
    <n v="-23.716000000000001"/>
  </r>
  <r>
    <n v="42"/>
    <s v="US-2023-146591"/>
    <x v="13"/>
    <x v="11"/>
    <s v="First Class"/>
    <s v="TS-21340"/>
    <x v="18"/>
    <x v="0"/>
    <x v="0"/>
    <s v="Scottsdale"/>
    <x v="12"/>
    <n v="85254"/>
    <x v="3"/>
    <s v="OFF-EN-10002504"/>
    <x v="0"/>
    <x v="11"/>
    <s v="Tyvek  Top-Opening Peel &amp; Seel Envelopes, Plain White"/>
    <n v="108.72"/>
    <n v="5"/>
    <n v="0.2"/>
    <n v="36.692999999999998"/>
  </r>
  <r>
    <n v="43"/>
    <s v="US-2023-146591"/>
    <x v="13"/>
    <x v="11"/>
    <s v="First Class"/>
    <s v="TS-21340"/>
    <x v="18"/>
    <x v="0"/>
    <x v="0"/>
    <s v="Scottsdale"/>
    <x v="12"/>
    <n v="85254"/>
    <x v="3"/>
    <s v="OFF-PA-10000659"/>
    <x v="0"/>
    <x v="0"/>
    <s v="TOPS Carbonless Receipt Book, Four 2-3/4 x 7-1/4 Money Receipts per Page"/>
    <n v="56.064"/>
    <n v="4"/>
    <n v="0.2"/>
    <n v="19.622399999999999"/>
  </r>
  <r>
    <n v="44"/>
    <s v="US-2023-147627"/>
    <x v="14"/>
    <x v="12"/>
    <s v="Standard Class"/>
    <s v="HL-15040"/>
    <x v="19"/>
    <x v="0"/>
    <x v="0"/>
    <s v="Jonesboro"/>
    <x v="13"/>
    <n v="72401"/>
    <x v="2"/>
    <s v="FUR-CH-10002331"/>
    <x v="1"/>
    <x v="5"/>
    <s v="Hon 4700 Series Mobuis Mid-Back Task Chairs with Adjustable Arms"/>
    <n v="1067.94"/>
    <n v="3"/>
    <n v="0"/>
    <n v="224.2673999999999"/>
  </r>
  <r>
    <n v="45"/>
    <s v="US-2023-167927"/>
    <x v="14"/>
    <x v="12"/>
    <s v="Standard Class"/>
    <s v="XP-21865"/>
    <x v="20"/>
    <x v="0"/>
    <x v="0"/>
    <s v="Westland"/>
    <x v="14"/>
    <n v="48185"/>
    <x v="0"/>
    <s v="FUR-FU-10002268"/>
    <x v="1"/>
    <x v="8"/>
    <s v="Ultra Door Push Plate"/>
    <n v="14.73"/>
    <n v="3"/>
    <n v="0"/>
    <n v="4.8608999999999991"/>
  </r>
  <r>
    <n v="46"/>
    <s v="US-2023-167927"/>
    <x v="14"/>
    <x v="12"/>
    <s v="Standard Class"/>
    <s v="XP-21865"/>
    <x v="20"/>
    <x v="0"/>
    <x v="0"/>
    <s v="Westland"/>
    <x v="14"/>
    <n v="48185"/>
    <x v="0"/>
    <s v="FUR-FU-10002918"/>
    <x v="1"/>
    <x v="8"/>
    <s v="Eldon ClusterMat Chair Mat with Cordless Antistatic Protection"/>
    <n v="272.94"/>
    <n v="3"/>
    <n v="0"/>
    <n v="30.023400000000009"/>
  </r>
  <r>
    <n v="47"/>
    <s v="US-2023-147627"/>
    <x v="14"/>
    <x v="12"/>
    <s v="Standard Class"/>
    <s v="HL-15040"/>
    <x v="19"/>
    <x v="0"/>
    <x v="0"/>
    <s v="Jonesboro"/>
    <x v="13"/>
    <n v="72401"/>
    <x v="2"/>
    <s v="FUR-FU-10003194"/>
    <x v="1"/>
    <x v="8"/>
    <s v="Eldon Expressions Desk Accessory, Wood Pencil Holder, Oak"/>
    <n v="38.6"/>
    <n v="4"/>
    <n v="0"/>
    <n v="11.579999999999998"/>
  </r>
  <r>
    <n v="48"/>
    <s v="US-2023-148614"/>
    <x v="14"/>
    <x v="13"/>
    <s v="Standard Class"/>
    <s v="MV-17485"/>
    <x v="21"/>
    <x v="0"/>
    <x v="0"/>
    <s v="Los Angeles"/>
    <x v="5"/>
    <n v="90049"/>
    <x v="3"/>
    <s v="FUR-FU-10003194"/>
    <x v="1"/>
    <x v="8"/>
    <s v="Eldon Expressions Desk Accessory, Wood Pencil Holder, Oak"/>
    <n v="19.3"/>
    <n v="2"/>
    <n v="0"/>
    <n v="5.7899999999999991"/>
  </r>
  <r>
    <n v="49"/>
    <s v="US-2023-167927"/>
    <x v="14"/>
    <x v="12"/>
    <s v="Standard Class"/>
    <s v="XP-21865"/>
    <x v="20"/>
    <x v="0"/>
    <x v="0"/>
    <s v="Westland"/>
    <x v="14"/>
    <n v="48185"/>
    <x v="0"/>
    <s v="OFF-AP-10002311"/>
    <x v="0"/>
    <x v="12"/>
    <s v="Holmes Replacement Filter for HEPA Air Cleaner, Very Large Room, HEPA Filter"/>
    <n v="247.71600000000001"/>
    <n v="4"/>
    <n v="0.1"/>
    <n v="93.581600000000009"/>
  </r>
  <r>
    <n v="50"/>
    <s v="US-2023-147627"/>
    <x v="14"/>
    <x v="12"/>
    <s v="Standard Class"/>
    <s v="HL-15040"/>
    <x v="19"/>
    <x v="0"/>
    <x v="0"/>
    <s v="Jonesboro"/>
    <x v="13"/>
    <n v="72401"/>
    <x v="2"/>
    <s v="OFF-AR-10002375"/>
    <x v="0"/>
    <x v="4"/>
    <s v="Newell 351"/>
    <n v="22.959999999999997"/>
    <n v="7"/>
    <n v="0"/>
    <n v="6.6583999999999968"/>
  </r>
  <r>
    <n v="51"/>
    <s v="US-2023-147627"/>
    <x v="14"/>
    <x v="12"/>
    <s v="Standard Class"/>
    <s v="HL-15040"/>
    <x v="19"/>
    <x v="0"/>
    <x v="0"/>
    <s v="Jonesboro"/>
    <x v="13"/>
    <n v="72401"/>
    <x v="2"/>
    <s v="OFF-AR-10003811"/>
    <x v="0"/>
    <x v="4"/>
    <s v="Newell 327"/>
    <n v="6.63"/>
    <n v="3"/>
    <n v="0"/>
    <n v="1.7901"/>
  </r>
  <r>
    <n v="52"/>
    <s v="US-2023-167927"/>
    <x v="14"/>
    <x v="12"/>
    <s v="Standard Class"/>
    <s v="XP-21865"/>
    <x v="20"/>
    <x v="0"/>
    <x v="0"/>
    <s v="Westland"/>
    <x v="14"/>
    <n v="48185"/>
    <x v="0"/>
    <s v="OFF-AR-10004456"/>
    <x v="0"/>
    <x v="4"/>
    <s v="Panasonic KP-4ABK Battery-Operated Pencil Sharpener"/>
    <n v="43.92"/>
    <n v="3"/>
    <n v="0"/>
    <n v="12.736799999999999"/>
  </r>
  <r>
    <n v="53"/>
    <s v="US-2023-167927"/>
    <x v="14"/>
    <x v="12"/>
    <s v="Standard Class"/>
    <s v="XP-21865"/>
    <x v="20"/>
    <x v="0"/>
    <x v="0"/>
    <s v="Westland"/>
    <x v="14"/>
    <n v="48185"/>
    <x v="0"/>
    <s v="OFF-BI-10000605"/>
    <x v="0"/>
    <x v="1"/>
    <s v="Acco Pressboard Covers with Storage Hooks, 9 1/2&quot; x 11&quot;, Executive Red"/>
    <n v="19.05"/>
    <n v="5"/>
    <n v="0"/>
    <n v="8.9534999999999982"/>
  </r>
  <r>
    <n v="54"/>
    <s v="US-2023-147774"/>
    <x v="14"/>
    <x v="12"/>
    <s v="Standard Class"/>
    <s v="MM-18280"/>
    <x v="22"/>
    <x v="2"/>
    <x v="0"/>
    <s v="Smyrna"/>
    <x v="15"/>
    <n v="37167"/>
    <x v="2"/>
    <s v="OFF-BI-10003091"/>
    <x v="0"/>
    <x v="1"/>
    <s v="GBC DocuBind TL200 Manual Binding Machine"/>
    <n v="67.194000000000003"/>
    <n v="1"/>
    <n v="0.7"/>
    <n v="-51.515399999999985"/>
  </r>
  <r>
    <n v="55"/>
    <s v="US-2023-167927"/>
    <x v="14"/>
    <x v="12"/>
    <s v="Standard Class"/>
    <s v="XP-21865"/>
    <x v="20"/>
    <x v="0"/>
    <x v="0"/>
    <s v="Westland"/>
    <x v="14"/>
    <n v="48185"/>
    <x v="0"/>
    <s v="OFF-BI-10004364"/>
    <x v="0"/>
    <x v="1"/>
    <s v="Storex Dura Pro Binders"/>
    <n v="29.700000000000003"/>
    <n v="5"/>
    <n v="0"/>
    <n v="13.365"/>
  </r>
  <r>
    <n v="56"/>
    <s v="US-2023-147627"/>
    <x v="14"/>
    <x v="12"/>
    <s v="Standard Class"/>
    <s v="HL-15040"/>
    <x v="19"/>
    <x v="0"/>
    <x v="0"/>
    <s v="Jonesboro"/>
    <x v="13"/>
    <n v="72401"/>
    <x v="2"/>
    <s v="OFF-EN-10001539"/>
    <x v="0"/>
    <x v="11"/>
    <s v="Staple envelope"/>
    <n v="23.34"/>
    <n v="3"/>
    <n v="0"/>
    <n v="10.969799999999999"/>
  </r>
  <r>
    <n v="57"/>
    <s v="US-2023-148614"/>
    <x v="14"/>
    <x v="13"/>
    <s v="Standard Class"/>
    <s v="MV-17485"/>
    <x v="21"/>
    <x v="0"/>
    <x v="0"/>
    <s v="Los Angeles"/>
    <x v="5"/>
    <n v="90049"/>
    <x v="3"/>
    <s v="OFF-PA-10002893"/>
    <x v="0"/>
    <x v="0"/>
    <s v="Wirebound Service Call Books, 5 1/2&quot; x 4&quot;"/>
    <n v="19.36"/>
    <n v="2"/>
    <n v="0"/>
    <n v="9.2927999999999997"/>
  </r>
  <r>
    <n v="58"/>
    <s v="US-2023-167927"/>
    <x v="14"/>
    <x v="12"/>
    <s v="Standard Class"/>
    <s v="XP-21865"/>
    <x v="20"/>
    <x v="0"/>
    <x v="0"/>
    <s v="Westland"/>
    <x v="14"/>
    <n v="48185"/>
    <x v="0"/>
    <s v="OFF-ST-10000760"/>
    <x v="0"/>
    <x v="3"/>
    <s v="Eldon Fold 'N Roll Cart System"/>
    <n v="13.98"/>
    <n v="1"/>
    <n v="0"/>
    <n v="4.0541999999999998"/>
  </r>
  <r>
    <n v="59"/>
    <s v="US-2023-167927"/>
    <x v="14"/>
    <x v="12"/>
    <s v="Standard Class"/>
    <s v="XP-21865"/>
    <x v="20"/>
    <x v="0"/>
    <x v="0"/>
    <s v="Westland"/>
    <x v="14"/>
    <n v="48185"/>
    <x v="0"/>
    <s v="OFF-ST-10003123"/>
    <x v="0"/>
    <x v="3"/>
    <s v="Fellowes Bases and Tops For Staxonsteel/High-Stak Systems"/>
    <n v="66.58"/>
    <n v="2"/>
    <n v="0"/>
    <n v="15.979199999999999"/>
  </r>
  <r>
    <n v="60"/>
    <s v="US-2023-147627"/>
    <x v="14"/>
    <x v="12"/>
    <s v="Standard Class"/>
    <s v="HL-15040"/>
    <x v="19"/>
    <x v="0"/>
    <x v="0"/>
    <s v="Jonesboro"/>
    <x v="13"/>
    <n v="72401"/>
    <x v="2"/>
    <s v="TEC-PH-10001061"/>
    <x v="2"/>
    <x v="7"/>
    <s v="Apple iPhone 5C"/>
    <n v="699.93"/>
    <n v="7"/>
    <n v="0"/>
    <n v="181.98179999999999"/>
  </r>
  <r>
    <n v="61"/>
    <s v="US-2023-110422"/>
    <x v="15"/>
    <x v="14"/>
    <s v="Second Class"/>
    <s v="TB-21400"/>
    <x v="23"/>
    <x v="0"/>
    <x v="0"/>
    <s v="Miami"/>
    <x v="16"/>
    <n v="33180"/>
    <x v="2"/>
    <s v="FUR-FU-10001889"/>
    <x v="1"/>
    <x v="8"/>
    <s v="Ultra Door Pull Handle"/>
    <n v="25.248000000000001"/>
    <n v="3"/>
    <n v="0.2"/>
    <n v="4.1027999999999993"/>
  </r>
  <r>
    <n v="62"/>
    <s v="CA-2023-115238"/>
    <x v="15"/>
    <x v="15"/>
    <s v="Standard Class"/>
    <s v="JW-15220"/>
    <x v="24"/>
    <x v="2"/>
    <x v="1"/>
    <s v="Toronto"/>
    <x v="17"/>
    <s v="M7A"/>
    <x v="1"/>
    <s v="FUR-FU-10001025"/>
    <x v="1"/>
    <x v="8"/>
    <s v="Eldon Imàge Series Desk Accessories, Clear"/>
    <n v="24.3"/>
    <n v="5"/>
    <n v="0"/>
    <n v="10.45"/>
  </r>
  <r>
    <n v="63"/>
    <s v="CA-2023-115238"/>
    <x v="15"/>
    <x v="15"/>
    <s v="Standard Class"/>
    <s v="JW-15220"/>
    <x v="24"/>
    <x v="2"/>
    <x v="1"/>
    <s v="Toronto"/>
    <x v="17"/>
    <s v="M7A"/>
    <x v="1"/>
    <s v="FUR-FU-10002445"/>
    <x v="1"/>
    <x v="8"/>
    <s v="DAX Two-Tone Rosewood/Black Document Frame, Desktop, 5 x 7"/>
    <n v="9.48"/>
    <n v="1"/>
    <n v="0"/>
    <n v="3.79"/>
  </r>
  <r>
    <n v="64"/>
    <s v="CA-2023-115238"/>
    <x v="15"/>
    <x v="15"/>
    <s v="Standard Class"/>
    <s v="JW-15220"/>
    <x v="24"/>
    <x v="2"/>
    <x v="1"/>
    <s v="Toronto"/>
    <x v="17"/>
    <s v="M7A"/>
    <x v="1"/>
    <s v="FUR-FU-10002960"/>
    <x v="1"/>
    <x v="8"/>
    <s v="Eldon 200 Class Desk Accessories, Burgundy"/>
    <n v="31.4"/>
    <n v="5"/>
    <n v="0"/>
    <n v="13.19"/>
  </r>
  <r>
    <n v="65"/>
    <s v="CA-2023-115238"/>
    <x v="15"/>
    <x v="15"/>
    <s v="Standard Class"/>
    <s v="JW-15220"/>
    <x v="24"/>
    <x v="2"/>
    <x v="1"/>
    <s v="Toronto"/>
    <x v="17"/>
    <s v="M7A"/>
    <x v="1"/>
    <s v="OFF-PA-10002689"/>
    <x v="0"/>
    <x v="0"/>
    <s v="Weyerhaeuser First Choice Laser/Copy Paper (20Lb. and 88 Bright)"/>
    <n v="6.48"/>
    <n v="1"/>
    <n v="0"/>
    <n v="3.11"/>
  </r>
  <r>
    <n v="66"/>
    <s v="CA-2023-115238"/>
    <x v="15"/>
    <x v="15"/>
    <s v="Standard Class"/>
    <s v="JW-15220"/>
    <x v="24"/>
    <x v="2"/>
    <x v="1"/>
    <s v="Toronto"/>
    <x v="17"/>
    <s v="M7A"/>
    <x v="1"/>
    <s v="TEC-PH-10001300"/>
    <x v="2"/>
    <x v="7"/>
    <s v="iKross Bluetooth Portable Keyboard + Cell Phone Stand Holder + Brush for Apple iPhone 5S 5C 5, 4S 4"/>
    <n v="209.5"/>
    <n v="10"/>
    <n v="0"/>
    <n v="58.66"/>
  </r>
  <r>
    <n v="67"/>
    <s v="US-2023-146997"/>
    <x v="16"/>
    <x v="16"/>
    <s v="Standard Class"/>
    <s v="SG-20605"/>
    <x v="25"/>
    <x v="0"/>
    <x v="0"/>
    <s v="Lafayette"/>
    <x v="18"/>
    <n v="47905"/>
    <x v="0"/>
    <s v="OFF-FA-10003467"/>
    <x v="0"/>
    <x v="6"/>
    <s v="Alliance Big Bands Rubber Bands, 12/Pack"/>
    <n v="5.9399999999999995"/>
    <n v="3"/>
    <n v="0"/>
    <n v="0"/>
  </r>
  <r>
    <n v="68"/>
    <s v="US-2023-102645"/>
    <x v="16"/>
    <x v="17"/>
    <s v="Standard Class"/>
    <s v="IM-15055"/>
    <x v="26"/>
    <x v="0"/>
    <x v="0"/>
    <s v="Las Vegas"/>
    <x v="19"/>
    <n v="89115"/>
    <x v="3"/>
    <s v="OFF-PA-10001804"/>
    <x v="0"/>
    <x v="0"/>
    <s v="Xerox 195"/>
    <n v="40.08"/>
    <n v="6"/>
    <n v="0"/>
    <n v="19.238399999999999"/>
  </r>
  <r>
    <n v="69"/>
    <s v="US-2023-167997"/>
    <x v="17"/>
    <x v="18"/>
    <s v="First Class"/>
    <s v="CA-11965"/>
    <x v="27"/>
    <x v="2"/>
    <x v="0"/>
    <s v="Rapid City"/>
    <x v="20"/>
    <n v="57701"/>
    <x v="0"/>
    <s v="FUR-BO-10004409"/>
    <x v="1"/>
    <x v="10"/>
    <s v="Safco Value Mate Series Steel Bookcases, Baked Enamel Finish on Steel, Gray"/>
    <n v="141.96"/>
    <n v="2"/>
    <n v="0"/>
    <n v="39.748800000000003"/>
  </r>
  <r>
    <n v="70"/>
    <s v="US-2023-155502"/>
    <x v="17"/>
    <x v="19"/>
    <s v="Standard Class"/>
    <s v="SD-20485"/>
    <x v="28"/>
    <x v="1"/>
    <x v="0"/>
    <s v="Alexandria"/>
    <x v="6"/>
    <n v="22304"/>
    <x v="2"/>
    <s v="FUR-FU-10001847"/>
    <x v="1"/>
    <x v="8"/>
    <s v="Eldon Image Series Black Desk Accessories"/>
    <n v="12.419999999999998"/>
    <n v="3"/>
    <n v="0"/>
    <n v="4.4711999999999996"/>
  </r>
  <r>
    <n v="71"/>
    <s v="US-2023-155502"/>
    <x v="17"/>
    <x v="19"/>
    <s v="Standard Class"/>
    <s v="SD-20485"/>
    <x v="28"/>
    <x v="1"/>
    <x v="0"/>
    <s v="Alexandria"/>
    <x v="6"/>
    <n v="22304"/>
    <x v="2"/>
    <s v="FUR-FU-10004587"/>
    <x v="1"/>
    <x v="8"/>
    <s v="GE General Use Halogen Bulbs, 100 Watts, 1 Bulb per Pack"/>
    <n v="62.820000000000007"/>
    <n v="3"/>
    <n v="0"/>
    <n v="30.7818"/>
  </r>
  <r>
    <n v="72"/>
    <s v="US-2023-167997"/>
    <x v="17"/>
    <x v="18"/>
    <s v="First Class"/>
    <s v="CA-11965"/>
    <x v="27"/>
    <x v="2"/>
    <x v="0"/>
    <s v="Rapid City"/>
    <x v="20"/>
    <n v="57701"/>
    <x v="0"/>
    <s v="OFF-BI-10001758"/>
    <x v="0"/>
    <x v="1"/>
    <s v="Wilson Jones 14 Line Acrylic Coated Pressboard Data Binders"/>
    <n v="10.68"/>
    <n v="2"/>
    <n v="0"/>
    <n v="5.0195999999999996"/>
  </r>
  <r>
    <n v="73"/>
    <s v="US-2023-155502"/>
    <x v="17"/>
    <x v="19"/>
    <s v="Standard Class"/>
    <s v="SD-20485"/>
    <x v="28"/>
    <x v="1"/>
    <x v="0"/>
    <s v="Alexandria"/>
    <x v="6"/>
    <n v="22304"/>
    <x v="2"/>
    <s v="OFF-PA-10000380"/>
    <x v="0"/>
    <x v="0"/>
    <s v="REDIFORM Incoming/Outgoing Call Register, 11&quot; X 8 1/2&quot;, 100 Messages"/>
    <n v="16.68"/>
    <n v="2"/>
    <n v="0"/>
    <n v="8.34"/>
  </r>
  <r>
    <n v="74"/>
    <s v="US-2023-155502"/>
    <x v="17"/>
    <x v="19"/>
    <s v="Standard Class"/>
    <s v="SD-20485"/>
    <x v="28"/>
    <x v="1"/>
    <x v="0"/>
    <s v="Alexandria"/>
    <x v="6"/>
    <n v="22304"/>
    <x v="2"/>
    <s v="OFF-PA-10003072"/>
    <x v="0"/>
    <x v="0"/>
    <s v="Eureka Recycled Copy Paper 8 1/2&quot; x 11&quot;, Ream"/>
    <n v="19.440000000000001"/>
    <n v="3"/>
    <n v="0"/>
    <n v="9.3312000000000008"/>
  </r>
  <r>
    <n v="75"/>
    <s v="US-2023-155502"/>
    <x v="17"/>
    <x v="19"/>
    <s v="Standard Class"/>
    <s v="SD-20485"/>
    <x v="28"/>
    <x v="1"/>
    <x v="0"/>
    <s v="Alexandria"/>
    <x v="6"/>
    <n v="22304"/>
    <x v="2"/>
    <s v="OFF-ST-10004337"/>
    <x v="0"/>
    <x v="3"/>
    <s v="SAFCO Commercial Wire Shelving, 72h"/>
    <n v="489.92"/>
    <n v="8"/>
    <n v="0"/>
    <n v="0"/>
  </r>
  <r>
    <n v="76"/>
    <s v="US-2023-155502"/>
    <x v="17"/>
    <x v="19"/>
    <s v="Standard Class"/>
    <s v="SD-20485"/>
    <x v="28"/>
    <x v="1"/>
    <x v="0"/>
    <s v="Alexandria"/>
    <x v="6"/>
    <n v="22304"/>
    <x v="2"/>
    <s v="TEC-PH-10002103"/>
    <x v="2"/>
    <x v="7"/>
    <s v="Jabra SPEAK 410"/>
    <n v="187.98"/>
    <n v="2"/>
    <n v="0"/>
    <n v="52.634399999999999"/>
  </r>
  <r>
    <n v="77"/>
    <s v="US-2023-155502"/>
    <x v="17"/>
    <x v="19"/>
    <s v="Standard Class"/>
    <s v="SD-20485"/>
    <x v="28"/>
    <x v="1"/>
    <x v="0"/>
    <s v="Alexandria"/>
    <x v="6"/>
    <n v="22304"/>
    <x v="2"/>
    <s v="TEC-PH-10004833"/>
    <x v="2"/>
    <x v="7"/>
    <s v="Macally Suction Cup Mount"/>
    <n v="155.35"/>
    <n v="13"/>
    <n v="0"/>
    <n v="0"/>
  </r>
  <r>
    <n v="78"/>
    <s v="US-2023-117163"/>
    <x v="18"/>
    <x v="20"/>
    <s v="Standard Class"/>
    <s v="EJ-13720"/>
    <x v="29"/>
    <x v="0"/>
    <x v="0"/>
    <s v="San Diego"/>
    <x v="5"/>
    <n v="92037"/>
    <x v="3"/>
    <s v="FUR-TA-10003469"/>
    <x v="1"/>
    <x v="13"/>
    <s v="Balt Split Level Computer Training Table"/>
    <n v="333"/>
    <n v="3"/>
    <n v="0.2"/>
    <n v="-16.649999999999991"/>
  </r>
  <r>
    <n v="79"/>
    <s v="US-2023-117163"/>
    <x v="18"/>
    <x v="20"/>
    <s v="Standard Class"/>
    <s v="EJ-13720"/>
    <x v="29"/>
    <x v="0"/>
    <x v="0"/>
    <s v="San Diego"/>
    <x v="5"/>
    <n v="92037"/>
    <x v="3"/>
    <s v="OFF-AR-10003179"/>
    <x v="0"/>
    <x v="4"/>
    <s v="Dixon Ticonderoga Core-Lock Colored Pencils"/>
    <n v="36.44"/>
    <n v="4"/>
    <n v="0"/>
    <n v="12.025199999999998"/>
  </r>
  <r>
    <n v="80"/>
    <s v="US-2023-117163"/>
    <x v="18"/>
    <x v="20"/>
    <s v="Standard Class"/>
    <s v="EJ-13720"/>
    <x v="29"/>
    <x v="0"/>
    <x v="0"/>
    <s v="San Diego"/>
    <x v="5"/>
    <n v="92037"/>
    <x v="3"/>
    <s v="OFF-ST-10003692"/>
    <x v="0"/>
    <x v="3"/>
    <s v="Recycled Steel Personal File for Hanging File Folders"/>
    <n v="57.23"/>
    <n v="1"/>
    <n v="0"/>
    <n v="14.307499999999997"/>
  </r>
  <r>
    <n v="81"/>
    <s v="US-2023-100328"/>
    <x v="19"/>
    <x v="21"/>
    <s v="Standard Class"/>
    <s v="JC-15340"/>
    <x v="30"/>
    <x v="0"/>
    <x v="0"/>
    <s v="New York City"/>
    <x v="21"/>
    <n v="10024"/>
    <x v="1"/>
    <s v="OFF-BI-10000343"/>
    <x v="0"/>
    <x v="1"/>
    <s v="Pressboard Covers with Storage Hooks, 9 1/2&quot; x 11&quot;, Light Blue"/>
    <n v="3.9280000000000004"/>
    <n v="1"/>
    <n v="0.2"/>
    <n v="1.3256999999999999"/>
  </r>
  <r>
    <n v="82"/>
    <s v="US-2023-134103"/>
    <x v="20"/>
    <x v="22"/>
    <s v="Standard Class"/>
    <s v="MV-18190"/>
    <x v="31"/>
    <x v="0"/>
    <x v="0"/>
    <s v="Detroit"/>
    <x v="14"/>
    <n v="48234"/>
    <x v="0"/>
    <s v="OFF-PA-10001204"/>
    <x v="0"/>
    <x v="0"/>
    <s v="Xerox 1972"/>
    <n v="10.56"/>
    <n v="2"/>
    <n v="0"/>
    <n v="4.7519999999999998"/>
  </r>
  <r>
    <n v="83"/>
    <s v="US-2023-134103"/>
    <x v="20"/>
    <x v="22"/>
    <s v="Standard Class"/>
    <s v="MV-18190"/>
    <x v="31"/>
    <x v="0"/>
    <x v="0"/>
    <s v="Detroit"/>
    <x v="14"/>
    <n v="48234"/>
    <x v="0"/>
    <s v="OFF-ST-10000991"/>
    <x v="0"/>
    <x v="3"/>
    <s v="Space Solutions HD Industrial Steel Shelving."/>
    <n v="229.94"/>
    <n v="2"/>
    <n v="0"/>
    <n v="6.8982000000000028"/>
  </r>
  <r>
    <n v="84"/>
    <s v="US-2023-115161"/>
    <x v="21"/>
    <x v="20"/>
    <s v="First Class"/>
    <s v="LC-17050"/>
    <x v="32"/>
    <x v="0"/>
    <x v="0"/>
    <s v="Mission Viejo"/>
    <x v="5"/>
    <n v="92691"/>
    <x v="3"/>
    <s v="FUR-BO-10003966"/>
    <x v="1"/>
    <x v="10"/>
    <s v="Sauder Facets Collection Library, Sky Alder Finish"/>
    <n v="290.666"/>
    <n v="2"/>
    <n v="0.15"/>
    <n v="3.4195999999999884"/>
  </r>
  <r>
    <n v="85"/>
    <s v="US-2023-140795"/>
    <x v="22"/>
    <x v="21"/>
    <s v="First Class"/>
    <s v="BD-11500"/>
    <x v="33"/>
    <x v="0"/>
    <x v="0"/>
    <s v="Green Bay"/>
    <x v="22"/>
    <n v="54302"/>
    <x v="0"/>
    <s v="TEC-AC-10001432"/>
    <x v="2"/>
    <x v="9"/>
    <s v="Enermax Aurora Lite Keyboard"/>
    <n v="468.90000000000003"/>
    <n v="6"/>
    <n v="0"/>
    <n v="206.31600000000006"/>
  </r>
  <r>
    <n v="86"/>
    <s v="US-2023-123400"/>
    <x v="23"/>
    <x v="23"/>
    <s v="Standard Class"/>
    <s v="EB-13930"/>
    <x v="34"/>
    <x v="0"/>
    <x v="0"/>
    <s v="Saint Petersburg"/>
    <x v="16"/>
    <n v="33710"/>
    <x v="2"/>
    <s v="OFF-BI-10000666"/>
    <x v="0"/>
    <x v="1"/>
    <s v="Surelock Post Binders"/>
    <n v="18.336000000000002"/>
    <n v="2"/>
    <n v="0.7"/>
    <n v="-12.224"/>
  </r>
  <r>
    <n v="87"/>
    <s v="US-2023-139857"/>
    <x v="23"/>
    <x v="24"/>
    <s v="Standard Class"/>
    <s v="CD-12790"/>
    <x v="35"/>
    <x v="1"/>
    <x v="0"/>
    <s v="San Diego"/>
    <x v="5"/>
    <n v="92037"/>
    <x v="3"/>
    <s v="OFF-FA-10001843"/>
    <x v="0"/>
    <x v="6"/>
    <s v="Staples"/>
    <n v="12.350000000000001"/>
    <n v="5"/>
    <n v="0"/>
    <n v="5.8045"/>
  </r>
  <r>
    <n v="88"/>
    <s v="US-2023-123400"/>
    <x v="23"/>
    <x v="23"/>
    <s v="Standard Class"/>
    <s v="EB-13930"/>
    <x v="34"/>
    <x v="0"/>
    <x v="0"/>
    <s v="Saint Petersburg"/>
    <x v="16"/>
    <n v="33710"/>
    <x v="2"/>
    <s v="TEC-PH-10002890"/>
    <x v="2"/>
    <x v="7"/>
    <s v="AT&amp;T 17929 Lendline Telephone"/>
    <n v="180.96"/>
    <n v="5"/>
    <n v="0.2"/>
    <n v="13.571999999999996"/>
  </r>
  <r>
    <n v="89"/>
    <s v="US-2023-111059"/>
    <x v="24"/>
    <x v="24"/>
    <s v="Second Class"/>
    <s v="TB-21400"/>
    <x v="23"/>
    <x v="0"/>
    <x v="0"/>
    <s v="Seattle"/>
    <x v="23"/>
    <n v="98105"/>
    <x v="3"/>
    <s v="OFF-BI-10002827"/>
    <x v="0"/>
    <x v="1"/>
    <s v="Avery Durable Poly Binders"/>
    <n v="13.272000000000002"/>
    <n v="3"/>
    <n v="0.2"/>
    <n v="4.3133999999999997"/>
  </r>
  <r>
    <n v="90"/>
    <s v="US-2023-111059"/>
    <x v="24"/>
    <x v="24"/>
    <s v="Second Class"/>
    <s v="TB-21400"/>
    <x v="23"/>
    <x v="0"/>
    <x v="0"/>
    <s v="Seattle"/>
    <x v="23"/>
    <n v="98105"/>
    <x v="3"/>
    <s v="OFF-BI-10004593"/>
    <x v="0"/>
    <x v="1"/>
    <s v="Ibico Laser Imprintable Binding System Covers"/>
    <n v="83.84"/>
    <n v="2"/>
    <n v="0.2"/>
    <n v="27.247999999999998"/>
  </r>
  <r>
    <n v="91"/>
    <s v="US-2023-104808"/>
    <x v="25"/>
    <x v="25"/>
    <s v="Second Class"/>
    <s v="MH-17440"/>
    <x v="36"/>
    <x v="2"/>
    <x v="0"/>
    <s v="Escondido"/>
    <x v="5"/>
    <n v="92025"/>
    <x v="3"/>
    <s v="OFF-BI-10003676"/>
    <x v="0"/>
    <x v="1"/>
    <s v="GBC Standard Recycled Report Covers, Clear Plastic Sheets"/>
    <n v="17.248000000000001"/>
    <n v="2"/>
    <n v="0.2"/>
    <n v="6.0367999999999986"/>
  </r>
  <r>
    <n v="92"/>
    <s v="US-2023-107181"/>
    <x v="25"/>
    <x v="25"/>
    <s v="Standard Class"/>
    <s v="DB-13270"/>
    <x v="37"/>
    <x v="1"/>
    <x v="0"/>
    <s v="San Diego"/>
    <x v="5"/>
    <n v="92024"/>
    <x v="3"/>
    <s v="OFF-BI-10004230"/>
    <x v="0"/>
    <x v="1"/>
    <s v="GBC Recycled Grain Textured Covers"/>
    <n v="82.896000000000001"/>
    <n v="3"/>
    <n v="0.2"/>
    <n v="29.0136"/>
  </r>
  <r>
    <n v="93"/>
    <s v="US-2023-107181"/>
    <x v="25"/>
    <x v="25"/>
    <s v="Standard Class"/>
    <s v="DB-13270"/>
    <x v="37"/>
    <x v="1"/>
    <x v="0"/>
    <s v="San Diego"/>
    <x v="5"/>
    <n v="92024"/>
    <x v="3"/>
    <s v="OFF-PA-10000350"/>
    <x v="0"/>
    <x v="0"/>
    <s v="Message Book, Standard Line &quot;While You Were Out&quot;, 5 1/2&quot; X 4&quot;, 200 Sets/Book"/>
    <n v="34.24"/>
    <n v="4"/>
    <n v="0"/>
    <n v="16.0928"/>
  </r>
  <r>
    <n v="94"/>
    <s v="US-2023-108182"/>
    <x v="26"/>
    <x v="26"/>
    <s v="Second Class"/>
    <s v="DL-13315"/>
    <x v="16"/>
    <x v="0"/>
    <x v="0"/>
    <s v="Romeoville"/>
    <x v="1"/>
    <n v="60441"/>
    <x v="0"/>
    <s v="OFF-BI-10001196"/>
    <x v="0"/>
    <x v="1"/>
    <s v="Avery Flip-Chart Easel Binder, Black"/>
    <n v="8.9519999999999982"/>
    <n v="2"/>
    <n v="0.8"/>
    <n v="-14.770800000000001"/>
  </r>
  <r>
    <n v="95"/>
    <s v="US-2023-131905"/>
    <x v="26"/>
    <x v="23"/>
    <s v="First Class"/>
    <s v="ND-18460"/>
    <x v="38"/>
    <x v="2"/>
    <x v="0"/>
    <s v="Chesapeake"/>
    <x v="6"/>
    <n v="23320"/>
    <x v="2"/>
    <s v="OFF-LA-10002787"/>
    <x v="0"/>
    <x v="2"/>
    <s v="Avery 480"/>
    <n v="15"/>
    <n v="4"/>
    <n v="0"/>
    <n v="7.1999999999999993"/>
  </r>
  <r>
    <n v="96"/>
    <s v="US-2023-131905"/>
    <x v="26"/>
    <x v="23"/>
    <s v="First Class"/>
    <s v="ND-18460"/>
    <x v="38"/>
    <x v="2"/>
    <x v="0"/>
    <s v="Chesapeake"/>
    <x v="6"/>
    <n v="23320"/>
    <x v="2"/>
    <s v="TEC-PH-10001615"/>
    <x v="2"/>
    <x v="7"/>
    <s v="AT&amp;T CL82213"/>
    <n v="144.94999999999999"/>
    <n v="5"/>
    <n v="0"/>
    <n v="42.035499999999985"/>
  </r>
  <r>
    <n v="97"/>
    <s v="US-2023-131905"/>
    <x v="26"/>
    <x v="23"/>
    <s v="First Class"/>
    <s v="ND-18460"/>
    <x v="38"/>
    <x v="2"/>
    <x v="0"/>
    <s v="Chesapeake"/>
    <x v="6"/>
    <n v="23320"/>
    <x v="2"/>
    <s v="TEC-PH-10003645"/>
    <x v="2"/>
    <x v="7"/>
    <s v="Aastra 57i VoIP phone"/>
    <n v="161.61000000000001"/>
    <n v="1"/>
    <n v="0"/>
    <n v="42.018600000000006"/>
  </r>
  <r>
    <n v="98"/>
    <s v="US-2023-169390"/>
    <x v="27"/>
    <x v="26"/>
    <s v="Second Class"/>
    <s v="CS-12250"/>
    <x v="13"/>
    <x v="2"/>
    <x v="0"/>
    <s v="New York City"/>
    <x v="21"/>
    <n v="10024"/>
    <x v="1"/>
    <s v="OFF-ST-10001558"/>
    <x v="0"/>
    <x v="3"/>
    <s v="Acco Perma 4000 Stacking Storage Drawers"/>
    <n v="64.959999999999994"/>
    <n v="4"/>
    <n v="0"/>
    <n v="9.7439999999999998"/>
  </r>
  <r>
    <n v="99"/>
    <s v="US-2023-107755"/>
    <x v="27"/>
    <x v="27"/>
    <s v="Standard Class"/>
    <s v="CK-12760"/>
    <x v="39"/>
    <x v="2"/>
    <x v="0"/>
    <s v="Linden"/>
    <x v="24"/>
    <n v="7036"/>
    <x v="1"/>
    <s v="TEC-AC-10000710"/>
    <x v="2"/>
    <x v="9"/>
    <s v="Maxell DVD-RAM Discs"/>
    <n v="115.36"/>
    <n v="7"/>
    <n v="0"/>
    <n v="49.604800000000012"/>
  </r>
  <r>
    <n v="100"/>
    <s v="US-2023-125759"/>
    <x v="28"/>
    <x v="23"/>
    <s v="First Class"/>
    <s v="NM-18445"/>
    <x v="40"/>
    <x v="1"/>
    <x v="0"/>
    <s v="North Las Vegas"/>
    <x v="19"/>
    <n v="89031"/>
    <x v="3"/>
    <s v="FUR-FU-10002111"/>
    <x v="1"/>
    <x v="8"/>
    <s v="Master Caster Door Stop, Large Brown"/>
    <n v="14.56"/>
    <n v="2"/>
    <n v="0"/>
    <n v="5.5327999999999999"/>
  </r>
  <r>
    <n v="101"/>
    <s v="US-2023-168368"/>
    <x v="29"/>
    <x v="28"/>
    <s v="Second Class"/>
    <s v="GA-14725"/>
    <x v="41"/>
    <x v="0"/>
    <x v="0"/>
    <s v="Columbia"/>
    <x v="25"/>
    <n v="65203"/>
    <x v="0"/>
    <s v="FUR-CH-10001146"/>
    <x v="1"/>
    <x v="5"/>
    <s v="Global Value Mid-Back Manager's Chair, Gray"/>
    <n v="60.89"/>
    <n v="1"/>
    <n v="0"/>
    <n v="15.222499999999997"/>
  </r>
  <r>
    <n v="102"/>
    <s v="US-2023-168368"/>
    <x v="29"/>
    <x v="28"/>
    <s v="Second Class"/>
    <s v="GA-14725"/>
    <x v="41"/>
    <x v="0"/>
    <x v="0"/>
    <s v="Columbia"/>
    <x v="25"/>
    <n v="65203"/>
    <x v="0"/>
    <s v="FUR-FU-10002298"/>
    <x v="1"/>
    <x v="8"/>
    <s v="Rubbermaid ClusterMat Chairmats, Mat Size- 66&quot; x 60&quot;, Lip 20&quot; x 11&quot; -90 Degree Angle"/>
    <n v="332.94"/>
    <n v="3"/>
    <n v="0"/>
    <n v="53.270399999999995"/>
  </r>
  <r>
    <n v="103"/>
    <s v="US-2023-127614"/>
    <x v="29"/>
    <x v="28"/>
    <s v="Standard Class"/>
    <s v="NF-18385"/>
    <x v="42"/>
    <x v="0"/>
    <x v="0"/>
    <s v="Chesapeake"/>
    <x v="6"/>
    <n v="23320"/>
    <x v="2"/>
    <s v="FUR-TA-10003715"/>
    <x v="1"/>
    <x v="13"/>
    <s v="Hon 2111 Invitation Series Corner Table"/>
    <n v="1256.22"/>
    <n v="6"/>
    <n v="0"/>
    <n v="75.37319999999994"/>
  </r>
  <r>
    <n v="104"/>
    <s v="US-2023-127614"/>
    <x v="29"/>
    <x v="28"/>
    <s v="Standard Class"/>
    <s v="NF-18385"/>
    <x v="42"/>
    <x v="0"/>
    <x v="0"/>
    <s v="Chesapeake"/>
    <x v="6"/>
    <n v="23320"/>
    <x v="2"/>
    <s v="OFF-BI-10003291"/>
    <x v="0"/>
    <x v="1"/>
    <s v="Wilson Jones Leather-Like Binders with DublLock Round Rings"/>
    <n v="17.46"/>
    <n v="2"/>
    <n v="0"/>
    <n v="8.2061999999999991"/>
  </r>
  <r>
    <n v="105"/>
    <s v="US-2023-168368"/>
    <x v="29"/>
    <x v="28"/>
    <s v="Second Class"/>
    <s v="GA-14725"/>
    <x v="41"/>
    <x v="0"/>
    <x v="0"/>
    <s v="Columbia"/>
    <x v="25"/>
    <n v="65203"/>
    <x v="0"/>
    <s v="OFF-BI-10004654"/>
    <x v="0"/>
    <x v="1"/>
    <s v="VariCap6 Expandable Binder"/>
    <n v="51.900000000000006"/>
    <n v="3"/>
    <n v="0"/>
    <n v="24.393000000000001"/>
  </r>
  <r>
    <n v="106"/>
    <s v="US-2023-168368"/>
    <x v="29"/>
    <x v="28"/>
    <s v="Second Class"/>
    <s v="GA-14725"/>
    <x v="41"/>
    <x v="0"/>
    <x v="0"/>
    <s v="Columbia"/>
    <x v="25"/>
    <n v="65203"/>
    <x v="0"/>
    <s v="OFF-BI-10004728"/>
    <x v="0"/>
    <x v="1"/>
    <s v="Wilson Jones Turn Tabs Binder Tool for Ring Binders"/>
    <n v="9.64"/>
    <n v="2"/>
    <n v="0"/>
    <n v="4.4344000000000001"/>
  </r>
  <r>
    <n v="107"/>
    <s v="US-2023-168368"/>
    <x v="29"/>
    <x v="28"/>
    <s v="Second Class"/>
    <s v="GA-14725"/>
    <x v="41"/>
    <x v="0"/>
    <x v="0"/>
    <s v="Columbia"/>
    <x v="25"/>
    <n v="65203"/>
    <x v="0"/>
    <s v="OFF-LA-10004853"/>
    <x v="0"/>
    <x v="2"/>
    <s v="Avery 483"/>
    <n v="14.940000000000001"/>
    <n v="3"/>
    <n v="0"/>
    <n v="6.8723999999999998"/>
  </r>
  <r>
    <n v="108"/>
    <s v="US-2023-168368"/>
    <x v="29"/>
    <x v="28"/>
    <s v="Second Class"/>
    <s v="GA-14725"/>
    <x v="41"/>
    <x v="0"/>
    <x v="0"/>
    <s v="Columbia"/>
    <x v="25"/>
    <n v="65203"/>
    <x v="0"/>
    <s v="OFF-ST-10002583"/>
    <x v="0"/>
    <x v="3"/>
    <s v="Fellowes Neat Ideas Storage Cubes"/>
    <n v="64.959999999999994"/>
    <n v="2"/>
    <n v="0"/>
    <n v="2.598399999999998"/>
  </r>
  <r>
    <n v="109"/>
    <s v="US-2023-127614"/>
    <x v="29"/>
    <x v="28"/>
    <s v="Standard Class"/>
    <s v="NF-18385"/>
    <x v="42"/>
    <x v="0"/>
    <x v="0"/>
    <s v="Chesapeake"/>
    <x v="6"/>
    <n v="23320"/>
    <x v="2"/>
    <s v="TEC-AC-10001432"/>
    <x v="2"/>
    <x v="9"/>
    <s v="Enermax Aurora Lite Keyboard"/>
    <n v="234.45000000000002"/>
    <n v="3"/>
    <n v="0"/>
    <n v="103.15800000000003"/>
  </r>
  <r>
    <n v="110"/>
    <s v="US-2023-110674"/>
    <x v="30"/>
    <x v="29"/>
    <s v="Standard Class"/>
    <s v="SC-20095"/>
    <x v="43"/>
    <x v="0"/>
    <x v="0"/>
    <s v="Concord"/>
    <x v="5"/>
    <n v="94521"/>
    <x v="3"/>
    <s v="FUR-CH-10000225"/>
    <x v="1"/>
    <x v="5"/>
    <s v="Global Geo Office Task Chair, Gray"/>
    <n v="129.56800000000001"/>
    <n v="2"/>
    <n v="0.2"/>
    <n v="-24.294000000000018"/>
  </r>
  <r>
    <n v="111"/>
    <s v="US-2023-121762"/>
    <x v="31"/>
    <x v="29"/>
    <s v="Standard Class"/>
    <s v="ML-17395"/>
    <x v="44"/>
    <x v="2"/>
    <x v="0"/>
    <s v="Seattle"/>
    <x v="23"/>
    <n v="98103"/>
    <x v="3"/>
    <s v="OFF-AP-10001293"/>
    <x v="0"/>
    <x v="12"/>
    <s v="Belkin 8 Outlet Surge Protector"/>
    <n v="81.96"/>
    <n v="2"/>
    <n v="0"/>
    <n v="22.948799999999999"/>
  </r>
  <r>
    <n v="112"/>
    <s v="US-2023-107706"/>
    <x v="31"/>
    <x v="30"/>
    <s v="Second Class"/>
    <s v="ST-20530"/>
    <x v="45"/>
    <x v="0"/>
    <x v="0"/>
    <s v="Houston"/>
    <x v="0"/>
    <n v="77095"/>
    <x v="0"/>
    <s v="OFF-PA-10000466"/>
    <x v="0"/>
    <x v="0"/>
    <s v="Memo Book, 100 Message Capacity, 5 3/8” x 11”"/>
    <n v="16.176000000000002"/>
    <n v="3"/>
    <n v="0.2"/>
    <n v="6.0659999999999989"/>
  </r>
  <r>
    <n v="113"/>
    <s v="US-2023-121762"/>
    <x v="31"/>
    <x v="29"/>
    <s v="Standard Class"/>
    <s v="ML-17395"/>
    <x v="44"/>
    <x v="2"/>
    <x v="0"/>
    <s v="Seattle"/>
    <x v="23"/>
    <n v="98103"/>
    <x v="3"/>
    <s v="OFF-SU-10000157"/>
    <x v="0"/>
    <x v="14"/>
    <s v="Compact Automatic Electric Letter Opener"/>
    <n v="238.62"/>
    <n v="2"/>
    <n v="0"/>
    <n v="4.7724000000000046"/>
  </r>
  <r>
    <n v="114"/>
    <s v="US-2023-121762"/>
    <x v="31"/>
    <x v="29"/>
    <s v="Standard Class"/>
    <s v="ML-17395"/>
    <x v="44"/>
    <x v="2"/>
    <x v="0"/>
    <s v="Seattle"/>
    <x v="23"/>
    <n v="98103"/>
    <x v="3"/>
    <s v="TEC-AC-10000736"/>
    <x v="2"/>
    <x v="9"/>
    <s v="Logitech G600 MMO Gaming Mouse"/>
    <n v="239.96999999999997"/>
    <n v="3"/>
    <n v="0"/>
    <n v="86.389199999999988"/>
  </r>
  <r>
    <n v="115"/>
    <s v="US-2023-165568"/>
    <x v="32"/>
    <x v="30"/>
    <s v="Standard Class"/>
    <s v="BF-11020"/>
    <x v="46"/>
    <x v="2"/>
    <x v="0"/>
    <s v="Seattle"/>
    <x v="23"/>
    <n v="98105"/>
    <x v="3"/>
    <s v="OFF-BI-10001031"/>
    <x v="0"/>
    <x v="1"/>
    <s v="Pressboard Data Binders by Wilson Jones"/>
    <n v="21.36"/>
    <n v="5"/>
    <n v="0.2"/>
    <n v="7.2089999999999996"/>
  </r>
  <r>
    <n v="116"/>
    <s v="US-2023-122567"/>
    <x v="33"/>
    <x v="31"/>
    <s v="Standard Class"/>
    <s v="MN-17935"/>
    <x v="47"/>
    <x v="0"/>
    <x v="0"/>
    <s v="Dallas"/>
    <x v="0"/>
    <n v="75220"/>
    <x v="0"/>
    <s v="OFF-AP-10001303"/>
    <x v="0"/>
    <x v="12"/>
    <s v="Holmes Cool Mist Humidifier for the Whole House with 8-Gallon Output per Day, Extended Life Filter"/>
    <n v="7.9599999999999973"/>
    <n v="2"/>
    <n v="0.8"/>
    <n v="-13.930000000000003"/>
  </r>
  <r>
    <n v="117"/>
    <s v="US-2023-122567"/>
    <x v="33"/>
    <x v="31"/>
    <s v="Standard Class"/>
    <s v="MN-17935"/>
    <x v="47"/>
    <x v="0"/>
    <x v="0"/>
    <s v="Dallas"/>
    <x v="0"/>
    <n v="75220"/>
    <x v="0"/>
    <s v="OFF-BI-10002012"/>
    <x v="0"/>
    <x v="1"/>
    <s v="Wilson Jones Easy Flow II Sheet Lifters"/>
    <n v="1.0799999999999998"/>
    <n v="3"/>
    <n v="0.8"/>
    <n v="-1.7280000000000002"/>
  </r>
  <r>
    <n v="118"/>
    <s v="US-2023-154165"/>
    <x v="34"/>
    <x v="32"/>
    <s v="Standard Class"/>
    <s v="DL-13315"/>
    <x v="16"/>
    <x v="0"/>
    <x v="0"/>
    <s v="Chicago"/>
    <x v="1"/>
    <n v="60653"/>
    <x v="0"/>
    <s v="OFF-AR-10003631"/>
    <x v="0"/>
    <x v="4"/>
    <s v="Staples in misc. colors"/>
    <n v="54.207999999999998"/>
    <n v="14"/>
    <n v="0.2"/>
    <n v="8.808799999999998"/>
  </r>
  <r>
    <n v="119"/>
    <s v="US-2023-165589"/>
    <x v="35"/>
    <x v="29"/>
    <s v="Same Day"/>
    <s v="TB-21595"/>
    <x v="48"/>
    <x v="0"/>
    <x v="0"/>
    <s v="Lubbock"/>
    <x v="0"/>
    <n v="79424"/>
    <x v="0"/>
    <s v="FUR-FU-10002396"/>
    <x v="1"/>
    <x v="8"/>
    <s v="DAX Copper Panel Document Frame, 5 x 7 Size"/>
    <n v="25.16"/>
    <n v="5"/>
    <n v="0.6"/>
    <n v="-11.321999999999999"/>
  </r>
  <r>
    <n v="120"/>
    <s v="US-2023-152905"/>
    <x v="35"/>
    <x v="32"/>
    <s v="Standard Class"/>
    <s v="AB-10015"/>
    <x v="49"/>
    <x v="0"/>
    <x v="0"/>
    <s v="Arlington"/>
    <x v="0"/>
    <n v="76017"/>
    <x v="0"/>
    <s v="OFF-ST-10000321"/>
    <x v="0"/>
    <x v="3"/>
    <s v="Akro Stacking Bins"/>
    <n v="12.624000000000001"/>
    <n v="2"/>
    <n v="0.2"/>
    <n v="-2.5248000000000022"/>
  </r>
  <r>
    <n v="121"/>
    <s v="US-2023-109491"/>
    <x v="36"/>
    <x v="33"/>
    <s v="Standard Class"/>
    <s v="LC-16930"/>
    <x v="50"/>
    <x v="2"/>
    <x v="0"/>
    <s v="Richmond"/>
    <x v="18"/>
    <n v="47374"/>
    <x v="0"/>
    <s v="FUR-FU-10000221"/>
    <x v="1"/>
    <x v="8"/>
    <s v="Master Caster Door Stop, Brown"/>
    <n v="20.32"/>
    <n v="4"/>
    <n v="0"/>
    <n v="6.9087999999999994"/>
  </r>
  <r>
    <n v="122"/>
    <s v="US-2023-164903"/>
    <x v="36"/>
    <x v="32"/>
    <s v="Standard Class"/>
    <s v="SR-20740"/>
    <x v="51"/>
    <x v="1"/>
    <x v="0"/>
    <s v="Los Angeles"/>
    <x v="5"/>
    <n v="90049"/>
    <x v="3"/>
    <s v="OFF-PA-10003363"/>
    <x v="0"/>
    <x v="0"/>
    <s v="Xerox 204"/>
    <n v="12.96"/>
    <n v="2"/>
    <n v="0"/>
    <n v="6.2208000000000006"/>
  </r>
  <r>
    <n v="123"/>
    <s v="US-2023-109491"/>
    <x v="36"/>
    <x v="33"/>
    <s v="Standard Class"/>
    <s v="LC-16930"/>
    <x v="50"/>
    <x v="2"/>
    <x v="0"/>
    <s v="Richmond"/>
    <x v="18"/>
    <n v="47374"/>
    <x v="0"/>
    <s v="TEC-AC-10001284"/>
    <x v="2"/>
    <x v="9"/>
    <s v="Enermax Briskie RF Wireless Keyboard and Mouse Combo"/>
    <n v="62.31"/>
    <n v="3"/>
    <n v="0"/>
    <n v="22.4316"/>
  </r>
  <r>
    <n v="124"/>
    <s v="US-2023-165540"/>
    <x v="37"/>
    <x v="34"/>
    <s v="Standard Class"/>
    <s v="TM-21010"/>
    <x v="52"/>
    <x v="0"/>
    <x v="0"/>
    <s v="Woodstock"/>
    <x v="1"/>
    <n v="60098"/>
    <x v="0"/>
    <s v="OFF-BI-10004094"/>
    <x v="0"/>
    <x v="1"/>
    <s v="GBC Standard Plastic Binding Systems Combs"/>
    <n v="8.8499999999999979"/>
    <n v="5"/>
    <n v="0.8"/>
    <n v="-13.717499999999998"/>
  </r>
  <r>
    <n v="125"/>
    <s v="US-2023-133354"/>
    <x v="38"/>
    <x v="32"/>
    <s v="First Class"/>
    <s v="SA-20830"/>
    <x v="53"/>
    <x v="0"/>
    <x v="0"/>
    <s v="Moreno Valley"/>
    <x v="5"/>
    <n v="92553"/>
    <x v="3"/>
    <s v="OFF-PA-10001800"/>
    <x v="0"/>
    <x v="0"/>
    <s v="Xerox 220"/>
    <n v="19.440000000000001"/>
    <n v="3"/>
    <n v="0"/>
    <n v="9.3312000000000008"/>
  </r>
  <r>
    <n v="126"/>
    <s v="US-2023-103744"/>
    <x v="39"/>
    <x v="35"/>
    <s v="Standard Class"/>
    <s v="MG-17875"/>
    <x v="54"/>
    <x v="1"/>
    <x v="0"/>
    <s v="El Paso"/>
    <x v="0"/>
    <n v="79907"/>
    <x v="0"/>
    <s v="OFF-BI-10000320"/>
    <x v="0"/>
    <x v="1"/>
    <s v="GBC Plastic Binding Combs"/>
    <n v="4.427999999999999"/>
    <n v="3"/>
    <n v="0.8"/>
    <n v="-6.8633999999999986"/>
  </r>
  <r>
    <n v="127"/>
    <s v="US-2023-103744"/>
    <x v="39"/>
    <x v="35"/>
    <s v="Standard Class"/>
    <s v="MG-17875"/>
    <x v="54"/>
    <x v="1"/>
    <x v="0"/>
    <s v="El Paso"/>
    <x v="0"/>
    <n v="79907"/>
    <x v="0"/>
    <s v="OFF-LA-10004425"/>
    <x v="0"/>
    <x v="2"/>
    <s v="Staple-on labels"/>
    <n v="6.9360000000000008"/>
    <n v="3"/>
    <n v="0.2"/>
    <n v="2.3409000000000004"/>
  </r>
  <r>
    <n v="128"/>
    <s v="US-2023-137680"/>
    <x v="40"/>
    <x v="36"/>
    <s v="Standard Class"/>
    <s v="JH-15430"/>
    <x v="55"/>
    <x v="0"/>
    <x v="0"/>
    <s v="Medford"/>
    <x v="11"/>
    <n v="97504"/>
    <x v="3"/>
    <s v="OFF-PA-10000069"/>
    <x v="0"/>
    <x v="0"/>
    <s v="TOPS 4 x 6 Fluorescent Color Memo Sheets, 500 Sheets per Pack"/>
    <n v="22.776000000000003"/>
    <n v="3"/>
    <n v="0.2"/>
    <n v="7.6868999999999996"/>
  </r>
  <r>
    <n v="129"/>
    <s v="US-2023-137680"/>
    <x v="40"/>
    <x v="36"/>
    <s v="Standard Class"/>
    <s v="JH-15430"/>
    <x v="55"/>
    <x v="0"/>
    <x v="0"/>
    <s v="Medford"/>
    <x v="11"/>
    <n v="97504"/>
    <x v="3"/>
    <s v="OFF-PA-10000174"/>
    <x v="0"/>
    <x v="0"/>
    <s v="Message Book, Wirebound, Four 5 1/2&quot; X 4&quot; Forms/Pg., 200 Dupl. Sets/Book"/>
    <n v="32.896000000000001"/>
    <n v="4"/>
    <n v="0.2"/>
    <n v="11.102399999999996"/>
  </r>
  <r>
    <n v="130"/>
    <s v="US-2023-156545"/>
    <x v="41"/>
    <x v="37"/>
    <s v="First Class"/>
    <s v="JS-16030"/>
    <x v="56"/>
    <x v="0"/>
    <x v="0"/>
    <s v="Columbus"/>
    <x v="9"/>
    <n v="43229"/>
    <x v="1"/>
    <s v="OFF-AR-10003560"/>
    <x v="0"/>
    <x v="4"/>
    <s v="Zebra Zazzle Fluorescent Highlighters"/>
    <n v="19.456000000000003"/>
    <n v="4"/>
    <n v="0.2"/>
    <n v="3.4047999999999981"/>
  </r>
  <r>
    <n v="131"/>
    <s v="US-2023-113880"/>
    <x v="42"/>
    <x v="38"/>
    <s v="Standard Class"/>
    <s v="VF-21715"/>
    <x v="57"/>
    <x v="1"/>
    <x v="0"/>
    <s v="Elmhurst"/>
    <x v="1"/>
    <n v="60126"/>
    <x v="0"/>
    <s v="FUR-CH-10000863"/>
    <x v="1"/>
    <x v="5"/>
    <s v="Novimex Swivel Fabric Task Chair"/>
    <n v="634.11599999999999"/>
    <n v="6"/>
    <n v="0.3"/>
    <n v="-172.11720000000003"/>
  </r>
  <r>
    <n v="132"/>
    <s v="US-2023-131009"/>
    <x v="42"/>
    <x v="38"/>
    <s v="Standard Class"/>
    <s v="SC-20380"/>
    <x v="58"/>
    <x v="0"/>
    <x v="0"/>
    <s v="El Paso"/>
    <x v="0"/>
    <n v="79907"/>
    <x v="0"/>
    <s v="FUR-CH-10001270"/>
    <x v="1"/>
    <x v="5"/>
    <s v="Harbour Creations Steel Folding Chair"/>
    <n v="362.24999999999994"/>
    <n v="6"/>
    <n v="0.3"/>
    <n v="0"/>
  </r>
  <r>
    <n v="133"/>
    <s v="US-2023-104269"/>
    <x v="42"/>
    <x v="39"/>
    <s v="Second Class"/>
    <s v="DB-13060"/>
    <x v="59"/>
    <x v="0"/>
    <x v="0"/>
    <s v="Seattle"/>
    <x v="23"/>
    <n v="98115"/>
    <x v="3"/>
    <s v="FUR-CH-10004063"/>
    <x v="1"/>
    <x v="5"/>
    <s v="Global Deluxe High-Back Manager's Chair"/>
    <n v="457.56800000000004"/>
    <n v="2"/>
    <n v="0.2"/>
    <n v="51.476399999999941"/>
  </r>
  <r>
    <n v="134"/>
    <s v="US-2023-131009"/>
    <x v="42"/>
    <x v="38"/>
    <s v="Standard Class"/>
    <s v="SC-20380"/>
    <x v="58"/>
    <x v="0"/>
    <x v="0"/>
    <s v="El Paso"/>
    <x v="0"/>
    <n v="79907"/>
    <x v="0"/>
    <s v="FUR-FU-10001095"/>
    <x v="1"/>
    <x v="8"/>
    <s v="DAX Black Cherry Wood-Tone Poster Frame"/>
    <n v="63.552000000000007"/>
    <n v="6"/>
    <n v="0.6"/>
    <n v="-34.953600000000002"/>
  </r>
  <r>
    <n v="135"/>
    <s v="US-2023-168312"/>
    <x v="42"/>
    <x v="40"/>
    <s v="Standard Class"/>
    <s v="GW-14605"/>
    <x v="60"/>
    <x v="0"/>
    <x v="0"/>
    <s v="Houston"/>
    <x v="0"/>
    <n v="77036"/>
    <x v="0"/>
    <s v="FUR-TA-10001866"/>
    <x v="1"/>
    <x v="13"/>
    <s v="Bevis Round Conference Room Tables and Bases"/>
    <n v="376.50899999999996"/>
    <n v="3"/>
    <n v="0.3"/>
    <n v="-43.029600000000045"/>
  </r>
  <r>
    <n v="136"/>
    <s v="US-2023-131009"/>
    <x v="42"/>
    <x v="38"/>
    <s v="Standard Class"/>
    <s v="SC-20380"/>
    <x v="58"/>
    <x v="0"/>
    <x v="0"/>
    <s v="El Paso"/>
    <x v="0"/>
    <n v="79907"/>
    <x v="0"/>
    <s v="OFF-FA-10004395"/>
    <x v="0"/>
    <x v="6"/>
    <s v="Plymouth Boxed Rubber Bands by Plymouth"/>
    <n v="18.84"/>
    <n v="5"/>
    <n v="0.2"/>
    <n v="-3.5324999999999998"/>
  </r>
  <r>
    <n v="137"/>
    <s v="US-2023-113880"/>
    <x v="42"/>
    <x v="38"/>
    <s v="Standard Class"/>
    <s v="VF-21715"/>
    <x v="57"/>
    <x v="1"/>
    <x v="0"/>
    <s v="Elmhurst"/>
    <x v="1"/>
    <n v="60126"/>
    <x v="0"/>
    <s v="OFF-PA-10003036"/>
    <x v="0"/>
    <x v="0"/>
    <s v="Black Print Carbonless 8 1/2&quot; x 8 1/4&quot; Rapid Memo Book"/>
    <n v="17.472000000000001"/>
    <n v="3"/>
    <n v="0.2"/>
    <n v="5.6783999999999981"/>
  </r>
  <r>
    <n v="138"/>
    <s v="US-2023-131009"/>
    <x v="42"/>
    <x v="38"/>
    <s v="Standard Class"/>
    <s v="SC-20380"/>
    <x v="58"/>
    <x v="0"/>
    <x v="0"/>
    <s v="El Paso"/>
    <x v="0"/>
    <n v="79907"/>
    <x v="0"/>
    <s v="OFF-ST-10001469"/>
    <x v="0"/>
    <x v="3"/>
    <s v="Fellowes Bankers Box Recycled Super Stor/Drawer"/>
    <n v="129.55199999999999"/>
    <n v="3"/>
    <n v="0.2"/>
    <n v="-22.671600000000005"/>
  </r>
  <r>
    <n v="139"/>
    <s v="US-2023-168312"/>
    <x v="42"/>
    <x v="40"/>
    <s v="Standard Class"/>
    <s v="GW-14605"/>
    <x v="60"/>
    <x v="0"/>
    <x v="0"/>
    <s v="Houston"/>
    <x v="0"/>
    <n v="77036"/>
    <x v="0"/>
    <s v="OFF-ST-10003692"/>
    <x v="0"/>
    <x v="3"/>
    <s v="Recycled Steel Personal File for Hanging File Folders"/>
    <n v="137.352"/>
    <n v="3"/>
    <n v="0.2"/>
    <n v="8.5844999999999914"/>
  </r>
  <r>
    <n v="140"/>
    <s v="US-2023-143707"/>
    <x v="42"/>
    <x v="38"/>
    <s v="Standard Class"/>
    <s v="HR-14770"/>
    <x v="61"/>
    <x v="1"/>
    <x v="0"/>
    <s v="New York City"/>
    <x v="21"/>
    <n v="10035"/>
    <x v="1"/>
    <s v="TEC-PH-10003655"/>
    <x v="2"/>
    <x v="7"/>
    <s v="Sannysis Cute Owl Design Soft Skin Case Cover for Samsung Galaxy S4"/>
    <n v="5.9399999999999995"/>
    <n v="3"/>
    <n v="0"/>
    <n v="1.6037999999999999"/>
  </r>
  <r>
    <n v="141"/>
    <s v="US-2023-107524"/>
    <x v="43"/>
    <x v="41"/>
    <s v="Standard Class"/>
    <s v="KN-16705"/>
    <x v="62"/>
    <x v="1"/>
    <x v="0"/>
    <s v="New York City"/>
    <x v="21"/>
    <n v="10009"/>
    <x v="1"/>
    <s v="OFF-EN-10001990"/>
    <x v="0"/>
    <x v="11"/>
    <s v="Staple envelope"/>
    <n v="11.36"/>
    <n v="2"/>
    <n v="0"/>
    <n v="5.3391999999999991"/>
  </r>
  <r>
    <n v="142"/>
    <s v="US-2023-111157"/>
    <x v="43"/>
    <x v="39"/>
    <s v="Standard Class"/>
    <s v="NH-18610"/>
    <x v="63"/>
    <x v="2"/>
    <x v="0"/>
    <s v="Philadelphia"/>
    <x v="2"/>
    <n v="19120"/>
    <x v="1"/>
    <s v="OFF-PA-10000327"/>
    <x v="0"/>
    <x v="0"/>
    <s v="Xerox 1971"/>
    <n v="3.4240000000000004"/>
    <n v="1"/>
    <n v="0.2"/>
    <n v="1.0699999999999996"/>
  </r>
  <r>
    <n v="143"/>
    <s v="US-2023-107524"/>
    <x v="43"/>
    <x v="41"/>
    <s v="Standard Class"/>
    <s v="KN-16705"/>
    <x v="62"/>
    <x v="1"/>
    <x v="0"/>
    <s v="New York City"/>
    <x v="21"/>
    <n v="10009"/>
    <x v="1"/>
    <s v="OFF-PA-10000587"/>
    <x v="0"/>
    <x v="0"/>
    <s v="Array Parchment Paper, Assorted Colors"/>
    <n v="36.4"/>
    <n v="5"/>
    <n v="0"/>
    <n v="17.472000000000001"/>
  </r>
  <r>
    <n v="144"/>
    <s v="US-2023-111157"/>
    <x v="43"/>
    <x v="39"/>
    <s v="Standard Class"/>
    <s v="NH-18610"/>
    <x v="63"/>
    <x v="2"/>
    <x v="0"/>
    <s v="Philadelphia"/>
    <x v="2"/>
    <n v="19120"/>
    <x v="1"/>
    <s v="TEC-AC-10004353"/>
    <x v="2"/>
    <x v="9"/>
    <s v="Hypercom P1300 Pinpad"/>
    <n v="151.20000000000002"/>
    <n v="3"/>
    <n v="0.2"/>
    <n v="32.130000000000003"/>
  </r>
  <r>
    <n v="145"/>
    <s v="US-2023-127978"/>
    <x v="44"/>
    <x v="41"/>
    <s v="Standard Class"/>
    <s v="JS-15595"/>
    <x v="64"/>
    <x v="2"/>
    <x v="0"/>
    <s v="Columbus"/>
    <x v="9"/>
    <n v="43229"/>
    <x v="1"/>
    <s v="FUR-BO-10001972"/>
    <x v="1"/>
    <x v="10"/>
    <s v="O'Sullivan 4-Shelf Bookcase in Odessa Pine"/>
    <n v="302.45"/>
    <n v="5"/>
    <n v="0.5"/>
    <n v="-199.61700000000002"/>
  </r>
  <r>
    <n v="146"/>
    <s v="US-2023-105648"/>
    <x v="44"/>
    <x v="40"/>
    <s v="Standard Class"/>
    <s v="EJ-14155"/>
    <x v="65"/>
    <x v="0"/>
    <x v="0"/>
    <s v="San Diego"/>
    <x v="5"/>
    <n v="92037"/>
    <x v="3"/>
    <s v="FUR-TA-10002958"/>
    <x v="1"/>
    <x v="13"/>
    <s v="Bevis Oval Conference Table, Walnut"/>
    <n v="626.35200000000009"/>
    <n v="3"/>
    <n v="0.2"/>
    <n v="-23.488200000000091"/>
  </r>
  <r>
    <n v="147"/>
    <s v="US-2023-130421"/>
    <x v="44"/>
    <x v="40"/>
    <s v="Standard Class"/>
    <s v="SC-20020"/>
    <x v="66"/>
    <x v="0"/>
    <x v="0"/>
    <s v="Houston"/>
    <x v="0"/>
    <n v="77095"/>
    <x v="0"/>
    <s v="OFF-AP-10002534"/>
    <x v="0"/>
    <x v="12"/>
    <s v="3.6 Cubic Foot Counter Height Office Refrigerator"/>
    <n v="176.77199999999996"/>
    <n v="3"/>
    <n v="0.8"/>
    <n v="-459.60720000000003"/>
  </r>
  <r>
    <n v="148"/>
    <s v="US-2023-155852"/>
    <x v="44"/>
    <x v="40"/>
    <s v="Second Class"/>
    <s v="AJ-10945"/>
    <x v="67"/>
    <x v="0"/>
    <x v="0"/>
    <s v="Wilmington"/>
    <x v="26"/>
    <n v="28403"/>
    <x v="2"/>
    <s v="OFF-AR-10003560"/>
    <x v="0"/>
    <x v="4"/>
    <s v="Zebra Zazzle Fluorescent Highlighters"/>
    <n v="19.456000000000003"/>
    <n v="4"/>
    <n v="0.2"/>
    <n v="3.4047999999999981"/>
  </r>
  <r>
    <n v="149"/>
    <s v="US-2023-127964"/>
    <x v="44"/>
    <x v="41"/>
    <s v="Standard Class"/>
    <s v="AP-10720"/>
    <x v="68"/>
    <x v="1"/>
    <x v="0"/>
    <s v="New York City"/>
    <x v="21"/>
    <n v="10035"/>
    <x v="1"/>
    <s v="OFF-BI-10003429"/>
    <x v="0"/>
    <x v="1"/>
    <s v="Cardinal HOLDit! Binder Insert Strips,Extra Strips"/>
    <n v="25.32"/>
    <n v="5"/>
    <n v="0.2"/>
    <n v="9.1785000000000014"/>
  </r>
  <r>
    <n v="150"/>
    <s v="US-2023-127964"/>
    <x v="44"/>
    <x v="41"/>
    <s v="Standard Class"/>
    <s v="AP-10720"/>
    <x v="68"/>
    <x v="1"/>
    <x v="0"/>
    <s v="New York City"/>
    <x v="21"/>
    <n v="10035"/>
    <x v="1"/>
    <s v="OFF-BI-10004593"/>
    <x v="0"/>
    <x v="1"/>
    <s v="Ibico Laser Imprintable Binding System Covers"/>
    <n v="125.76"/>
    <n v="3"/>
    <n v="0.2"/>
    <n v="40.872"/>
  </r>
  <r>
    <n v="151"/>
    <s v="US-2023-127978"/>
    <x v="44"/>
    <x v="41"/>
    <s v="Standard Class"/>
    <s v="JS-15595"/>
    <x v="64"/>
    <x v="2"/>
    <x v="0"/>
    <s v="Columbus"/>
    <x v="9"/>
    <n v="43229"/>
    <x v="1"/>
    <s v="OFF-LA-10000305"/>
    <x v="0"/>
    <x v="2"/>
    <s v="Avery 495"/>
    <n v="15.120000000000001"/>
    <n v="3"/>
    <n v="0.2"/>
    <n v="4.9139999999999988"/>
  </r>
  <r>
    <n v="152"/>
    <s v="US-2023-127978"/>
    <x v="44"/>
    <x v="41"/>
    <s v="Standard Class"/>
    <s v="JS-15595"/>
    <x v="64"/>
    <x v="2"/>
    <x v="0"/>
    <s v="Columbus"/>
    <x v="9"/>
    <n v="43229"/>
    <x v="1"/>
    <s v="OFF-ST-10002486"/>
    <x v="0"/>
    <x v="3"/>
    <s v="Eldon Shelf Savers Cubes and Bins"/>
    <n v="44.672000000000004"/>
    <n v="8"/>
    <n v="0.2"/>
    <n v="-10.051200000000003"/>
  </r>
  <r>
    <n v="153"/>
    <s v="US-2023-127964"/>
    <x v="44"/>
    <x v="41"/>
    <s v="Standard Class"/>
    <s v="AP-10720"/>
    <x v="68"/>
    <x v="1"/>
    <x v="0"/>
    <s v="New York City"/>
    <x v="21"/>
    <n v="10035"/>
    <x v="1"/>
    <s v="TEC-PH-10004700"/>
    <x v="2"/>
    <x v="7"/>
    <s v="PowerGen Dual USB Car Charger"/>
    <n v="9.99"/>
    <n v="1"/>
    <n v="0"/>
    <n v="4.5953999999999997"/>
  </r>
  <r>
    <n v="154"/>
    <s v="US-2023-117016"/>
    <x v="45"/>
    <x v="42"/>
    <s v="Standard Class"/>
    <s v="SC-20095"/>
    <x v="43"/>
    <x v="0"/>
    <x v="0"/>
    <s v="Margate"/>
    <x v="16"/>
    <n v="33063"/>
    <x v="2"/>
    <s v="OFF-AR-10001374"/>
    <x v="0"/>
    <x v="4"/>
    <s v="BIC Brite Liner Highlighters, Chisel Tip"/>
    <n v="15.552000000000003"/>
    <n v="3"/>
    <n v="0.2"/>
    <n v="2.3327999999999989"/>
  </r>
  <r>
    <n v="155"/>
    <s v="US-2023-116239"/>
    <x v="45"/>
    <x v="43"/>
    <s v="Same Day"/>
    <s v="CL-12565"/>
    <x v="69"/>
    <x v="0"/>
    <x v="0"/>
    <s v="Columbia"/>
    <x v="8"/>
    <n v="29203"/>
    <x v="2"/>
    <s v="OFF-ST-10001370"/>
    <x v="0"/>
    <x v="3"/>
    <s v="Sensible Storage WireTech Storage Systems"/>
    <n v="354.90000000000003"/>
    <n v="5"/>
    <n v="0"/>
    <n v="17.744999999999962"/>
  </r>
  <r>
    <n v="156"/>
    <s v="US-2023-169061"/>
    <x v="46"/>
    <x v="41"/>
    <s v="Second Class"/>
    <s v="AB-10150"/>
    <x v="70"/>
    <x v="0"/>
    <x v="0"/>
    <s v="Yonkers"/>
    <x v="21"/>
    <n v="10701"/>
    <x v="1"/>
    <s v="OFF-AR-10000588"/>
    <x v="0"/>
    <x v="4"/>
    <s v="Newell 345"/>
    <n v="59.519999999999996"/>
    <n v="3"/>
    <n v="0"/>
    <n v="15.475200000000001"/>
  </r>
  <r>
    <n v="157"/>
    <s v="US-2023-169061"/>
    <x v="46"/>
    <x v="41"/>
    <s v="Second Class"/>
    <s v="AB-10150"/>
    <x v="70"/>
    <x v="0"/>
    <x v="0"/>
    <s v="Yonkers"/>
    <x v="21"/>
    <n v="10701"/>
    <x v="1"/>
    <s v="OFF-BI-10001617"/>
    <x v="0"/>
    <x v="1"/>
    <s v="GBC Wire Binding Combs"/>
    <n v="49.632000000000005"/>
    <n v="6"/>
    <n v="0.2"/>
    <n v="16.750799999999998"/>
  </r>
  <r>
    <n v="158"/>
    <s v="US-2023-169061"/>
    <x v="46"/>
    <x v="41"/>
    <s v="Second Class"/>
    <s v="AB-10150"/>
    <x v="70"/>
    <x v="0"/>
    <x v="0"/>
    <s v="Yonkers"/>
    <x v="21"/>
    <n v="10701"/>
    <x v="1"/>
    <s v="OFF-PA-10001878"/>
    <x v="0"/>
    <x v="0"/>
    <s v="Xerox 1891"/>
    <n v="97.82"/>
    <n v="2"/>
    <n v="0"/>
    <n v="45.975399999999993"/>
  </r>
  <r>
    <n v="159"/>
    <s v="US-2023-169061"/>
    <x v="46"/>
    <x v="41"/>
    <s v="Second Class"/>
    <s v="AB-10150"/>
    <x v="70"/>
    <x v="0"/>
    <x v="0"/>
    <s v="Yonkers"/>
    <x v="21"/>
    <n v="10701"/>
    <x v="1"/>
    <s v="OFF-SU-10000381"/>
    <x v="0"/>
    <x v="14"/>
    <s v="Acme Forged Steel Scissors with Black Enamel Handles"/>
    <n v="18.62"/>
    <n v="2"/>
    <n v="0"/>
    <n v="5.399799999999999"/>
  </r>
  <r>
    <n v="160"/>
    <s v="US-2023-169061"/>
    <x v="46"/>
    <x v="41"/>
    <s v="Second Class"/>
    <s v="AB-10150"/>
    <x v="70"/>
    <x v="0"/>
    <x v="0"/>
    <s v="Yonkers"/>
    <x v="21"/>
    <n v="10701"/>
    <x v="1"/>
    <s v="TEC-AC-10002001"/>
    <x v="2"/>
    <x v="9"/>
    <s v="Logitech Wireless Gaming Headset G930"/>
    <n v="479.97"/>
    <n v="3"/>
    <n v="0"/>
    <n v="177.58890000000002"/>
  </r>
  <r>
    <n v="161"/>
    <s v="US-2023-104563"/>
    <x v="47"/>
    <x v="44"/>
    <s v="Standard Class"/>
    <s v="CM-12715"/>
    <x v="71"/>
    <x v="2"/>
    <x v="0"/>
    <s v="Seattle"/>
    <x v="23"/>
    <n v="98103"/>
    <x v="3"/>
    <s v="FUR-CH-10002780"/>
    <x v="1"/>
    <x v="5"/>
    <s v="Office Star - Task Chair with Contemporary Loop Arms"/>
    <n v="436.70400000000006"/>
    <n v="6"/>
    <n v="0.2"/>
    <n v="21.835199999999986"/>
  </r>
  <r>
    <n v="162"/>
    <s v="US-2023-156587"/>
    <x v="47"/>
    <x v="41"/>
    <s v="First Class"/>
    <s v="AB-10015"/>
    <x v="49"/>
    <x v="0"/>
    <x v="0"/>
    <s v="Seattle"/>
    <x v="23"/>
    <n v="98103"/>
    <x v="3"/>
    <s v="FUR-CH-10004477"/>
    <x v="1"/>
    <x v="5"/>
    <s v="Global Push Button Manager's Chair, Indigo"/>
    <n v="48.712000000000003"/>
    <n v="1"/>
    <n v="0.2"/>
    <n v="5.4800999999999966"/>
  </r>
  <r>
    <n v="163"/>
    <s v="US-2023-104563"/>
    <x v="47"/>
    <x v="44"/>
    <s v="Standard Class"/>
    <s v="CM-12715"/>
    <x v="71"/>
    <x v="2"/>
    <x v="0"/>
    <s v="Seattle"/>
    <x v="23"/>
    <n v="98103"/>
    <x v="3"/>
    <s v="FUR-CH-10004495"/>
    <x v="1"/>
    <x v="5"/>
    <s v="Global Leather and Oak Executive Chair, Black"/>
    <n v="481.56800000000004"/>
    <n v="2"/>
    <n v="0.2"/>
    <n v="54.17639999999993"/>
  </r>
  <r>
    <n v="164"/>
    <s v="US-2023-104563"/>
    <x v="47"/>
    <x v="44"/>
    <s v="Standard Class"/>
    <s v="CM-12715"/>
    <x v="71"/>
    <x v="2"/>
    <x v="0"/>
    <s v="Seattle"/>
    <x v="23"/>
    <n v="98103"/>
    <x v="3"/>
    <s v="OFF-AR-10000390"/>
    <x v="0"/>
    <x v="4"/>
    <s v="Newell Chalk Holder"/>
    <n v="20.65"/>
    <n v="5"/>
    <n v="0"/>
    <n v="9.4989999999999988"/>
  </r>
  <r>
    <n v="165"/>
    <s v="US-2023-156587"/>
    <x v="47"/>
    <x v="41"/>
    <s v="First Class"/>
    <s v="AB-10015"/>
    <x v="49"/>
    <x v="0"/>
    <x v="0"/>
    <s v="Seattle"/>
    <x v="23"/>
    <n v="98103"/>
    <x v="3"/>
    <s v="OFF-AR-10001427"/>
    <x v="0"/>
    <x v="4"/>
    <s v="Newell 330"/>
    <n v="17.940000000000001"/>
    <n v="3"/>
    <n v="0"/>
    <n v="4.6644000000000005"/>
  </r>
  <r>
    <n v="166"/>
    <s v="US-2023-131982"/>
    <x v="47"/>
    <x v="45"/>
    <s v="Second Class"/>
    <s v="NP-18685"/>
    <x v="72"/>
    <x v="1"/>
    <x v="0"/>
    <s v="Des Moines"/>
    <x v="23"/>
    <n v="98198"/>
    <x v="3"/>
    <s v="OFF-BI-10004224"/>
    <x v="0"/>
    <x v="1"/>
    <s v="Catalog Binders with Expanding Posts"/>
    <n v="107.64800000000001"/>
    <n v="2"/>
    <n v="0.2"/>
    <n v="33.639999999999986"/>
  </r>
  <r>
    <n v="167"/>
    <s v="US-2023-104563"/>
    <x v="47"/>
    <x v="44"/>
    <s v="Standard Class"/>
    <s v="CM-12715"/>
    <x v="71"/>
    <x v="2"/>
    <x v="0"/>
    <s v="Seattle"/>
    <x v="23"/>
    <n v="98103"/>
    <x v="3"/>
    <s v="OFF-ST-10000934"/>
    <x v="0"/>
    <x v="3"/>
    <s v="Contico 72&quot;H Heavy-Duty Storage System"/>
    <n v="204.89999999999998"/>
    <n v="5"/>
    <n v="0"/>
    <n v="0"/>
  </r>
  <r>
    <n v="168"/>
    <s v="US-2023-156587"/>
    <x v="47"/>
    <x v="41"/>
    <s v="First Class"/>
    <s v="AB-10015"/>
    <x v="49"/>
    <x v="0"/>
    <x v="0"/>
    <s v="Seattle"/>
    <x v="23"/>
    <n v="98103"/>
    <x v="3"/>
    <s v="OFF-ST-10002344"/>
    <x v="0"/>
    <x v="3"/>
    <s v="Carina 42&quot;Hx23 3/4&quot;W Media Storage Unit"/>
    <n v="242.94"/>
    <n v="3"/>
    <n v="0"/>
    <n v="4.8588000000000164"/>
  </r>
  <r>
    <n v="169"/>
    <s v="US-2023-140116"/>
    <x v="48"/>
    <x v="46"/>
    <s v="Standard Class"/>
    <s v="KT-16480"/>
    <x v="73"/>
    <x v="0"/>
    <x v="0"/>
    <s v="Denver"/>
    <x v="27"/>
    <n v="80219"/>
    <x v="3"/>
    <s v="OFF-AR-10001044"/>
    <x v="0"/>
    <x v="4"/>
    <s v="BOSTON Ranger #55 Pencil Sharpener, Black"/>
    <n v="83.168000000000006"/>
    <n v="4"/>
    <n v="0.2"/>
    <n v="9.3563999999999936"/>
  </r>
  <r>
    <n v="170"/>
    <s v="US-2023-100279"/>
    <x v="48"/>
    <x v="47"/>
    <s v="Standard Class"/>
    <s v="SW-20275"/>
    <x v="74"/>
    <x v="0"/>
    <x v="0"/>
    <s v="Royal Oak"/>
    <x v="14"/>
    <n v="48073"/>
    <x v="0"/>
    <s v="OFF-PA-10002259"/>
    <x v="0"/>
    <x v="0"/>
    <s v="Geographics Note Cards, Blank, White, 8 1/2&quot; x 11&quot;"/>
    <n v="22.38"/>
    <n v="2"/>
    <n v="0"/>
    <n v="10.7424"/>
  </r>
  <r>
    <n v="171"/>
    <s v="US-2023-140116"/>
    <x v="48"/>
    <x v="46"/>
    <s v="Standard Class"/>
    <s v="KT-16480"/>
    <x v="73"/>
    <x v="0"/>
    <x v="0"/>
    <s v="Denver"/>
    <x v="27"/>
    <n v="80219"/>
    <x v="3"/>
    <s v="OFF-ST-10000078"/>
    <x v="0"/>
    <x v="3"/>
    <s v="Tennsco 6- and 18-Compartment Lockers"/>
    <n v="636.40800000000013"/>
    <n v="3"/>
    <n v="0.2"/>
    <n v="-15.910200000000088"/>
  </r>
  <r>
    <n v="172"/>
    <s v="US-2023-166884"/>
    <x v="49"/>
    <x v="48"/>
    <s v="Second Class"/>
    <s v="CK-12205"/>
    <x v="75"/>
    <x v="0"/>
    <x v="0"/>
    <s v="Columbus"/>
    <x v="9"/>
    <n v="43229"/>
    <x v="1"/>
    <s v="FUR-FU-10003981"/>
    <x v="1"/>
    <x v="8"/>
    <s v="Eldon Wave Desk Accessories"/>
    <n v="8.32"/>
    <n v="5"/>
    <n v="0.2"/>
    <n v="2.2880000000000003"/>
  </r>
  <r>
    <n v="173"/>
    <s v="US-2023-114790"/>
    <x v="49"/>
    <x v="49"/>
    <s v="Second Class"/>
    <s v="FM-14215"/>
    <x v="76"/>
    <x v="2"/>
    <x v="0"/>
    <s v="Richmond"/>
    <x v="3"/>
    <n v="40475"/>
    <x v="2"/>
    <s v="OFF-AP-10002578"/>
    <x v="0"/>
    <x v="12"/>
    <s v="Fellowes Premier Superior Surge Suppressor, 10-Outlet, With Phone and Remote"/>
    <n v="146.76"/>
    <n v="3"/>
    <n v="0"/>
    <n v="38.157600000000002"/>
  </r>
  <r>
    <n v="174"/>
    <s v="US-2023-103338"/>
    <x v="49"/>
    <x v="50"/>
    <s v="Standard Class"/>
    <s v="RB-19435"/>
    <x v="77"/>
    <x v="0"/>
    <x v="0"/>
    <s v="Roseville"/>
    <x v="5"/>
    <n v="95661"/>
    <x v="3"/>
    <s v="OFF-AR-10001770"/>
    <x v="0"/>
    <x v="4"/>
    <s v="Economy #2 Pencils"/>
    <n v="7.98"/>
    <n v="3"/>
    <n v="0"/>
    <n v="2.0747999999999998"/>
  </r>
  <r>
    <n v="175"/>
    <s v="US-2023-166884"/>
    <x v="49"/>
    <x v="48"/>
    <s v="Second Class"/>
    <s v="CK-12205"/>
    <x v="75"/>
    <x v="0"/>
    <x v="0"/>
    <s v="Columbus"/>
    <x v="9"/>
    <n v="43229"/>
    <x v="1"/>
    <s v="OFF-FA-10001561"/>
    <x v="0"/>
    <x v="6"/>
    <s v="Stockwell Push Pins"/>
    <n v="10.464000000000002"/>
    <n v="6"/>
    <n v="0.2"/>
    <n v="1.7003999999999992"/>
  </r>
  <r>
    <n v="176"/>
    <s v="US-2023-114790"/>
    <x v="49"/>
    <x v="49"/>
    <s v="Second Class"/>
    <s v="FM-14215"/>
    <x v="76"/>
    <x v="2"/>
    <x v="0"/>
    <s v="Richmond"/>
    <x v="3"/>
    <n v="40475"/>
    <x v="2"/>
    <s v="OFF-PA-10000213"/>
    <x v="0"/>
    <x v="0"/>
    <s v="Xerox 198"/>
    <n v="14.940000000000001"/>
    <n v="3"/>
    <n v="0"/>
    <n v="7.0218000000000007"/>
  </r>
  <r>
    <n v="177"/>
    <s v="US-2023-158337"/>
    <x v="49"/>
    <x v="47"/>
    <s v="Second Class"/>
    <s v="KA-16525"/>
    <x v="78"/>
    <x v="0"/>
    <x v="0"/>
    <s v="New York City"/>
    <x v="21"/>
    <n v="10024"/>
    <x v="1"/>
    <s v="OFF-PA-10002137"/>
    <x v="0"/>
    <x v="0"/>
    <s v="Southworth 100% Résumé Paper, 24lb."/>
    <n v="108.92"/>
    <n v="14"/>
    <n v="0"/>
    <n v="49.013999999999996"/>
  </r>
  <r>
    <n v="178"/>
    <s v="US-2023-114790"/>
    <x v="49"/>
    <x v="49"/>
    <s v="Second Class"/>
    <s v="FM-14215"/>
    <x v="76"/>
    <x v="2"/>
    <x v="0"/>
    <s v="Richmond"/>
    <x v="3"/>
    <n v="40475"/>
    <x v="2"/>
    <s v="TEC-AC-10000710"/>
    <x v="2"/>
    <x v="9"/>
    <s v="Maxell DVD-RAM Discs"/>
    <n v="32.96"/>
    <n v="2"/>
    <n v="0"/>
    <n v="14.172800000000002"/>
  </r>
  <r>
    <n v="179"/>
    <s v="US-2023-114790"/>
    <x v="49"/>
    <x v="49"/>
    <s v="Second Class"/>
    <s v="FM-14215"/>
    <x v="76"/>
    <x v="2"/>
    <x v="0"/>
    <s v="Richmond"/>
    <x v="3"/>
    <n v="40475"/>
    <x v="2"/>
    <s v="TEC-PH-10000984"/>
    <x v="2"/>
    <x v="7"/>
    <s v="Panasonic KX-TG9471B"/>
    <n v="587.97"/>
    <n v="3"/>
    <n v="0"/>
    <n v="164.63160000000005"/>
  </r>
  <r>
    <n v="180"/>
    <s v="CA-2023-139675"/>
    <x v="50"/>
    <x v="51"/>
    <s v="Second Class"/>
    <s v="NF-18595"/>
    <x v="79"/>
    <x v="1"/>
    <x v="1"/>
    <s v="Calgary"/>
    <x v="28"/>
    <s v="T2C"/>
    <x v="3"/>
    <s v="FUR-CH-10004063"/>
    <x v="1"/>
    <x v="5"/>
    <s v="Global Deluxe High-Back Manager's Chair"/>
    <n v="915.14"/>
    <n v="4"/>
    <n v="0.2"/>
    <n v="102.95"/>
  </r>
  <r>
    <n v="181"/>
    <s v="CA-2023-139675"/>
    <x v="50"/>
    <x v="51"/>
    <s v="Second Class"/>
    <s v="NF-18595"/>
    <x v="79"/>
    <x v="1"/>
    <x v="1"/>
    <s v="Calgary"/>
    <x v="28"/>
    <s v="T2C"/>
    <x v="3"/>
    <s v="FUR-FU-10001979"/>
    <x v="1"/>
    <x v="8"/>
    <s v="Dana Halogen Swing-Arm Architect Lamp"/>
    <n v="327.76"/>
    <n v="8"/>
    <n v="0"/>
    <n v="91.77"/>
  </r>
  <r>
    <n v="182"/>
    <s v="US-2023-125521"/>
    <x v="51"/>
    <x v="52"/>
    <s v="Standard Class"/>
    <s v="CK-12325"/>
    <x v="80"/>
    <x v="1"/>
    <x v="0"/>
    <s v="Chesapeake"/>
    <x v="6"/>
    <n v="23320"/>
    <x v="2"/>
    <s v="FUR-CH-10003379"/>
    <x v="1"/>
    <x v="5"/>
    <s v="Global Commerce Series High-Back Swivel/Tilt Chairs"/>
    <n v="1139.92"/>
    <n v="4"/>
    <n v="0"/>
    <n v="284.98"/>
  </r>
  <r>
    <n v="183"/>
    <s v="US-2023-157623"/>
    <x v="51"/>
    <x v="51"/>
    <s v="Standard Class"/>
    <s v="DK-13225"/>
    <x v="81"/>
    <x v="2"/>
    <x v="0"/>
    <s v="Huntington Beach"/>
    <x v="5"/>
    <n v="92646"/>
    <x v="3"/>
    <s v="OFF-AR-10003723"/>
    <x v="0"/>
    <x v="4"/>
    <s v="Avery Hi-Liter Fluorescent Desk Style Markers"/>
    <n v="3.38"/>
    <n v="1"/>
    <n v="0"/>
    <n v="1.2505999999999999"/>
  </r>
  <r>
    <n v="184"/>
    <s v="US-2023-114510"/>
    <x v="51"/>
    <x v="52"/>
    <s v="Standard Class"/>
    <s v="JF-15295"/>
    <x v="82"/>
    <x v="0"/>
    <x v="0"/>
    <s v="Logan"/>
    <x v="29"/>
    <n v="84321"/>
    <x v="3"/>
    <s v="OFF-BI-10001617"/>
    <x v="0"/>
    <x v="1"/>
    <s v="GBC Wire Binding Combs"/>
    <n v="33.088000000000001"/>
    <n v="4"/>
    <n v="0.2"/>
    <n v="11.167199999999999"/>
  </r>
  <r>
    <n v="185"/>
    <s v="US-2023-114510"/>
    <x v="51"/>
    <x v="52"/>
    <s v="Standard Class"/>
    <s v="JF-15295"/>
    <x v="82"/>
    <x v="0"/>
    <x v="0"/>
    <s v="Logan"/>
    <x v="29"/>
    <n v="84321"/>
    <x v="3"/>
    <s v="OFF-BI-10003007"/>
    <x v="0"/>
    <x v="1"/>
    <s v="Premium Transparent Presentation Covers, No Pattern/Clear, 8 1/2&quot; x 11&quot;"/>
    <n v="62.048000000000002"/>
    <n v="2"/>
    <n v="0.2"/>
    <n v="20.165599999999998"/>
  </r>
  <r>
    <n v="186"/>
    <s v="US-2023-100293"/>
    <x v="51"/>
    <x v="51"/>
    <s v="Standard Class"/>
    <s v="NF-18475"/>
    <x v="83"/>
    <x v="1"/>
    <x v="0"/>
    <s v="Jacksonville"/>
    <x v="16"/>
    <n v="32216"/>
    <x v="2"/>
    <s v="OFF-PA-10000176"/>
    <x v="0"/>
    <x v="0"/>
    <s v="Xerox 1887"/>
    <n v="91.055999999999997"/>
    <n v="6"/>
    <n v="0.2"/>
    <n v="31.869599999999995"/>
  </r>
  <r>
    <n v="187"/>
    <s v="US-2023-157623"/>
    <x v="51"/>
    <x v="51"/>
    <s v="Standard Class"/>
    <s v="DK-13225"/>
    <x v="81"/>
    <x v="2"/>
    <x v="0"/>
    <s v="Huntington Beach"/>
    <x v="5"/>
    <n v="92646"/>
    <x v="3"/>
    <s v="OFF-PA-10001204"/>
    <x v="0"/>
    <x v="0"/>
    <s v="Xerox 1972"/>
    <n v="10.56"/>
    <n v="2"/>
    <n v="0"/>
    <n v="4.7519999999999998"/>
  </r>
  <r>
    <n v="188"/>
    <s v="US-2023-152618"/>
    <x v="51"/>
    <x v="46"/>
    <s v="First Class"/>
    <s v="RB-19465"/>
    <x v="84"/>
    <x v="1"/>
    <x v="0"/>
    <s v="Chicago"/>
    <x v="1"/>
    <n v="60653"/>
    <x v="0"/>
    <s v="OFF-PA-10001215"/>
    <x v="0"/>
    <x v="0"/>
    <s v="Xerox 1963"/>
    <n v="8.4480000000000004"/>
    <n v="2"/>
    <n v="0.2"/>
    <n v="2.6399999999999997"/>
  </r>
  <r>
    <n v="189"/>
    <s v="US-2023-114510"/>
    <x v="51"/>
    <x v="52"/>
    <s v="Standard Class"/>
    <s v="JF-15295"/>
    <x v="82"/>
    <x v="0"/>
    <x v="0"/>
    <s v="Logan"/>
    <x v="29"/>
    <n v="84321"/>
    <x v="3"/>
    <s v="OFF-ST-10000736"/>
    <x v="0"/>
    <x v="3"/>
    <s v="Carina Double Wide Media Storage Towers in Natural &amp; Black"/>
    <n v="80.98"/>
    <n v="1"/>
    <n v="0"/>
    <n v="3.2391999999999967"/>
  </r>
  <r>
    <n v="190"/>
    <s v="US-2023-114510"/>
    <x v="51"/>
    <x v="52"/>
    <s v="Standard Class"/>
    <s v="JF-15295"/>
    <x v="82"/>
    <x v="0"/>
    <x v="0"/>
    <s v="Logan"/>
    <x v="29"/>
    <n v="84321"/>
    <x v="3"/>
    <s v="OFF-ST-10003221"/>
    <x v="0"/>
    <x v="3"/>
    <s v="Staple magnet"/>
    <n v="21.36"/>
    <n v="2"/>
    <n v="0"/>
    <n v="5.7672000000000008"/>
  </r>
  <r>
    <n v="191"/>
    <s v="US-2023-114510"/>
    <x v="51"/>
    <x v="52"/>
    <s v="Standard Class"/>
    <s v="JF-15295"/>
    <x v="82"/>
    <x v="0"/>
    <x v="0"/>
    <s v="Logan"/>
    <x v="29"/>
    <n v="84321"/>
    <x v="3"/>
    <s v="TEC-AC-10004877"/>
    <x v="2"/>
    <x v="9"/>
    <s v="Imation 30456 USB Flash Drive 8GB"/>
    <n v="82.800000000000011"/>
    <n v="12"/>
    <n v="0"/>
    <n v="6.6239999999999952"/>
  </r>
  <r>
    <n v="192"/>
    <s v="US-2023-152618"/>
    <x v="51"/>
    <x v="46"/>
    <s v="First Class"/>
    <s v="RB-19465"/>
    <x v="84"/>
    <x v="1"/>
    <x v="0"/>
    <s v="Chicago"/>
    <x v="1"/>
    <n v="60653"/>
    <x v="0"/>
    <s v="TEC-MA-10003626"/>
    <x v="2"/>
    <x v="15"/>
    <s v="Hewlett-Packard Deskjet 6540 Color Inkjet Printer"/>
    <n v="574.91"/>
    <n v="2"/>
    <n v="0.3"/>
    <n v="156.04699999999997"/>
  </r>
  <r>
    <n v="193"/>
    <s v="US-2023-149958"/>
    <x v="52"/>
    <x v="52"/>
    <s v="Standard Class"/>
    <s v="AS-10240"/>
    <x v="85"/>
    <x v="0"/>
    <x v="0"/>
    <s v="Tampa"/>
    <x v="16"/>
    <n v="33614"/>
    <x v="2"/>
    <s v="FUR-FU-10001756"/>
    <x v="1"/>
    <x v="8"/>
    <s v="Eldon Expressions Desk Accessory, Wood Photo Frame, Mahogany"/>
    <n v="45.695999999999998"/>
    <n v="3"/>
    <n v="0.2"/>
    <n v="5.1407999999999916"/>
  </r>
  <r>
    <n v="194"/>
    <s v="US-2023-149958"/>
    <x v="52"/>
    <x v="52"/>
    <s v="Standard Class"/>
    <s v="AS-10240"/>
    <x v="85"/>
    <x v="0"/>
    <x v="0"/>
    <s v="Tampa"/>
    <x v="16"/>
    <n v="33614"/>
    <x v="2"/>
    <s v="OFF-BI-10000773"/>
    <x v="0"/>
    <x v="1"/>
    <s v="Insertable Tab Post Binder Dividers"/>
    <n v="7.218"/>
    <n v="3"/>
    <n v="0.7"/>
    <n v="-5.5338000000000012"/>
  </r>
  <r>
    <n v="195"/>
    <s v="US-2023-149958"/>
    <x v="52"/>
    <x v="52"/>
    <s v="Standard Class"/>
    <s v="AS-10240"/>
    <x v="85"/>
    <x v="0"/>
    <x v="0"/>
    <s v="Tampa"/>
    <x v="16"/>
    <n v="33614"/>
    <x v="2"/>
    <s v="OFF-BI-10001543"/>
    <x v="0"/>
    <x v="1"/>
    <s v="GBC VeloBinder Manual Binding System"/>
    <n v="43.188000000000009"/>
    <n v="4"/>
    <n v="0.7"/>
    <n v="-31.671199999999999"/>
  </r>
  <r>
    <n v="196"/>
    <s v="US-2023-149958"/>
    <x v="52"/>
    <x v="52"/>
    <s v="Standard Class"/>
    <s v="AS-10240"/>
    <x v="85"/>
    <x v="0"/>
    <x v="0"/>
    <s v="Tampa"/>
    <x v="16"/>
    <n v="33614"/>
    <x v="2"/>
    <s v="OFF-PA-10002120"/>
    <x v="0"/>
    <x v="0"/>
    <s v="Xerox 1889"/>
    <n v="131.904"/>
    <n v="3"/>
    <n v="0.2"/>
    <n v="47.815200000000004"/>
  </r>
  <r>
    <n v="197"/>
    <s v="US-2023-149958"/>
    <x v="52"/>
    <x v="52"/>
    <s v="Standard Class"/>
    <s v="AS-10240"/>
    <x v="85"/>
    <x v="0"/>
    <x v="0"/>
    <s v="Tampa"/>
    <x v="16"/>
    <n v="33614"/>
    <x v="2"/>
    <s v="OFF-ST-10001490"/>
    <x v="0"/>
    <x v="3"/>
    <s v="Hot File 7-Pocket, Floor Stand"/>
    <n v="142.77600000000001"/>
    <n v="1"/>
    <n v="0.2"/>
    <n v="17.84699999999998"/>
  </r>
  <r>
    <n v="198"/>
    <s v="US-2023-157609"/>
    <x v="53"/>
    <x v="53"/>
    <s v="Second Class"/>
    <s v="KN-16705"/>
    <x v="62"/>
    <x v="1"/>
    <x v="0"/>
    <s v="Raleigh"/>
    <x v="26"/>
    <n v="27604"/>
    <x v="2"/>
    <s v="TEC-PH-10002415"/>
    <x v="2"/>
    <x v="7"/>
    <s v="Polycom VoiceStation 500 Conference phone"/>
    <n v="471.92"/>
    <n v="2"/>
    <n v="0.2"/>
    <n v="29.495000000000019"/>
  </r>
  <r>
    <n v="199"/>
    <s v="US-2023-148838"/>
    <x v="54"/>
    <x v="53"/>
    <s v="Standard Class"/>
    <s v="CP-12340"/>
    <x v="86"/>
    <x v="2"/>
    <x v="0"/>
    <s v="New York City"/>
    <x v="21"/>
    <n v="10024"/>
    <x v="1"/>
    <s v="FUR-TA-10001950"/>
    <x v="1"/>
    <x v="13"/>
    <s v="Balt Solid Wood Round Tables"/>
    <n v="1071.576"/>
    <n v="4"/>
    <n v="0.4"/>
    <n v="-553.64760000000001"/>
  </r>
  <r>
    <n v="200"/>
    <s v="US-2023-148838"/>
    <x v="54"/>
    <x v="53"/>
    <s v="Standard Class"/>
    <s v="CP-12340"/>
    <x v="86"/>
    <x v="2"/>
    <x v="0"/>
    <s v="New York City"/>
    <x v="21"/>
    <n v="10024"/>
    <x v="1"/>
    <s v="FUR-TA-10003473"/>
    <x v="1"/>
    <x v="13"/>
    <s v="Bretford Rectangular Conference Table Tops"/>
    <n v="1579.7460000000001"/>
    <n v="7"/>
    <n v="0.4"/>
    <n v="-447.59469999999988"/>
  </r>
  <r>
    <n v="201"/>
    <s v="US-2023-148838"/>
    <x v="54"/>
    <x v="53"/>
    <s v="Standard Class"/>
    <s v="CP-12340"/>
    <x v="86"/>
    <x v="2"/>
    <x v="0"/>
    <s v="New York City"/>
    <x v="21"/>
    <n v="10024"/>
    <x v="1"/>
    <s v="FUR-TA-10004175"/>
    <x v="1"/>
    <x v="13"/>
    <s v="Hon 30&quot; x 60&quot; Table with Locking Drawer"/>
    <n v="613.90800000000002"/>
    <n v="3"/>
    <n v="0.4"/>
    <n v="-122.78160000000003"/>
  </r>
  <r>
    <n v="202"/>
    <s v="US-2023-118339"/>
    <x v="54"/>
    <x v="54"/>
    <s v="Standard Class"/>
    <s v="BN-11515"/>
    <x v="87"/>
    <x v="0"/>
    <x v="0"/>
    <s v="Lakeville"/>
    <x v="30"/>
    <n v="55044"/>
    <x v="0"/>
    <s v="OFF-AP-10001154"/>
    <x v="0"/>
    <x v="12"/>
    <s v="Bionaire Personal Warm Mist Humidifier/Vaporizer"/>
    <n v="93.78"/>
    <n v="2"/>
    <n v="0"/>
    <n v="36.574200000000005"/>
  </r>
  <r>
    <n v="203"/>
    <s v="US-2023-164763"/>
    <x v="54"/>
    <x v="53"/>
    <s v="Standard Class"/>
    <s v="MH-17440"/>
    <x v="36"/>
    <x v="2"/>
    <x v="0"/>
    <s v="Jackson"/>
    <x v="31"/>
    <n v="39212"/>
    <x v="2"/>
    <s v="OFF-AP-10003971"/>
    <x v="0"/>
    <x v="12"/>
    <s v="Belkin 6 Outlet Metallic Surge Strip"/>
    <n v="32.67"/>
    <n v="3"/>
    <n v="0"/>
    <n v="8.4942000000000011"/>
  </r>
  <r>
    <n v="204"/>
    <s v="US-2023-158442"/>
    <x v="54"/>
    <x v="46"/>
    <s v="Same Day"/>
    <s v="AZ-10750"/>
    <x v="88"/>
    <x v="0"/>
    <x v="0"/>
    <s v="Dallas"/>
    <x v="0"/>
    <n v="75217"/>
    <x v="0"/>
    <s v="OFF-AR-10003732"/>
    <x v="0"/>
    <x v="4"/>
    <s v="Newell 333"/>
    <n v="4.4479999999999995"/>
    <n v="2"/>
    <n v="0.2"/>
    <n v="0.3335999999999999"/>
  </r>
  <r>
    <n v="205"/>
    <s v="US-2023-118339"/>
    <x v="54"/>
    <x v="54"/>
    <s v="Standard Class"/>
    <s v="BN-11515"/>
    <x v="87"/>
    <x v="0"/>
    <x v="0"/>
    <s v="Lakeville"/>
    <x v="30"/>
    <n v="55044"/>
    <x v="0"/>
    <s v="OFF-AR-10003829"/>
    <x v="0"/>
    <x v="4"/>
    <s v="Newell 35"/>
    <n v="19.68"/>
    <n v="6"/>
    <n v="0"/>
    <n v="5.7071999999999976"/>
  </r>
  <r>
    <n v="206"/>
    <s v="US-2023-118339"/>
    <x v="54"/>
    <x v="54"/>
    <s v="Standard Class"/>
    <s v="BN-11515"/>
    <x v="87"/>
    <x v="0"/>
    <x v="0"/>
    <s v="Lakeville"/>
    <x v="30"/>
    <n v="55044"/>
    <x v="0"/>
    <s v="OFF-BI-10000136"/>
    <x v="0"/>
    <x v="1"/>
    <s v="Avery Non-Stick Heavy Duty View Round Locking Ring Binders"/>
    <n v="35.880000000000003"/>
    <n v="6"/>
    <n v="0"/>
    <n v="17.2224"/>
  </r>
  <r>
    <n v="207"/>
    <s v="US-2023-164763"/>
    <x v="54"/>
    <x v="53"/>
    <s v="Standard Class"/>
    <s v="MH-17440"/>
    <x v="36"/>
    <x v="2"/>
    <x v="0"/>
    <s v="Jackson"/>
    <x v="31"/>
    <n v="39212"/>
    <x v="2"/>
    <s v="OFF-BI-10000309"/>
    <x v="0"/>
    <x v="1"/>
    <s v="GBC Twin Loop Wire Binding Elements, 9/16&quot; Spine, Black"/>
    <n v="30.44"/>
    <n v="2"/>
    <n v="0"/>
    <n v="14.9156"/>
  </r>
  <r>
    <n v="208"/>
    <s v="US-2023-164763"/>
    <x v="54"/>
    <x v="53"/>
    <s v="Standard Class"/>
    <s v="MH-17440"/>
    <x v="36"/>
    <x v="2"/>
    <x v="0"/>
    <s v="Jackson"/>
    <x v="31"/>
    <n v="39212"/>
    <x v="2"/>
    <s v="OFF-BI-10000605"/>
    <x v="0"/>
    <x v="1"/>
    <s v="Acco Pressboard Covers with Storage Hooks, 9 1/2&quot; x 11&quot;, Executive Red"/>
    <n v="11.43"/>
    <n v="3"/>
    <n v="0"/>
    <n v="5.3720999999999997"/>
  </r>
  <r>
    <n v="209"/>
    <s v="US-2023-118339"/>
    <x v="54"/>
    <x v="54"/>
    <s v="Standard Class"/>
    <s v="BN-11515"/>
    <x v="87"/>
    <x v="0"/>
    <x v="0"/>
    <s v="Lakeville"/>
    <x v="30"/>
    <n v="55044"/>
    <x v="0"/>
    <s v="OFF-BI-10001758"/>
    <x v="0"/>
    <x v="1"/>
    <s v="Wilson Jones 14 Line Acrylic Coated Pressboard Data Binders"/>
    <n v="53.4"/>
    <n v="10"/>
    <n v="0"/>
    <n v="25.097999999999999"/>
  </r>
  <r>
    <n v="210"/>
    <s v="US-2023-118339"/>
    <x v="54"/>
    <x v="54"/>
    <s v="Standard Class"/>
    <s v="BN-11515"/>
    <x v="87"/>
    <x v="0"/>
    <x v="0"/>
    <s v="Lakeville"/>
    <x v="30"/>
    <n v="55044"/>
    <x v="0"/>
    <s v="OFF-PA-10000466"/>
    <x v="0"/>
    <x v="0"/>
    <s v="Memo Book, 100 Message Capacity, 5 3/8” x 11”"/>
    <n v="47.18"/>
    <n v="7"/>
    <n v="0"/>
    <n v="23.59"/>
  </r>
  <r>
    <n v="211"/>
    <s v="US-2023-148838"/>
    <x v="54"/>
    <x v="53"/>
    <s v="Standard Class"/>
    <s v="CP-12340"/>
    <x v="86"/>
    <x v="2"/>
    <x v="0"/>
    <s v="New York City"/>
    <x v="21"/>
    <n v="10024"/>
    <x v="1"/>
    <s v="OFF-PA-10000919"/>
    <x v="0"/>
    <x v="0"/>
    <s v="Xerox 1918"/>
    <n v="155.04"/>
    <n v="4"/>
    <n v="0"/>
    <n v="75.9696"/>
  </r>
  <r>
    <n v="212"/>
    <s v="US-2023-158442"/>
    <x v="54"/>
    <x v="46"/>
    <s v="Same Day"/>
    <s v="AZ-10750"/>
    <x v="88"/>
    <x v="0"/>
    <x v="0"/>
    <s v="Dallas"/>
    <x v="0"/>
    <n v="75217"/>
    <x v="0"/>
    <s v="OFF-PA-10002195"/>
    <x v="0"/>
    <x v="0"/>
    <s v="Xerox 1966"/>
    <n v="5.1840000000000011"/>
    <n v="1"/>
    <n v="0.2"/>
    <n v="1.8792"/>
  </r>
  <r>
    <n v="213"/>
    <s v="US-2023-158442"/>
    <x v="54"/>
    <x v="46"/>
    <s v="Same Day"/>
    <s v="AZ-10750"/>
    <x v="88"/>
    <x v="0"/>
    <x v="0"/>
    <s v="Dallas"/>
    <x v="0"/>
    <n v="75217"/>
    <x v="0"/>
    <s v="OFF-PA-10002365"/>
    <x v="0"/>
    <x v="0"/>
    <s v="Xerox 1967"/>
    <n v="15.552000000000003"/>
    <n v="3"/>
    <n v="0.2"/>
    <n v="5.4432"/>
  </r>
  <r>
    <n v="214"/>
    <s v="US-2023-148838"/>
    <x v="54"/>
    <x v="53"/>
    <s v="Standard Class"/>
    <s v="CP-12340"/>
    <x v="86"/>
    <x v="2"/>
    <x v="0"/>
    <s v="New York City"/>
    <x v="21"/>
    <n v="10024"/>
    <x v="1"/>
    <s v="OFF-PA-10002960"/>
    <x v="0"/>
    <x v="0"/>
    <s v="Xerox 1926"/>
    <n v="34.86"/>
    <n v="7"/>
    <n v="0"/>
    <n v="16.3842"/>
  </r>
  <r>
    <n v="215"/>
    <s v="US-2023-164763"/>
    <x v="54"/>
    <x v="53"/>
    <s v="Standard Class"/>
    <s v="MH-17440"/>
    <x v="36"/>
    <x v="2"/>
    <x v="0"/>
    <s v="Jackson"/>
    <x v="31"/>
    <n v="39212"/>
    <x v="2"/>
    <s v="OFF-PA-10003063"/>
    <x v="0"/>
    <x v="0"/>
    <s v="EcoTones Memo Sheets"/>
    <n v="16"/>
    <n v="4"/>
    <n v="0"/>
    <n v="7.68"/>
  </r>
  <r>
    <n v="216"/>
    <s v="US-2023-164763"/>
    <x v="54"/>
    <x v="53"/>
    <s v="Standard Class"/>
    <s v="MH-17440"/>
    <x v="36"/>
    <x v="2"/>
    <x v="0"/>
    <s v="Jackson"/>
    <x v="31"/>
    <n v="39212"/>
    <x v="2"/>
    <s v="OFF-PA-10003349"/>
    <x v="0"/>
    <x v="0"/>
    <s v="Xerox 1957"/>
    <n v="12.96"/>
    <n v="2"/>
    <n v="0"/>
    <n v="6.3504000000000005"/>
  </r>
  <r>
    <n v="217"/>
    <s v="US-2023-127859"/>
    <x v="54"/>
    <x v="55"/>
    <s v="Second Class"/>
    <s v="QJ-19255"/>
    <x v="89"/>
    <x v="2"/>
    <x v="0"/>
    <s v="Philadelphia"/>
    <x v="2"/>
    <n v="19134"/>
    <x v="1"/>
    <s v="OFF-PA-10003641"/>
    <x v="0"/>
    <x v="0"/>
    <s v="Xerox 1909"/>
    <n v="126.624"/>
    <n v="6"/>
    <n v="0.2"/>
    <n v="41.152799999999992"/>
  </r>
  <r>
    <n v="218"/>
    <s v="US-2023-111871"/>
    <x v="55"/>
    <x v="53"/>
    <s v="Second Class"/>
    <s v="EK-13795"/>
    <x v="90"/>
    <x v="1"/>
    <x v="0"/>
    <s v="San Francisco"/>
    <x v="5"/>
    <n v="94110"/>
    <x v="3"/>
    <s v="FUR-BO-10004218"/>
    <x v="1"/>
    <x v="10"/>
    <s v="Bush Heritage Pine Collection 5-Shelf Bookcase, Albany Pine Finish, *Special Order"/>
    <n v="1198.33"/>
    <n v="10"/>
    <n v="0.15"/>
    <n v="70.490000000000009"/>
  </r>
  <r>
    <n v="219"/>
    <s v="US-2023-145317"/>
    <x v="55"/>
    <x v="56"/>
    <s v="Standard Class"/>
    <s v="SM-20320"/>
    <x v="91"/>
    <x v="1"/>
    <x v="0"/>
    <s v="Jacksonville"/>
    <x v="16"/>
    <n v="32216"/>
    <x v="2"/>
    <s v="FUR-FU-10001986"/>
    <x v="1"/>
    <x v="8"/>
    <s v="Dana Fluorescent Magnifying Lamp, White, 36&quot;"/>
    <n v="122.352"/>
    <n v="3"/>
    <n v="0.2"/>
    <n v="15.29399999999999"/>
  </r>
  <r>
    <n v="220"/>
    <s v="US-2023-145317"/>
    <x v="55"/>
    <x v="56"/>
    <s v="Standard Class"/>
    <s v="SM-20320"/>
    <x v="91"/>
    <x v="1"/>
    <x v="0"/>
    <s v="Jacksonville"/>
    <x v="16"/>
    <n v="32216"/>
    <x v="2"/>
    <s v="FUR-FU-10004270"/>
    <x v="1"/>
    <x v="8"/>
    <s v="Executive Impressions 13&quot; Clairmont Wall Clock"/>
    <n v="30.768000000000001"/>
    <n v="2"/>
    <n v="0.2"/>
    <n v="8.0766000000000027"/>
  </r>
  <r>
    <n v="221"/>
    <s v="US-2023-131275"/>
    <x v="55"/>
    <x v="54"/>
    <s v="Standard Class"/>
    <s v="SC-20050"/>
    <x v="92"/>
    <x v="1"/>
    <x v="0"/>
    <s v="Burbank"/>
    <x v="5"/>
    <n v="91505"/>
    <x v="3"/>
    <s v="FUR-FU-10004597"/>
    <x v="1"/>
    <x v="8"/>
    <s v="Eldon Cleatmat Chair Mats for Medium Pile Carpets"/>
    <n v="111"/>
    <n v="2"/>
    <n v="0"/>
    <n v="14.430000000000007"/>
  </r>
  <r>
    <n v="222"/>
    <s v="US-2023-145317"/>
    <x v="55"/>
    <x v="56"/>
    <s v="Standard Class"/>
    <s v="SM-20320"/>
    <x v="91"/>
    <x v="1"/>
    <x v="0"/>
    <s v="Jacksonville"/>
    <x v="16"/>
    <n v="32216"/>
    <x v="2"/>
    <s v="OFF-AR-10003183"/>
    <x v="0"/>
    <x v="4"/>
    <s v="Avery Fluorescent Highlighter Four-Color Set"/>
    <n v="8.016"/>
    <n v="3"/>
    <n v="0.2"/>
    <n v="1.0019999999999993"/>
  </r>
  <r>
    <n v="223"/>
    <s v="US-2023-145317"/>
    <x v="55"/>
    <x v="56"/>
    <s v="Standard Class"/>
    <s v="SM-20320"/>
    <x v="91"/>
    <x v="1"/>
    <x v="0"/>
    <s v="Jacksonville"/>
    <x v="16"/>
    <n v="32216"/>
    <x v="2"/>
    <s v="OFF-FA-10003112"/>
    <x v="0"/>
    <x v="6"/>
    <s v="Staples"/>
    <n v="18.936"/>
    <n v="3"/>
    <n v="0.2"/>
    <n v="5.9174999999999986"/>
  </r>
  <r>
    <n v="224"/>
    <s v="US-2023-145317"/>
    <x v="55"/>
    <x v="56"/>
    <s v="Standard Class"/>
    <s v="SM-20320"/>
    <x v="91"/>
    <x v="1"/>
    <x v="0"/>
    <s v="Jacksonville"/>
    <x v="16"/>
    <n v="32216"/>
    <x v="2"/>
    <s v="OFF-PA-10001804"/>
    <x v="0"/>
    <x v="0"/>
    <s v="Xerox 195"/>
    <n v="21.376000000000001"/>
    <n v="4"/>
    <n v="0.2"/>
    <n v="7.4815999999999994"/>
  </r>
  <r>
    <n v="225"/>
    <s v="US-2023-131275"/>
    <x v="55"/>
    <x v="54"/>
    <s v="Standard Class"/>
    <s v="SC-20050"/>
    <x v="92"/>
    <x v="1"/>
    <x v="0"/>
    <s v="Burbank"/>
    <x v="5"/>
    <n v="91505"/>
    <x v="3"/>
    <s v="OFF-ST-10000078"/>
    <x v="0"/>
    <x v="3"/>
    <s v="Tennsco 6- and 18-Compartment Lockers"/>
    <n v="1856.19"/>
    <n v="7"/>
    <n v="0"/>
    <n v="334.11419999999987"/>
  </r>
  <r>
    <n v="226"/>
    <s v="US-2023-131275"/>
    <x v="55"/>
    <x v="54"/>
    <s v="Standard Class"/>
    <s v="SC-20050"/>
    <x v="92"/>
    <x v="1"/>
    <x v="0"/>
    <s v="Burbank"/>
    <x v="5"/>
    <n v="91505"/>
    <x v="3"/>
    <s v="TEC-MA-10001148"/>
    <x v="2"/>
    <x v="15"/>
    <s v="Swingline SM12-08 MicroCut Jam Free Shredder"/>
    <n v="1279.9680000000001"/>
    <n v="4"/>
    <n v="0.2"/>
    <n v="415.98959999999994"/>
  </r>
  <r>
    <n v="227"/>
    <s v="US-2023-145317"/>
    <x v="55"/>
    <x v="56"/>
    <s v="Standard Class"/>
    <s v="SM-20320"/>
    <x v="91"/>
    <x v="1"/>
    <x v="0"/>
    <s v="Jacksonville"/>
    <x v="16"/>
    <n v="32216"/>
    <x v="2"/>
    <s v="TEC-MA-10002412"/>
    <x v="2"/>
    <x v="15"/>
    <s v="Cisco TelePresence System EX90 Videoconferencing Unit"/>
    <n v="22638.48"/>
    <n v="6"/>
    <n v="0.5"/>
    <n v="-1811.0784000000021"/>
  </r>
  <r>
    <n v="228"/>
    <s v="US-2023-145317"/>
    <x v="55"/>
    <x v="56"/>
    <s v="Standard Class"/>
    <s v="SM-20320"/>
    <x v="91"/>
    <x v="1"/>
    <x v="0"/>
    <s v="Jacksonville"/>
    <x v="16"/>
    <n v="32216"/>
    <x v="2"/>
    <s v="TEC-MA-10003626"/>
    <x v="2"/>
    <x v="15"/>
    <s v="Hewlett-Packard Deskjet 6540 Color Inkjet Printer"/>
    <n v="821.3"/>
    <n v="4"/>
    <n v="0.5"/>
    <n v="-16.426000000000045"/>
  </r>
  <r>
    <n v="229"/>
    <s v="US-2023-103989"/>
    <x v="56"/>
    <x v="53"/>
    <s v="First Class"/>
    <s v="MC-17605"/>
    <x v="93"/>
    <x v="2"/>
    <x v="0"/>
    <s v="Lakeland"/>
    <x v="16"/>
    <n v="33801"/>
    <x v="2"/>
    <s v="FUR-FU-10002508"/>
    <x v="1"/>
    <x v="8"/>
    <s v="Document Clip Frames"/>
    <n v="20.016000000000002"/>
    <n v="3"/>
    <n v="0.2"/>
    <n v="5.5044000000000013"/>
  </r>
  <r>
    <n v="230"/>
    <s v="US-2023-103989"/>
    <x v="56"/>
    <x v="53"/>
    <s v="First Class"/>
    <s v="MC-17605"/>
    <x v="93"/>
    <x v="2"/>
    <x v="0"/>
    <s v="Lakeland"/>
    <x v="16"/>
    <n v="33801"/>
    <x v="2"/>
    <s v="FUR-FU-10003981"/>
    <x v="1"/>
    <x v="8"/>
    <s v="Eldon Wave Desk Accessories"/>
    <n v="4.9920000000000009"/>
    <n v="3"/>
    <n v="0.2"/>
    <n v="1.3728000000000002"/>
  </r>
  <r>
    <n v="231"/>
    <s v="US-2023-103989"/>
    <x v="56"/>
    <x v="53"/>
    <s v="First Class"/>
    <s v="MC-17605"/>
    <x v="93"/>
    <x v="2"/>
    <x v="0"/>
    <s v="Lakeland"/>
    <x v="16"/>
    <n v="33801"/>
    <x v="2"/>
    <s v="OFF-BI-10001196"/>
    <x v="0"/>
    <x v="1"/>
    <s v="Avery Flip-Chart Easel Binder, Black"/>
    <n v="33.57"/>
    <n v="5"/>
    <n v="0.7"/>
    <n v="-25.737000000000002"/>
  </r>
  <r>
    <n v="232"/>
    <s v="US-2023-103989"/>
    <x v="56"/>
    <x v="53"/>
    <s v="First Class"/>
    <s v="MC-17605"/>
    <x v="93"/>
    <x v="2"/>
    <x v="0"/>
    <s v="Lakeland"/>
    <x v="16"/>
    <n v="33801"/>
    <x v="2"/>
    <s v="OFF-LA-10000443"/>
    <x v="0"/>
    <x v="2"/>
    <s v="Avery 501"/>
    <n v="11.808"/>
    <n v="4"/>
    <n v="0.2"/>
    <n v="3.9851999999999999"/>
  </r>
  <r>
    <n v="233"/>
    <s v="US-2023-103989"/>
    <x v="56"/>
    <x v="53"/>
    <s v="First Class"/>
    <s v="MC-17605"/>
    <x v="93"/>
    <x v="2"/>
    <x v="0"/>
    <s v="Lakeland"/>
    <x v="16"/>
    <n v="33801"/>
    <x v="2"/>
    <s v="OFF-ST-10000918"/>
    <x v="0"/>
    <x v="3"/>
    <s v="Crate-A-Files"/>
    <n v="26.160000000000004"/>
    <n v="3"/>
    <n v="0.2"/>
    <n v="1.961999999999998"/>
  </r>
  <r>
    <n v="234"/>
    <s v="US-2023-103989"/>
    <x v="56"/>
    <x v="53"/>
    <s v="First Class"/>
    <s v="MC-17605"/>
    <x v="93"/>
    <x v="2"/>
    <x v="0"/>
    <s v="Lakeland"/>
    <x v="16"/>
    <n v="33801"/>
    <x v="2"/>
    <s v="TEC-AC-10002647"/>
    <x v="2"/>
    <x v="9"/>
    <s v="Logitech Wireless Boombox Speaker - portable - wireless, wired"/>
    <n v="170.24"/>
    <n v="2"/>
    <n v="0.2"/>
    <n v="53.199999999999989"/>
  </r>
  <r>
    <n v="235"/>
    <s v="US-2023-103989"/>
    <x v="56"/>
    <x v="53"/>
    <s v="First Class"/>
    <s v="MC-17605"/>
    <x v="93"/>
    <x v="2"/>
    <x v="0"/>
    <s v="Lakeland"/>
    <x v="16"/>
    <n v="33801"/>
    <x v="2"/>
    <s v="TEC-PH-10004667"/>
    <x v="2"/>
    <x v="7"/>
    <s v="Cisco 8x8 Inc. 6753i IP Business Phone System"/>
    <n v="323.97600000000006"/>
    <n v="3"/>
    <n v="0.2"/>
    <n v="28.347899999999981"/>
  </r>
  <r>
    <n v="236"/>
    <s v="US-2023-155544"/>
    <x v="57"/>
    <x v="57"/>
    <s v="Standard Class"/>
    <s v="GM-14440"/>
    <x v="94"/>
    <x v="0"/>
    <x v="0"/>
    <s v="Knoxville"/>
    <x v="15"/>
    <n v="37918"/>
    <x v="2"/>
    <s v="FUR-CH-10000422"/>
    <x v="1"/>
    <x v="5"/>
    <s v="Global Highback Leather Tilter in Burgundy"/>
    <n v="218.376"/>
    <n v="3"/>
    <n v="0.2"/>
    <n v="-10.918799999999983"/>
  </r>
  <r>
    <n v="237"/>
    <s v="US-2023-155544"/>
    <x v="57"/>
    <x v="57"/>
    <s v="Standard Class"/>
    <s v="GM-14440"/>
    <x v="94"/>
    <x v="0"/>
    <x v="0"/>
    <s v="Knoxville"/>
    <x v="15"/>
    <n v="37918"/>
    <x v="2"/>
    <s v="FUR-FU-10001473"/>
    <x v="1"/>
    <x v="8"/>
    <s v="DAX Wood Document Frame"/>
    <n v="32.952000000000005"/>
    <n v="3"/>
    <n v="0.2"/>
    <n v="6.5903999999999989"/>
  </r>
  <r>
    <n v="238"/>
    <s v="US-2023-163223"/>
    <x v="57"/>
    <x v="57"/>
    <s v="Standard Class"/>
    <s v="KH-16690"/>
    <x v="95"/>
    <x v="2"/>
    <x v="0"/>
    <s v="Springfield"/>
    <x v="6"/>
    <n v="22153"/>
    <x v="2"/>
    <s v="OFF-AR-10001573"/>
    <x v="0"/>
    <x v="4"/>
    <s v="American Pencil"/>
    <n v="9.32"/>
    <n v="4"/>
    <n v="0"/>
    <n v="2.702799999999999"/>
  </r>
  <r>
    <n v="239"/>
    <s v="US-2023-140004"/>
    <x v="57"/>
    <x v="57"/>
    <s v="Standard Class"/>
    <s v="CB-12025"/>
    <x v="96"/>
    <x v="0"/>
    <x v="0"/>
    <s v="Hamilton"/>
    <x v="9"/>
    <n v="45011"/>
    <x v="1"/>
    <s v="OFF-AR-10004027"/>
    <x v="0"/>
    <x v="4"/>
    <s v="Binney &amp; Smith inkTank Erasable Desk Highlighter, Chisel Tip, Yellow, 12/Box"/>
    <n v="6.048"/>
    <n v="3"/>
    <n v="0.2"/>
    <n v="1.5876000000000006"/>
  </r>
  <r>
    <n v="240"/>
    <s v="US-2023-140004"/>
    <x v="57"/>
    <x v="57"/>
    <s v="Standard Class"/>
    <s v="CB-12025"/>
    <x v="96"/>
    <x v="0"/>
    <x v="0"/>
    <s v="Hamilton"/>
    <x v="9"/>
    <n v="45011"/>
    <x v="1"/>
    <s v="OFF-AR-10004685"/>
    <x v="0"/>
    <x v="4"/>
    <s v="Binney &amp; Smith Crayola Metallic Colored Pencils, 8-Color Set"/>
    <n v="7.4080000000000004"/>
    <n v="2"/>
    <n v="0.2"/>
    <n v="1.2037999999999995"/>
  </r>
  <r>
    <n v="241"/>
    <s v="US-2023-163223"/>
    <x v="57"/>
    <x v="57"/>
    <s v="Standard Class"/>
    <s v="KH-16690"/>
    <x v="95"/>
    <x v="2"/>
    <x v="0"/>
    <s v="Springfield"/>
    <x v="6"/>
    <n v="22153"/>
    <x v="2"/>
    <s v="OFF-BI-10001597"/>
    <x v="0"/>
    <x v="1"/>
    <s v="Wilson Jones Ledger-Size, Piano-Hinge Binder, 2&quot;, Blue"/>
    <n v="122.94"/>
    <n v="3"/>
    <n v="0"/>
    <n v="59.011199999999988"/>
  </r>
  <r>
    <n v="242"/>
    <s v="US-2023-163223"/>
    <x v="57"/>
    <x v="57"/>
    <s v="Standard Class"/>
    <s v="KH-16690"/>
    <x v="95"/>
    <x v="2"/>
    <x v="0"/>
    <s v="Springfield"/>
    <x v="6"/>
    <n v="22153"/>
    <x v="2"/>
    <s v="OFF-LA-10004409"/>
    <x v="0"/>
    <x v="2"/>
    <s v="Avery 492"/>
    <n v="14.399999999999999"/>
    <n v="5"/>
    <n v="0"/>
    <n v="6.6239999999999988"/>
  </r>
  <r>
    <n v="243"/>
    <s v="US-2023-155544"/>
    <x v="57"/>
    <x v="57"/>
    <s v="Standard Class"/>
    <s v="GM-14440"/>
    <x v="94"/>
    <x v="0"/>
    <x v="0"/>
    <s v="Knoxville"/>
    <x v="15"/>
    <n v="37918"/>
    <x v="2"/>
    <s v="OFF-LA-10004544"/>
    <x v="0"/>
    <x v="2"/>
    <s v="Avery 505"/>
    <n v="59.20000000000001"/>
    <n v="5"/>
    <n v="0.2"/>
    <n v="22.199999999999996"/>
  </r>
  <r>
    <n v="244"/>
    <s v="US-2023-163223"/>
    <x v="57"/>
    <x v="57"/>
    <s v="Standard Class"/>
    <s v="KH-16690"/>
    <x v="95"/>
    <x v="2"/>
    <x v="0"/>
    <s v="Springfield"/>
    <x v="6"/>
    <n v="22153"/>
    <x v="2"/>
    <s v="OFF-PA-10000675"/>
    <x v="0"/>
    <x v="0"/>
    <s v="Xerox 1919"/>
    <n v="122.97"/>
    <n v="3"/>
    <n v="0"/>
    <n v="60.255300000000005"/>
  </r>
  <r>
    <n v="245"/>
    <s v="US-2023-107405"/>
    <x v="57"/>
    <x v="57"/>
    <s v="Standard Class"/>
    <s v="TS-21205"/>
    <x v="97"/>
    <x v="2"/>
    <x v="0"/>
    <s v="Asheville"/>
    <x v="26"/>
    <n v="28806"/>
    <x v="2"/>
    <s v="OFF-ST-10002301"/>
    <x v="0"/>
    <x v="3"/>
    <s v="Tennsco Commercial Shelving"/>
    <n v="16.272000000000002"/>
    <n v="1"/>
    <n v="0.2"/>
    <n v="-3.864600000000002"/>
  </r>
  <r>
    <n v="246"/>
    <s v="US-2023-163223"/>
    <x v="57"/>
    <x v="57"/>
    <s v="Standard Class"/>
    <s v="KH-16690"/>
    <x v="95"/>
    <x v="2"/>
    <x v="0"/>
    <s v="Springfield"/>
    <x v="6"/>
    <n v="22153"/>
    <x v="2"/>
    <s v="TEC-PH-10000730"/>
    <x v="2"/>
    <x v="7"/>
    <s v="Samsung Galaxy S4 Active"/>
    <n v="3499.9300000000003"/>
    <n v="7"/>
    <n v="0"/>
    <n v="909.98180000000025"/>
  </r>
  <r>
    <n v="247"/>
    <s v="US-2023-148040"/>
    <x v="58"/>
    <x v="58"/>
    <s v="Standard Class"/>
    <s v="BF-11275"/>
    <x v="98"/>
    <x v="2"/>
    <x v="0"/>
    <s v="Tucson"/>
    <x v="12"/>
    <n v="85705"/>
    <x v="3"/>
    <s v="FUR-CH-10001482"/>
    <x v="1"/>
    <x v="5"/>
    <s v="Office Star - Mesh Screen back chair with Vinyl seat"/>
    <n v="314.35199999999998"/>
    <n v="3"/>
    <n v="0.2"/>
    <n v="-35.36460000000001"/>
  </r>
  <r>
    <n v="248"/>
    <s v="US-2023-129609"/>
    <x v="58"/>
    <x v="59"/>
    <s v="Same Day"/>
    <s v="VM-21835"/>
    <x v="99"/>
    <x v="0"/>
    <x v="0"/>
    <s v="Portage"/>
    <x v="18"/>
    <n v="46368"/>
    <x v="0"/>
    <s v="OFF-AR-10003478"/>
    <x v="0"/>
    <x v="4"/>
    <s v="Avery Hi-Liter EverBold Pen Style Fluorescent Highlighters, 4/Pack"/>
    <n v="16.28"/>
    <n v="2"/>
    <n v="0"/>
    <n v="6.5120000000000005"/>
  </r>
  <r>
    <n v="249"/>
    <s v="US-2023-158057"/>
    <x v="58"/>
    <x v="58"/>
    <s v="Standard Class"/>
    <s v="CC-12685"/>
    <x v="100"/>
    <x v="0"/>
    <x v="0"/>
    <s v="Greensboro"/>
    <x v="26"/>
    <n v="27405"/>
    <x v="2"/>
    <s v="OFF-BI-10002735"/>
    <x v="0"/>
    <x v="1"/>
    <s v="GBC Prestige Therm-A-Bind Covers"/>
    <n v="51.465000000000018"/>
    <n v="5"/>
    <n v="0.7"/>
    <n v="-39.456499999999991"/>
  </r>
  <r>
    <n v="250"/>
    <s v="US-2023-158057"/>
    <x v="58"/>
    <x v="58"/>
    <s v="Standard Class"/>
    <s v="CC-12685"/>
    <x v="100"/>
    <x v="0"/>
    <x v="0"/>
    <s v="Greensboro"/>
    <x v="26"/>
    <n v="27405"/>
    <x v="2"/>
    <s v="OFF-BI-10004410"/>
    <x v="0"/>
    <x v="1"/>
    <s v="C-Line Peel &amp; Stick Add-On Filing Pockets, 8-3/4 x 5-1/8, 10/Pack"/>
    <n v="7.644000000000001"/>
    <n v="4"/>
    <n v="0.7"/>
    <n v="-5.8603999999999985"/>
  </r>
  <r>
    <n v="251"/>
    <s v="US-2023-148040"/>
    <x v="58"/>
    <x v="58"/>
    <s v="Standard Class"/>
    <s v="BF-11275"/>
    <x v="98"/>
    <x v="2"/>
    <x v="0"/>
    <s v="Tucson"/>
    <x v="12"/>
    <n v="85705"/>
    <x v="3"/>
    <s v="OFF-PA-10002581"/>
    <x v="0"/>
    <x v="0"/>
    <s v="Xerox 1951"/>
    <n v="74.352000000000004"/>
    <n v="3"/>
    <n v="0.2"/>
    <n v="23.234999999999992"/>
  </r>
  <r>
    <n v="252"/>
    <s v="US-2023-164749"/>
    <x v="59"/>
    <x v="58"/>
    <s v="First Class"/>
    <s v="BG-11740"/>
    <x v="101"/>
    <x v="0"/>
    <x v="0"/>
    <s v="Delray Beach"/>
    <x v="16"/>
    <n v="33445"/>
    <x v="2"/>
    <s v="OFF-LA-10004484"/>
    <x v="0"/>
    <x v="2"/>
    <s v="Avery 476"/>
    <n v="9.9120000000000008"/>
    <n v="3"/>
    <n v="0.2"/>
    <n v="3.2213999999999996"/>
  </r>
  <r>
    <n v="253"/>
    <s v="US-2023-120838"/>
    <x v="59"/>
    <x v="58"/>
    <s v="Second Class"/>
    <s v="PO-18865"/>
    <x v="102"/>
    <x v="0"/>
    <x v="0"/>
    <s v="Los Angeles"/>
    <x v="5"/>
    <n v="90036"/>
    <x v="3"/>
    <s v="OFF-ST-10000585"/>
    <x v="0"/>
    <x v="3"/>
    <s v="Economy Rollaway Files"/>
    <n v="330.4"/>
    <n v="2"/>
    <n v="0"/>
    <n v="85.903999999999996"/>
  </r>
  <r>
    <n v="254"/>
    <s v="US-2023-120838"/>
    <x v="59"/>
    <x v="58"/>
    <s v="Second Class"/>
    <s v="PO-18865"/>
    <x v="102"/>
    <x v="0"/>
    <x v="0"/>
    <s v="Los Angeles"/>
    <x v="5"/>
    <n v="90036"/>
    <x v="3"/>
    <s v="TEC-PH-10003484"/>
    <x v="2"/>
    <x v="7"/>
    <s v="Ooma Telo VoIP Home Phone System"/>
    <n v="604.75199999999995"/>
    <n v="6"/>
    <n v="0.2"/>
    <n v="37.797000000000025"/>
  </r>
  <r>
    <n v="255"/>
    <s v="US-2023-143637"/>
    <x v="60"/>
    <x v="60"/>
    <s v="Second Class"/>
    <s v="MS-17710"/>
    <x v="103"/>
    <x v="0"/>
    <x v="0"/>
    <s v="Fresno"/>
    <x v="5"/>
    <n v="93727"/>
    <x v="3"/>
    <s v="FUR-FU-10002813"/>
    <x v="1"/>
    <x v="8"/>
    <s v="DAX Contemporary Wood Frame with Silver Metal Mat, Desktop, 11 x 14 Size"/>
    <n v="40.479999999999997"/>
    <n v="2"/>
    <n v="0"/>
    <n v="14.572799999999997"/>
  </r>
  <r>
    <n v="256"/>
    <s v="US-2023-147235"/>
    <x v="60"/>
    <x v="61"/>
    <s v="Standard Class"/>
    <s v="CD-11920"/>
    <x v="104"/>
    <x v="0"/>
    <x v="0"/>
    <s v="New York City"/>
    <x v="21"/>
    <n v="10024"/>
    <x v="1"/>
    <s v="OFF-PA-10004948"/>
    <x v="0"/>
    <x v="0"/>
    <s v="Xerox 190"/>
    <n v="24.900000000000002"/>
    <n v="5"/>
    <n v="0"/>
    <n v="11.703000000000001"/>
  </r>
  <r>
    <n v="257"/>
    <s v="US-2023-148586"/>
    <x v="61"/>
    <x v="62"/>
    <s v="Standard Class"/>
    <s v="AZ-10750"/>
    <x v="88"/>
    <x v="0"/>
    <x v="0"/>
    <s v="New York City"/>
    <x v="21"/>
    <n v="10009"/>
    <x v="1"/>
    <s v="FUR-CH-10002439"/>
    <x v="1"/>
    <x v="5"/>
    <s v="Iceberg Nesting Folding Chair, 19w x 6d x 43h"/>
    <n v="366.786"/>
    <n v="7"/>
    <n v="0.1"/>
    <n v="65.206400000000002"/>
  </r>
  <r>
    <n v="258"/>
    <s v="US-2023-128237"/>
    <x v="61"/>
    <x v="63"/>
    <s v="Standard Class"/>
    <s v="CA-12265"/>
    <x v="105"/>
    <x v="0"/>
    <x v="0"/>
    <s v="San Francisco"/>
    <x v="5"/>
    <n v="94110"/>
    <x v="3"/>
    <s v="OFF-AR-10000034"/>
    <x v="0"/>
    <x v="4"/>
    <s v="BIC Brite Liner Grip Highlighters, Assorted, 5/Pack"/>
    <n v="25.44"/>
    <n v="6"/>
    <n v="0"/>
    <n v="9.9215999999999998"/>
  </r>
  <r>
    <n v="259"/>
    <s v="US-2023-128237"/>
    <x v="61"/>
    <x v="63"/>
    <s v="Standard Class"/>
    <s v="CA-12265"/>
    <x v="105"/>
    <x v="0"/>
    <x v="0"/>
    <s v="San Francisco"/>
    <x v="5"/>
    <n v="94110"/>
    <x v="3"/>
    <s v="OFF-AR-10003338"/>
    <x v="0"/>
    <x v="4"/>
    <s v="Eberhard Faber 3 1/2&quot; Golf Pencils"/>
    <n v="14.88"/>
    <n v="2"/>
    <n v="0"/>
    <n v="3.7200000000000006"/>
  </r>
  <r>
    <n v="260"/>
    <s v="US-2023-128237"/>
    <x v="61"/>
    <x v="63"/>
    <s v="Standard Class"/>
    <s v="CA-12265"/>
    <x v="105"/>
    <x v="0"/>
    <x v="0"/>
    <s v="San Francisco"/>
    <x v="5"/>
    <n v="94110"/>
    <x v="3"/>
    <s v="OFF-AR-10003829"/>
    <x v="0"/>
    <x v="4"/>
    <s v="Newell 35"/>
    <n v="6.56"/>
    <n v="2"/>
    <n v="0"/>
    <n v="1.9023999999999992"/>
  </r>
  <r>
    <n v="261"/>
    <s v="US-2023-128237"/>
    <x v="61"/>
    <x v="63"/>
    <s v="Standard Class"/>
    <s v="CA-12265"/>
    <x v="105"/>
    <x v="0"/>
    <x v="0"/>
    <s v="San Francisco"/>
    <x v="5"/>
    <n v="94110"/>
    <x v="3"/>
    <s v="TEC-AC-10002558"/>
    <x v="2"/>
    <x v="9"/>
    <s v="Imation Swivel Flash Drive USB flash drive - 8 GB"/>
    <n v="45.48"/>
    <n v="4"/>
    <n v="0"/>
    <n v="15.917999999999999"/>
  </r>
  <r>
    <n v="262"/>
    <s v="US-2023-141838"/>
    <x v="62"/>
    <x v="64"/>
    <s v="Second Class"/>
    <s v="DK-12835"/>
    <x v="106"/>
    <x v="2"/>
    <x v="0"/>
    <s v="San Francisco"/>
    <x v="5"/>
    <n v="94122"/>
    <x v="3"/>
    <s v="OFF-AR-10004272"/>
    <x v="0"/>
    <x v="4"/>
    <s v="Newell 308"/>
    <n v="3.36"/>
    <n v="2"/>
    <n v="0"/>
    <n v="0.83999999999999986"/>
  </r>
  <r>
    <n v="263"/>
    <s v="US-2023-141838"/>
    <x v="62"/>
    <x v="64"/>
    <s v="Second Class"/>
    <s v="DK-12835"/>
    <x v="106"/>
    <x v="2"/>
    <x v="0"/>
    <s v="San Francisco"/>
    <x v="5"/>
    <n v="94122"/>
    <x v="3"/>
    <s v="OFF-BI-10003291"/>
    <x v="0"/>
    <x v="1"/>
    <s v="Wilson Jones Leather-Like Binders with DublLock Round Rings"/>
    <n v="27.936000000000003"/>
    <n v="4"/>
    <n v="0.2"/>
    <n v="9.4283999999999963"/>
  </r>
  <r>
    <n v="264"/>
    <s v="US-2023-100860"/>
    <x v="62"/>
    <x v="63"/>
    <s v="Second Class"/>
    <s v="CS-12505"/>
    <x v="107"/>
    <x v="0"/>
    <x v="0"/>
    <s v="Pomona"/>
    <x v="5"/>
    <n v="91767"/>
    <x v="3"/>
    <s v="OFF-LA-10001982"/>
    <x v="0"/>
    <x v="2"/>
    <s v="Smead Alpha-Z Color-Coded Name Labels First Letter Starter Set"/>
    <n v="18.75"/>
    <n v="5"/>
    <n v="0"/>
    <n v="9"/>
  </r>
  <r>
    <n v="265"/>
    <s v="US-2023-138436"/>
    <x v="62"/>
    <x v="63"/>
    <s v="Standard Class"/>
    <s v="JD-15895"/>
    <x v="108"/>
    <x v="2"/>
    <x v="0"/>
    <s v="Los Angeles"/>
    <x v="5"/>
    <n v="90036"/>
    <x v="3"/>
    <s v="TEC-AC-10002323"/>
    <x v="2"/>
    <x v="9"/>
    <s v="SanDisk Ultra 32 GB MicroSDHC Class 10 Memory Card"/>
    <n v="66.300000000000011"/>
    <n v="3"/>
    <n v="0"/>
    <n v="8.6190000000000033"/>
  </r>
  <r>
    <n v="266"/>
    <s v="US-2023-141838"/>
    <x v="62"/>
    <x v="64"/>
    <s v="Second Class"/>
    <s v="DK-12835"/>
    <x v="106"/>
    <x v="2"/>
    <x v="0"/>
    <s v="San Francisco"/>
    <x v="5"/>
    <n v="94122"/>
    <x v="3"/>
    <s v="TEC-PH-10004100"/>
    <x v="2"/>
    <x v="7"/>
    <s v="Griffin GC17055 Auxiliary Audio Cable"/>
    <n v="28.783999999999999"/>
    <n v="2"/>
    <n v="0.2"/>
    <n v="2.878400000000001"/>
  </r>
  <r>
    <n v="267"/>
    <s v="US-2023-117380"/>
    <x v="63"/>
    <x v="65"/>
    <s v="Standard Class"/>
    <s v="MP-18175"/>
    <x v="109"/>
    <x v="1"/>
    <x v="0"/>
    <s v="Springfield"/>
    <x v="9"/>
    <n v="45503"/>
    <x v="1"/>
    <s v="FUR-TA-10000198"/>
    <x v="1"/>
    <x v="13"/>
    <s v="Chromcraft Bull-Nose Wood Oval Conference Tables &amp; Bases"/>
    <n v="330.58800000000002"/>
    <n v="1"/>
    <n v="0.4"/>
    <n v="-143.25480000000002"/>
  </r>
  <r>
    <n v="268"/>
    <s v="US-2023-137869"/>
    <x v="63"/>
    <x v="66"/>
    <s v="Standard Class"/>
    <s v="CV-12295"/>
    <x v="110"/>
    <x v="0"/>
    <x v="0"/>
    <s v="Des Moines"/>
    <x v="32"/>
    <n v="50315"/>
    <x v="0"/>
    <s v="FUR-TA-10003954"/>
    <x v="1"/>
    <x v="13"/>
    <s v="Hon 94000 Series Round Tables"/>
    <n v="1184.72"/>
    <n v="4"/>
    <n v="0"/>
    <n v="106.62480000000005"/>
  </r>
  <r>
    <n v="269"/>
    <s v="US-2023-137869"/>
    <x v="63"/>
    <x v="66"/>
    <s v="Standard Class"/>
    <s v="CV-12295"/>
    <x v="110"/>
    <x v="0"/>
    <x v="0"/>
    <s v="Des Moines"/>
    <x v="32"/>
    <n v="50315"/>
    <x v="0"/>
    <s v="OFF-EN-10001509"/>
    <x v="0"/>
    <x v="11"/>
    <s v="Poly String Tie Envelopes"/>
    <n v="6.12"/>
    <n v="3"/>
    <n v="0"/>
    <n v="2.8763999999999994"/>
  </r>
  <r>
    <n v="270"/>
    <s v="US-2023-100881"/>
    <x v="63"/>
    <x v="62"/>
    <s v="Standard Class"/>
    <s v="DR-12940"/>
    <x v="111"/>
    <x v="1"/>
    <x v="0"/>
    <s v="Albuquerque"/>
    <x v="33"/>
    <n v="87105"/>
    <x v="3"/>
    <s v="TEC-PH-10003273"/>
    <x v="2"/>
    <x v="7"/>
    <s v="AT&amp;T TR1909W"/>
    <n v="302.37599999999998"/>
    <n v="3"/>
    <n v="0.2"/>
    <n v="22.678200000000018"/>
  </r>
  <r>
    <n v="271"/>
    <s v="US-2023-137274"/>
    <x v="64"/>
    <x v="66"/>
    <s v="Standard Class"/>
    <s v="MG-18145"/>
    <x v="112"/>
    <x v="0"/>
    <x v="0"/>
    <s v="Plano"/>
    <x v="0"/>
    <n v="75023"/>
    <x v="0"/>
    <s v="FUR-TA-10001889"/>
    <x v="1"/>
    <x v="13"/>
    <s v="Bush Advantage Collection Racetrack Conference Table"/>
    <n v="890.84099999999989"/>
    <n v="3"/>
    <n v="0.3"/>
    <n v="-152.71559999999999"/>
  </r>
  <r>
    <n v="272"/>
    <s v="US-2023-131247"/>
    <x v="65"/>
    <x v="67"/>
    <s v="Standard Class"/>
    <s v="GA-14725"/>
    <x v="41"/>
    <x v="0"/>
    <x v="0"/>
    <s v="San Francisco"/>
    <x v="5"/>
    <n v="94110"/>
    <x v="3"/>
    <s v="FUR-BO-10001337"/>
    <x v="1"/>
    <x v="10"/>
    <s v="O'Sullivan Living Dimensions 2-Shelf Bookcases"/>
    <n v="205.666"/>
    <n v="2"/>
    <n v="0.15"/>
    <n v="-12.097999999999999"/>
  </r>
  <r>
    <n v="273"/>
    <s v="US-2023-162089"/>
    <x v="65"/>
    <x v="62"/>
    <s v="First Class"/>
    <s v="MP-17470"/>
    <x v="113"/>
    <x v="1"/>
    <x v="0"/>
    <s v="Brownsville"/>
    <x v="0"/>
    <n v="78521"/>
    <x v="0"/>
    <s v="FUR-CH-10002304"/>
    <x v="1"/>
    <x v="5"/>
    <s v="Global Stack Chair without Arms, Black"/>
    <n v="127.30199999999999"/>
    <n v="7"/>
    <n v="0.3"/>
    <n v="-9.0929999999999964"/>
  </r>
  <r>
    <n v="274"/>
    <s v="US-2023-105151"/>
    <x v="65"/>
    <x v="64"/>
    <s v="First Class"/>
    <s v="SG-20890"/>
    <x v="114"/>
    <x v="2"/>
    <x v="0"/>
    <s v="New York City"/>
    <x v="21"/>
    <n v="10009"/>
    <x v="1"/>
    <s v="OFF-AR-10001231"/>
    <x v="0"/>
    <x v="4"/>
    <s v="Sanford EarthWrite Recycled Pencils, Medium Soft, #2"/>
    <n v="10.5"/>
    <n v="5"/>
    <n v="0"/>
    <n v="2.9400000000000004"/>
  </r>
  <r>
    <n v="275"/>
    <s v="US-2023-169033"/>
    <x v="65"/>
    <x v="65"/>
    <s v="Standard Class"/>
    <s v="KM-16720"/>
    <x v="115"/>
    <x v="0"/>
    <x v="0"/>
    <s v="Long Beach"/>
    <x v="21"/>
    <n v="11561"/>
    <x v="1"/>
    <s v="OFF-AR-10001915"/>
    <x v="0"/>
    <x v="4"/>
    <s v="Peel-Off China Markers"/>
    <n v="49.65"/>
    <n v="5"/>
    <n v="0"/>
    <n v="20.853000000000002"/>
  </r>
  <r>
    <n v="276"/>
    <s v="US-2023-162089"/>
    <x v="65"/>
    <x v="62"/>
    <s v="First Class"/>
    <s v="MP-17470"/>
    <x v="113"/>
    <x v="1"/>
    <x v="0"/>
    <s v="Brownsville"/>
    <x v="0"/>
    <n v="78521"/>
    <x v="0"/>
    <s v="OFF-EN-10002230"/>
    <x v="0"/>
    <x v="11"/>
    <s v="Airmail Envelopes"/>
    <n v="335.72"/>
    <n v="5"/>
    <n v="0.2"/>
    <n v="113.30549999999999"/>
  </r>
  <r>
    <n v="277"/>
    <s v="US-2023-133424"/>
    <x v="65"/>
    <x v="67"/>
    <s v="Standard Class"/>
    <s v="Dl-13600"/>
    <x v="116"/>
    <x v="2"/>
    <x v="0"/>
    <s v="Seattle"/>
    <x v="23"/>
    <n v="98105"/>
    <x v="3"/>
    <s v="OFF-LA-10002312"/>
    <x v="0"/>
    <x v="2"/>
    <s v="Avery 490"/>
    <n v="44.400000000000006"/>
    <n v="3"/>
    <n v="0"/>
    <n v="22.200000000000003"/>
  </r>
  <r>
    <n v="278"/>
    <s v="US-2023-113124"/>
    <x v="65"/>
    <x v="68"/>
    <s v="Standard Class"/>
    <s v="NC-18340"/>
    <x v="117"/>
    <x v="0"/>
    <x v="0"/>
    <s v="Apple Valley"/>
    <x v="30"/>
    <n v="55124"/>
    <x v="0"/>
    <s v="OFF-ST-10001511"/>
    <x v="0"/>
    <x v="3"/>
    <s v="Space Solutions Commercial Steel Shelving"/>
    <n v="129.30000000000001"/>
    <n v="2"/>
    <n v="0"/>
    <n v="6.4649999999999892"/>
  </r>
  <r>
    <n v="279"/>
    <s v="US-2023-133424"/>
    <x v="65"/>
    <x v="67"/>
    <s v="Standard Class"/>
    <s v="Dl-13600"/>
    <x v="116"/>
    <x v="2"/>
    <x v="0"/>
    <s v="Seattle"/>
    <x v="23"/>
    <n v="98105"/>
    <x v="3"/>
    <s v="OFF-ST-10002957"/>
    <x v="0"/>
    <x v="3"/>
    <s v="Sterilite Show Offs Storage Containers"/>
    <n v="15.84"/>
    <n v="3"/>
    <n v="0"/>
    <n v="0"/>
  </r>
  <r>
    <n v="280"/>
    <s v="US-2023-162089"/>
    <x v="65"/>
    <x v="62"/>
    <s v="First Class"/>
    <s v="MP-17470"/>
    <x v="113"/>
    <x v="1"/>
    <x v="0"/>
    <s v="Brownsville"/>
    <x v="0"/>
    <n v="78521"/>
    <x v="0"/>
    <s v="TEC-PH-10001819"/>
    <x v="2"/>
    <x v="7"/>
    <s v="Innergie mMini Combo Duo USB Travel Charging Kit"/>
    <n v="251.94400000000002"/>
    <n v="7"/>
    <n v="0.2"/>
    <n v="88.180399999999977"/>
  </r>
  <r>
    <n v="281"/>
    <s v="US-2023-130428"/>
    <x v="66"/>
    <x v="64"/>
    <s v="Same Day"/>
    <s v="TG-21640"/>
    <x v="118"/>
    <x v="0"/>
    <x v="0"/>
    <s v="Tampa"/>
    <x v="16"/>
    <n v="33614"/>
    <x v="2"/>
    <s v="FUR-CH-10002965"/>
    <x v="1"/>
    <x v="5"/>
    <s v="Global Leather Highback Executive Chair with Pneumatic Height Adjustment, Black"/>
    <n v="1125.4879999999998"/>
    <n v="7"/>
    <n v="0.2"/>
    <n v="98.480200000000082"/>
  </r>
  <r>
    <n v="282"/>
    <s v="US-2023-128055"/>
    <x v="66"/>
    <x v="68"/>
    <s v="Standard Class"/>
    <s v="AA-10315"/>
    <x v="119"/>
    <x v="0"/>
    <x v="0"/>
    <s v="San Francisco"/>
    <x v="5"/>
    <n v="94122"/>
    <x v="3"/>
    <s v="OFF-AP-10002765"/>
    <x v="0"/>
    <x v="12"/>
    <s v="Fellowes Advanced Computer Series Surge Protectors"/>
    <n v="52.98"/>
    <n v="2"/>
    <n v="0"/>
    <n v="14.834400000000002"/>
  </r>
  <r>
    <n v="283"/>
    <s v="US-2023-130428"/>
    <x v="66"/>
    <x v="64"/>
    <s v="Same Day"/>
    <s v="TG-21640"/>
    <x v="118"/>
    <x v="0"/>
    <x v="0"/>
    <s v="Tampa"/>
    <x v="16"/>
    <n v="33614"/>
    <x v="2"/>
    <s v="OFF-AR-10004027"/>
    <x v="0"/>
    <x v="4"/>
    <s v="Binney &amp; Smith inkTank Erasable Desk Highlighter, Chisel Tip, Yellow, 12/Box"/>
    <n v="4.032"/>
    <n v="2"/>
    <n v="0.2"/>
    <n v="1.0584000000000002"/>
  </r>
  <r>
    <n v="284"/>
    <s v="US-2023-101770"/>
    <x v="66"/>
    <x v="67"/>
    <s v="Standard Class"/>
    <s v="KB-16240"/>
    <x v="120"/>
    <x v="2"/>
    <x v="0"/>
    <s v="Miami"/>
    <x v="16"/>
    <n v="33180"/>
    <x v="2"/>
    <s v="OFF-BI-10001097"/>
    <x v="0"/>
    <x v="1"/>
    <s v="Avery Hole Reinforcements"/>
    <n v="1.8690000000000004"/>
    <n v="1"/>
    <n v="0.7"/>
    <n v="-1.3082999999999996"/>
  </r>
  <r>
    <n v="285"/>
    <s v="US-2023-130428"/>
    <x v="66"/>
    <x v="64"/>
    <s v="Same Day"/>
    <s v="TG-21640"/>
    <x v="118"/>
    <x v="0"/>
    <x v="0"/>
    <s v="Tampa"/>
    <x v="16"/>
    <n v="33614"/>
    <x v="2"/>
    <s v="OFF-BI-10001636"/>
    <x v="0"/>
    <x v="1"/>
    <s v="Ibico Plastic and Wire Spiral Binding Combs"/>
    <n v="12.645000000000001"/>
    <n v="5"/>
    <n v="0.7"/>
    <n v="-10.116"/>
  </r>
  <r>
    <n v="286"/>
    <s v="US-2023-104759"/>
    <x v="66"/>
    <x v="67"/>
    <s v="Standard Class"/>
    <s v="DD-13570"/>
    <x v="121"/>
    <x v="0"/>
    <x v="0"/>
    <s v="Chicago"/>
    <x v="1"/>
    <n v="60610"/>
    <x v="0"/>
    <s v="OFF-BI-10002071"/>
    <x v="0"/>
    <x v="1"/>
    <s v="Fellowes Black Plastic Comb Bindings"/>
    <n v="8.1339999999999986"/>
    <n v="7"/>
    <n v="0.8"/>
    <n v="-13.827800000000003"/>
  </r>
  <r>
    <n v="287"/>
    <s v="US-2023-112403"/>
    <x v="66"/>
    <x v="64"/>
    <s v="Same Day"/>
    <s v="JO-15280"/>
    <x v="122"/>
    <x v="0"/>
    <x v="0"/>
    <s v="Philadelphia"/>
    <x v="2"/>
    <n v="19120"/>
    <x v="1"/>
    <s v="OFF-BI-10003529"/>
    <x v="0"/>
    <x v="1"/>
    <s v="Avery Round Ring Poly Binders"/>
    <n v="0.85200000000000009"/>
    <n v="1"/>
    <n v="0.7"/>
    <n v="-0.59639999999999982"/>
  </r>
  <r>
    <n v="288"/>
    <s v="US-2023-128055"/>
    <x v="66"/>
    <x v="68"/>
    <s v="Standard Class"/>
    <s v="AA-10315"/>
    <x v="119"/>
    <x v="0"/>
    <x v="0"/>
    <s v="San Francisco"/>
    <x v="5"/>
    <n v="94122"/>
    <x v="3"/>
    <s v="OFF-BI-10004390"/>
    <x v="0"/>
    <x v="1"/>
    <s v="GBC DocuBind 200 Manual Binding Machine"/>
    <n v="673.5680000000001"/>
    <n v="2"/>
    <n v="0.2"/>
    <n v="252.58799999999999"/>
  </r>
  <r>
    <n v="289"/>
    <s v="US-2023-104759"/>
    <x v="66"/>
    <x v="67"/>
    <s v="Standard Class"/>
    <s v="DD-13570"/>
    <x v="121"/>
    <x v="0"/>
    <x v="0"/>
    <s v="Chicago"/>
    <x v="1"/>
    <n v="60610"/>
    <x v="0"/>
    <s v="TEC-AC-10004901"/>
    <x v="2"/>
    <x v="9"/>
    <s v="Kensington SlimBlade Notebook Wireless Mouse with Nano Receiver"/>
    <n v="79.984000000000009"/>
    <n v="2"/>
    <n v="0.2"/>
    <n v="13.997199999999999"/>
  </r>
  <r>
    <n v="290"/>
    <s v="US-2023-157021"/>
    <x v="67"/>
    <x v="69"/>
    <s v="Second Class"/>
    <s v="KM-16720"/>
    <x v="115"/>
    <x v="0"/>
    <x v="0"/>
    <s v="Vallejo"/>
    <x v="5"/>
    <n v="94591"/>
    <x v="3"/>
    <s v="OFF-BI-10000042"/>
    <x v="0"/>
    <x v="1"/>
    <s v="Pressboard Data Binder, Crimson, 12&quot; X 8 1/2&quot;"/>
    <n v="17.088000000000001"/>
    <n v="4"/>
    <n v="0.2"/>
    <n v="5.5535999999999994"/>
  </r>
  <r>
    <n v="291"/>
    <s v="US-2023-138359"/>
    <x v="67"/>
    <x v="69"/>
    <s v="Standard Class"/>
    <s v="KH-16330"/>
    <x v="123"/>
    <x v="2"/>
    <x v="0"/>
    <s v="Revere"/>
    <x v="34"/>
    <n v="2151"/>
    <x v="1"/>
    <s v="OFF-BI-10000145"/>
    <x v="0"/>
    <x v="1"/>
    <s v="Zipper Ring Binder Pockets"/>
    <n v="6.24"/>
    <n v="2"/>
    <n v="0"/>
    <n v="3.0575999999999999"/>
  </r>
  <r>
    <n v="292"/>
    <s v="US-2023-157021"/>
    <x v="67"/>
    <x v="69"/>
    <s v="Second Class"/>
    <s v="KM-16720"/>
    <x v="115"/>
    <x v="0"/>
    <x v="0"/>
    <s v="Vallejo"/>
    <x v="5"/>
    <n v="94591"/>
    <x v="3"/>
    <s v="OFF-LA-10002312"/>
    <x v="0"/>
    <x v="2"/>
    <s v="Avery 490"/>
    <n v="29.6"/>
    <n v="2"/>
    <n v="0"/>
    <n v="14.8"/>
  </r>
  <r>
    <n v="293"/>
    <s v="US-2023-138359"/>
    <x v="67"/>
    <x v="69"/>
    <s v="Standard Class"/>
    <s v="KH-16330"/>
    <x v="123"/>
    <x v="2"/>
    <x v="0"/>
    <s v="Revere"/>
    <x v="34"/>
    <n v="2151"/>
    <x v="1"/>
    <s v="OFF-ST-10000636"/>
    <x v="0"/>
    <x v="3"/>
    <s v="Rogers Profile Extra Capacity Storage Tub"/>
    <n v="66.959999999999994"/>
    <n v="4"/>
    <n v="0"/>
    <n v="2.6783999999999963"/>
  </r>
  <r>
    <n v="294"/>
    <s v="US-2023-160276"/>
    <x v="68"/>
    <x v="70"/>
    <s v="Standard Class"/>
    <s v="AH-10690"/>
    <x v="124"/>
    <x v="2"/>
    <x v="0"/>
    <s v="Virginia Beach"/>
    <x v="6"/>
    <n v="23464"/>
    <x v="2"/>
    <s v="FUR-FU-10003192"/>
    <x v="1"/>
    <x v="8"/>
    <s v="Luxo Adjustable Task Clamp Lamp"/>
    <n v="177.68"/>
    <n v="2"/>
    <n v="0"/>
    <n v="46.196799999999996"/>
  </r>
  <r>
    <n v="295"/>
    <s v="US-2023-164315"/>
    <x v="68"/>
    <x v="70"/>
    <s v="Standard Class"/>
    <s v="RD-19585"/>
    <x v="125"/>
    <x v="0"/>
    <x v="0"/>
    <s v="Athens"/>
    <x v="4"/>
    <n v="30605"/>
    <x v="2"/>
    <s v="OFF-AP-10003842"/>
    <x v="0"/>
    <x v="12"/>
    <s v="Euro-Pro Shark Turbo Vacuum"/>
    <n v="154.9"/>
    <n v="5"/>
    <n v="0"/>
    <n v="40.274000000000001"/>
  </r>
  <r>
    <n v="296"/>
    <s v="US-2023-157847"/>
    <x v="68"/>
    <x v="69"/>
    <s v="Second Class"/>
    <s v="SC-20020"/>
    <x v="66"/>
    <x v="0"/>
    <x v="0"/>
    <s v="Houston"/>
    <x v="0"/>
    <n v="77095"/>
    <x v="0"/>
    <s v="OFF-PA-10001593"/>
    <x v="0"/>
    <x v="0"/>
    <s v="Xerox 1947"/>
    <n v="33.488000000000007"/>
    <n v="7"/>
    <n v="0.2"/>
    <n v="10.464999999999998"/>
  </r>
  <r>
    <n v="297"/>
    <s v="US-2023-157847"/>
    <x v="68"/>
    <x v="69"/>
    <s v="Second Class"/>
    <s v="SC-20020"/>
    <x v="66"/>
    <x v="0"/>
    <x v="0"/>
    <s v="Houston"/>
    <x v="0"/>
    <n v="77095"/>
    <x v="0"/>
    <s v="OFF-PA-10002986"/>
    <x v="0"/>
    <x v="0"/>
    <s v="Xerox 1898"/>
    <n v="26.720000000000002"/>
    <n v="5"/>
    <n v="0.2"/>
    <n v="9.3520000000000003"/>
  </r>
  <r>
    <n v="298"/>
    <s v="US-2023-164315"/>
    <x v="68"/>
    <x v="70"/>
    <s v="Standard Class"/>
    <s v="RD-19585"/>
    <x v="125"/>
    <x v="0"/>
    <x v="0"/>
    <s v="Athens"/>
    <x v="4"/>
    <n v="30605"/>
    <x v="2"/>
    <s v="OFF-PA-10004248"/>
    <x v="0"/>
    <x v="0"/>
    <s v="Xerox 1990"/>
    <n v="15.84"/>
    <n v="3"/>
    <n v="0"/>
    <n v="7.1280000000000001"/>
  </r>
  <r>
    <n v="299"/>
    <s v="US-2023-164315"/>
    <x v="68"/>
    <x v="70"/>
    <s v="Standard Class"/>
    <s v="RD-19585"/>
    <x v="125"/>
    <x v="0"/>
    <x v="0"/>
    <s v="Athens"/>
    <x v="4"/>
    <n v="30605"/>
    <x v="2"/>
    <s v="TEC-PH-10001128"/>
    <x v="2"/>
    <x v="7"/>
    <s v="Motorola Droid Maxx"/>
    <n v="1049.93"/>
    <n v="7"/>
    <n v="0"/>
    <n v="293.98040000000003"/>
  </r>
  <r>
    <n v="300"/>
    <s v="US-2023-112291"/>
    <x v="69"/>
    <x v="70"/>
    <s v="Standard Class"/>
    <s v="KE-16420"/>
    <x v="126"/>
    <x v="2"/>
    <x v="0"/>
    <s v="Los Angeles"/>
    <x v="5"/>
    <n v="90008"/>
    <x v="3"/>
    <s v="OFF-EN-10001415"/>
    <x v="0"/>
    <x v="11"/>
    <s v="Staple envelope"/>
    <n v="11.16"/>
    <n v="2"/>
    <n v="0"/>
    <n v="5.58"/>
  </r>
  <r>
    <n v="301"/>
    <s v="US-2023-112291"/>
    <x v="69"/>
    <x v="70"/>
    <s v="Standard Class"/>
    <s v="KE-16420"/>
    <x v="126"/>
    <x v="2"/>
    <x v="0"/>
    <s v="Los Angeles"/>
    <x v="5"/>
    <n v="90008"/>
    <x v="3"/>
    <s v="TEC-AC-10000736"/>
    <x v="2"/>
    <x v="9"/>
    <s v="Logitech G600 MMO Gaming Mouse"/>
    <n v="159.97999999999999"/>
    <n v="2"/>
    <n v="0"/>
    <n v="57.592799999999997"/>
  </r>
  <r>
    <n v="302"/>
    <s v="US-2023-112291"/>
    <x v="69"/>
    <x v="70"/>
    <s v="Standard Class"/>
    <s v="KE-16420"/>
    <x v="126"/>
    <x v="2"/>
    <x v="0"/>
    <s v="Los Angeles"/>
    <x v="5"/>
    <n v="90008"/>
    <x v="3"/>
    <s v="TEC-AC-10001284"/>
    <x v="2"/>
    <x v="9"/>
    <s v="Enermax Briskie RF Wireless Keyboard and Mouse Combo"/>
    <n v="62.31"/>
    <n v="3"/>
    <n v="0"/>
    <n v="22.4316"/>
  </r>
  <r>
    <n v="303"/>
    <s v="US-2023-133228"/>
    <x v="70"/>
    <x v="71"/>
    <s v="Standard Class"/>
    <s v="MS-17710"/>
    <x v="103"/>
    <x v="0"/>
    <x v="0"/>
    <s v="Detroit"/>
    <x v="14"/>
    <n v="48205"/>
    <x v="0"/>
    <s v="FUR-FU-10004020"/>
    <x v="1"/>
    <x v="8"/>
    <s v="Advantus Panel Wall Acrylic Frame"/>
    <n v="5.47"/>
    <n v="1"/>
    <n v="0"/>
    <n v="2.3521000000000001"/>
  </r>
  <r>
    <n v="304"/>
    <s v="US-2023-133228"/>
    <x v="70"/>
    <x v="71"/>
    <s v="Standard Class"/>
    <s v="MS-17710"/>
    <x v="103"/>
    <x v="0"/>
    <x v="0"/>
    <s v="Detroit"/>
    <x v="14"/>
    <n v="48205"/>
    <x v="0"/>
    <s v="OFF-AR-10001955"/>
    <x v="0"/>
    <x v="4"/>
    <s v="Newell 319"/>
    <n v="79.36"/>
    <n v="4"/>
    <n v="0"/>
    <n v="23.807999999999993"/>
  </r>
  <r>
    <n v="305"/>
    <s v="US-2023-128685"/>
    <x v="70"/>
    <x v="68"/>
    <s v="First Class"/>
    <s v="MZ-17515"/>
    <x v="127"/>
    <x v="2"/>
    <x v="0"/>
    <s v="Los Angeles"/>
    <x v="5"/>
    <n v="90008"/>
    <x v="3"/>
    <s v="OFF-BI-10004140"/>
    <x v="0"/>
    <x v="1"/>
    <s v="Avery Non-Stick Binders"/>
    <n v="7.1840000000000011"/>
    <n v="2"/>
    <n v="0.2"/>
    <n v="2.2449999999999992"/>
  </r>
  <r>
    <n v="306"/>
    <s v="US-2023-105172"/>
    <x v="70"/>
    <x v="71"/>
    <s v="Standard Class"/>
    <s v="PK-18910"/>
    <x v="128"/>
    <x v="1"/>
    <x v="0"/>
    <s v="San Francisco"/>
    <x v="5"/>
    <n v="94109"/>
    <x v="3"/>
    <s v="OFF-LA-10001641"/>
    <x v="0"/>
    <x v="2"/>
    <s v="Avery 518"/>
    <n v="18.899999999999999"/>
    <n v="6"/>
    <n v="0"/>
    <n v="9.0719999999999992"/>
  </r>
  <r>
    <n v="307"/>
    <s v="US-2023-149538"/>
    <x v="70"/>
    <x v="70"/>
    <s v="Standard Class"/>
    <s v="KB-16585"/>
    <x v="129"/>
    <x v="2"/>
    <x v="0"/>
    <s v="Lafayette"/>
    <x v="10"/>
    <n v="70506"/>
    <x v="2"/>
    <s v="OFF-PA-10002195"/>
    <x v="0"/>
    <x v="0"/>
    <s v="Xerox 1966"/>
    <n v="12.96"/>
    <n v="2"/>
    <n v="0"/>
    <n v="6.3504000000000005"/>
  </r>
  <r>
    <n v="308"/>
    <s v="US-2023-149538"/>
    <x v="70"/>
    <x v="70"/>
    <s v="Standard Class"/>
    <s v="KB-16585"/>
    <x v="129"/>
    <x v="2"/>
    <x v="0"/>
    <s v="Lafayette"/>
    <x v="10"/>
    <n v="70506"/>
    <x v="2"/>
    <s v="OFF-PA-10003797"/>
    <x v="0"/>
    <x v="0"/>
    <s v="Xerox 209"/>
    <n v="19.440000000000001"/>
    <n v="3"/>
    <n v="0"/>
    <n v="9.3312000000000008"/>
  </r>
  <r>
    <n v="309"/>
    <s v="US-2023-149538"/>
    <x v="70"/>
    <x v="70"/>
    <s v="Standard Class"/>
    <s v="KB-16585"/>
    <x v="129"/>
    <x v="2"/>
    <x v="0"/>
    <s v="Lafayette"/>
    <x v="10"/>
    <n v="70506"/>
    <x v="2"/>
    <s v="OFF-ST-10004180"/>
    <x v="0"/>
    <x v="3"/>
    <s v="Safco Commercial Shelving"/>
    <n v="232.54999999999998"/>
    <n v="5"/>
    <n v="0"/>
    <n v="9.3019999999999925"/>
  </r>
  <r>
    <n v="310"/>
    <s v="US-2023-149538"/>
    <x v="70"/>
    <x v="70"/>
    <s v="Standard Class"/>
    <s v="KB-16585"/>
    <x v="129"/>
    <x v="2"/>
    <x v="0"/>
    <s v="Lafayette"/>
    <x v="10"/>
    <n v="70506"/>
    <x v="2"/>
    <s v="TEC-AC-10002926"/>
    <x v="2"/>
    <x v="9"/>
    <s v="Logitech Wireless Marathon Mouse M705"/>
    <n v="99.98"/>
    <n v="2"/>
    <n v="0"/>
    <n v="42.991400000000006"/>
  </r>
  <r>
    <n v="311"/>
    <s v="US-2023-102988"/>
    <x v="71"/>
    <x v="71"/>
    <s v="Second Class"/>
    <s v="GM-14695"/>
    <x v="130"/>
    <x v="2"/>
    <x v="0"/>
    <s v="Alexandria"/>
    <x v="6"/>
    <n v="22304"/>
    <x v="2"/>
    <s v="OFF-AR-10000127"/>
    <x v="0"/>
    <x v="4"/>
    <s v="Newell 321"/>
    <n v="22.959999999999997"/>
    <n v="7"/>
    <n v="0"/>
    <n v="6.6583999999999968"/>
  </r>
  <r>
    <n v="312"/>
    <s v="US-2023-149104"/>
    <x v="71"/>
    <x v="72"/>
    <s v="Second Class"/>
    <s v="RD-19900"/>
    <x v="131"/>
    <x v="0"/>
    <x v="0"/>
    <s v="Dearborn Heights"/>
    <x v="14"/>
    <n v="48127"/>
    <x v="0"/>
    <s v="OFF-AR-10002952"/>
    <x v="0"/>
    <x v="4"/>
    <s v="Stanley Contemporary Battery Pencil Sharpeners"/>
    <n v="26.7"/>
    <n v="2"/>
    <n v="0"/>
    <n v="7.4759999999999991"/>
  </r>
  <r>
    <n v="313"/>
    <s v="US-2023-149104"/>
    <x v="71"/>
    <x v="72"/>
    <s v="Second Class"/>
    <s v="RD-19900"/>
    <x v="131"/>
    <x v="0"/>
    <x v="0"/>
    <s v="Dearborn Heights"/>
    <x v="14"/>
    <n v="48127"/>
    <x v="0"/>
    <s v="OFF-AR-10004685"/>
    <x v="0"/>
    <x v="4"/>
    <s v="Binney &amp; Smith Crayola Metallic Colored Pencils, 8-Color Set"/>
    <n v="13.89"/>
    <n v="3"/>
    <n v="0"/>
    <n v="4.5836999999999994"/>
  </r>
  <r>
    <n v="314"/>
    <s v="US-2023-102988"/>
    <x v="71"/>
    <x v="71"/>
    <s v="Second Class"/>
    <s v="GM-14695"/>
    <x v="130"/>
    <x v="2"/>
    <x v="0"/>
    <s v="Alexandria"/>
    <x v="6"/>
    <n v="22304"/>
    <x v="2"/>
    <s v="OFF-AR-10004757"/>
    <x v="0"/>
    <x v="4"/>
    <s v="Crayola Colored Pencils"/>
    <n v="22.959999999999997"/>
    <n v="7"/>
    <n v="0"/>
    <n v="7.5767999999999986"/>
  </r>
  <r>
    <n v="315"/>
    <s v="US-2023-157231"/>
    <x v="71"/>
    <x v="71"/>
    <s v="Standard Class"/>
    <s v="RP-19855"/>
    <x v="132"/>
    <x v="2"/>
    <x v="0"/>
    <s v="Richmond"/>
    <x v="3"/>
    <n v="40475"/>
    <x v="2"/>
    <s v="OFF-BI-10002852"/>
    <x v="0"/>
    <x v="1"/>
    <s v="Ibico Standard Transparent Covers"/>
    <n v="115.36"/>
    <n v="7"/>
    <n v="0"/>
    <n v="56.526400000000002"/>
  </r>
  <r>
    <n v="316"/>
    <s v="US-2023-149104"/>
    <x v="71"/>
    <x v="72"/>
    <s v="Second Class"/>
    <s v="RD-19900"/>
    <x v="131"/>
    <x v="0"/>
    <x v="0"/>
    <s v="Dearborn Heights"/>
    <x v="14"/>
    <n v="48127"/>
    <x v="0"/>
    <s v="OFF-BI-10004209"/>
    <x v="0"/>
    <x v="1"/>
    <s v="Fellowes Twister Kit, Gray/Clear, 3/pkg"/>
    <n v="40.199999999999996"/>
    <n v="5"/>
    <n v="0"/>
    <n v="18.089999999999996"/>
  </r>
  <r>
    <n v="317"/>
    <s v="US-2023-102988"/>
    <x v="71"/>
    <x v="71"/>
    <s v="Second Class"/>
    <s v="GM-14695"/>
    <x v="130"/>
    <x v="2"/>
    <x v="0"/>
    <s v="Alexandria"/>
    <x v="6"/>
    <n v="22304"/>
    <x v="2"/>
    <s v="OFF-PA-10003349"/>
    <x v="0"/>
    <x v="0"/>
    <s v="Xerox 1957"/>
    <n v="12.96"/>
    <n v="2"/>
    <n v="0"/>
    <n v="6.3504000000000005"/>
  </r>
  <r>
    <n v="318"/>
    <s v="US-2023-113887"/>
    <x v="71"/>
    <x v="72"/>
    <s v="First Class"/>
    <s v="TH-21550"/>
    <x v="133"/>
    <x v="1"/>
    <x v="0"/>
    <s v="New York City"/>
    <x v="21"/>
    <n v="10035"/>
    <x v="1"/>
    <s v="OFF-PA-10004071"/>
    <x v="0"/>
    <x v="0"/>
    <s v="Eaton Premium Continuous-Feed Paper, 25% Cotton, Letter Size, White, 1000 Shts/Box"/>
    <n v="55.48"/>
    <n v="1"/>
    <n v="0"/>
    <n v="26.630399999999998"/>
  </r>
  <r>
    <n v="319"/>
    <s v="US-2023-149104"/>
    <x v="71"/>
    <x v="72"/>
    <s v="Second Class"/>
    <s v="RD-19900"/>
    <x v="131"/>
    <x v="0"/>
    <x v="0"/>
    <s v="Dearborn Heights"/>
    <x v="14"/>
    <n v="48127"/>
    <x v="0"/>
    <s v="OFF-ST-10000991"/>
    <x v="0"/>
    <x v="3"/>
    <s v="Space Solutions HD Industrial Steel Shelving."/>
    <n v="689.81999999999994"/>
    <n v="6"/>
    <n v="0"/>
    <n v="20.694600000000008"/>
  </r>
  <r>
    <n v="320"/>
    <s v="US-2023-151001"/>
    <x v="71"/>
    <x v="72"/>
    <s v="First Class"/>
    <s v="JG-15805"/>
    <x v="134"/>
    <x v="2"/>
    <x v="0"/>
    <s v="Decatur"/>
    <x v="1"/>
    <n v="62521"/>
    <x v="0"/>
    <s v="OFF-ST-10001031"/>
    <x v="0"/>
    <x v="3"/>
    <s v="Adjustable Personal File Tote"/>
    <n v="52.096000000000004"/>
    <n v="4"/>
    <n v="0.2"/>
    <n v="3.9072000000000031"/>
  </r>
  <r>
    <n v="321"/>
    <s v="US-2023-151001"/>
    <x v="71"/>
    <x v="72"/>
    <s v="First Class"/>
    <s v="JG-15805"/>
    <x v="134"/>
    <x v="2"/>
    <x v="0"/>
    <s v="Decatur"/>
    <x v="1"/>
    <n v="62521"/>
    <x v="0"/>
    <s v="OFF-ST-10003455"/>
    <x v="0"/>
    <x v="3"/>
    <s v="Tenex File Box, Personal Filing Tote with Lid, Black"/>
    <n v="49.632000000000005"/>
    <n v="4"/>
    <n v="0.2"/>
    <n v="3.7224000000000004"/>
  </r>
  <r>
    <n v="322"/>
    <s v="US-2023-102988"/>
    <x v="71"/>
    <x v="71"/>
    <s v="Second Class"/>
    <s v="GM-14695"/>
    <x v="130"/>
    <x v="2"/>
    <x v="0"/>
    <s v="Alexandria"/>
    <x v="6"/>
    <n v="22304"/>
    <x v="2"/>
    <s v="OFF-SU-10002881"/>
    <x v="0"/>
    <x v="14"/>
    <s v="Martin Yale Chadless Opener Electric Letter Opener"/>
    <n v="4164.0499999999993"/>
    <n v="5"/>
    <n v="0"/>
    <n v="83.281000000000063"/>
  </r>
  <r>
    <n v="323"/>
    <s v="US-2023-102988"/>
    <x v="71"/>
    <x v="71"/>
    <s v="Second Class"/>
    <s v="GM-14695"/>
    <x v="130"/>
    <x v="2"/>
    <x v="0"/>
    <s v="Alexandria"/>
    <x v="6"/>
    <n v="22304"/>
    <x v="2"/>
    <s v="TEC-PH-10001615"/>
    <x v="2"/>
    <x v="7"/>
    <s v="AT&amp;T CL82213"/>
    <n v="28.99"/>
    <n v="1"/>
    <n v="0"/>
    <n v="8.4070999999999962"/>
  </r>
  <r>
    <n v="324"/>
    <s v="US-2023-102652"/>
    <x v="72"/>
    <x v="73"/>
    <s v="Standard Class"/>
    <s v="AY-10555"/>
    <x v="135"/>
    <x v="2"/>
    <x v="0"/>
    <s v="Los Angeles"/>
    <x v="5"/>
    <n v="90049"/>
    <x v="3"/>
    <s v="FUR-FU-10000747"/>
    <x v="1"/>
    <x v="8"/>
    <s v="Tenex B1-RE Series Chair Mats for Low Pile Carpets"/>
    <n v="91.96"/>
    <n v="2"/>
    <n v="0"/>
    <n v="15.633199999999988"/>
  </r>
  <r>
    <n v="325"/>
    <s v="US-2023-102652"/>
    <x v="72"/>
    <x v="73"/>
    <s v="Standard Class"/>
    <s v="AY-10555"/>
    <x v="135"/>
    <x v="2"/>
    <x v="0"/>
    <s v="Los Angeles"/>
    <x v="5"/>
    <n v="90049"/>
    <x v="3"/>
    <s v="FUR-FU-10001918"/>
    <x v="1"/>
    <x v="8"/>
    <s v="C-Line Cubicle Keepers Polyproplyene Holder With Velcro Backings"/>
    <n v="33.11"/>
    <n v="7"/>
    <n v="0"/>
    <n v="12.912900000000004"/>
  </r>
  <r>
    <n v="326"/>
    <s v="US-2023-169803"/>
    <x v="72"/>
    <x v="73"/>
    <s v="Standard Class"/>
    <s v="SC-20260"/>
    <x v="136"/>
    <x v="2"/>
    <x v="0"/>
    <s v="Seattle"/>
    <x v="23"/>
    <n v="98115"/>
    <x v="3"/>
    <s v="FUR-TA-10000688"/>
    <x v="1"/>
    <x v="13"/>
    <s v="Chromcraft Bull-Nose Wood Round Conference Table Top, Wood Base"/>
    <n v="653.54999999999995"/>
    <n v="3"/>
    <n v="0"/>
    <n v="111.10349999999994"/>
  </r>
  <r>
    <n v="327"/>
    <s v="US-2023-118486"/>
    <x v="72"/>
    <x v="70"/>
    <s v="First Class"/>
    <s v="SD-20485"/>
    <x v="28"/>
    <x v="1"/>
    <x v="0"/>
    <s v="Philadelphia"/>
    <x v="2"/>
    <n v="19143"/>
    <x v="1"/>
    <s v="FUR-TA-10001039"/>
    <x v="1"/>
    <x v="13"/>
    <s v="KI Adjustable-Height Table"/>
    <n v="154.76400000000001"/>
    <n v="3"/>
    <n v="0.4"/>
    <n v="-36.11160000000001"/>
  </r>
  <r>
    <n v="328"/>
    <s v="US-2023-153808"/>
    <x v="72"/>
    <x v="74"/>
    <s v="Second Class"/>
    <s v="FH-14275"/>
    <x v="137"/>
    <x v="2"/>
    <x v="0"/>
    <s v="Los Angeles"/>
    <x v="5"/>
    <n v="90004"/>
    <x v="3"/>
    <s v="OFF-AR-10001725"/>
    <x v="0"/>
    <x v="4"/>
    <s v="Boston Home &amp; Office Model 2000 Electric Pencil Sharpeners"/>
    <n v="70.949999999999989"/>
    <n v="3"/>
    <n v="0"/>
    <n v="18.447000000000003"/>
  </r>
  <r>
    <n v="329"/>
    <s v="US-2023-153808"/>
    <x v="72"/>
    <x v="74"/>
    <s v="Second Class"/>
    <s v="FH-14275"/>
    <x v="137"/>
    <x v="2"/>
    <x v="0"/>
    <s v="Los Angeles"/>
    <x v="5"/>
    <n v="90004"/>
    <x v="3"/>
    <s v="OFF-BI-10002794"/>
    <x v="0"/>
    <x v="1"/>
    <s v="Avery Trapezoid Ring Binder, 3&quot; Capacity, Black, 1040 sheets"/>
    <n v="65.567999999999998"/>
    <n v="2"/>
    <n v="0.2"/>
    <n v="23.768399999999996"/>
  </r>
  <r>
    <n v="330"/>
    <s v="US-2023-136742"/>
    <x v="72"/>
    <x v="74"/>
    <s v="Standard Class"/>
    <s v="GP-14740"/>
    <x v="138"/>
    <x v="2"/>
    <x v="0"/>
    <s v="Lancaster"/>
    <x v="2"/>
    <n v="17602"/>
    <x v="1"/>
    <s v="OFF-BI-10003719"/>
    <x v="0"/>
    <x v="1"/>
    <s v="Large Capacity Hanging Post Binders"/>
    <n v="44.910000000000011"/>
    <n v="6"/>
    <n v="0.7"/>
    <n v="-35.927999999999997"/>
  </r>
  <r>
    <n v="331"/>
    <s v="US-2023-102652"/>
    <x v="72"/>
    <x v="73"/>
    <s v="Standard Class"/>
    <s v="AY-10555"/>
    <x v="135"/>
    <x v="2"/>
    <x v="0"/>
    <s v="Los Angeles"/>
    <x v="5"/>
    <n v="90049"/>
    <x v="3"/>
    <s v="OFF-PA-10001977"/>
    <x v="0"/>
    <x v="0"/>
    <s v="Xerox 194"/>
    <n v="55.48"/>
    <n v="1"/>
    <n v="0"/>
    <n v="26.630399999999998"/>
  </r>
  <r>
    <n v="332"/>
    <s v="US-2023-102652"/>
    <x v="72"/>
    <x v="73"/>
    <s v="Standard Class"/>
    <s v="AY-10555"/>
    <x v="135"/>
    <x v="2"/>
    <x v="0"/>
    <s v="Los Angeles"/>
    <x v="5"/>
    <n v="90049"/>
    <x v="3"/>
    <s v="OFF-PA-10003309"/>
    <x v="0"/>
    <x v="0"/>
    <s v="Xerox 211"/>
    <n v="19.440000000000001"/>
    <n v="3"/>
    <n v="0"/>
    <n v="9.3312000000000008"/>
  </r>
  <r>
    <n v="333"/>
    <s v="US-2023-118486"/>
    <x v="72"/>
    <x v="70"/>
    <s v="First Class"/>
    <s v="SD-20485"/>
    <x v="28"/>
    <x v="1"/>
    <x v="0"/>
    <s v="Philadelphia"/>
    <x v="2"/>
    <n v="19143"/>
    <x v="1"/>
    <s v="OFF-SU-10004498"/>
    <x v="0"/>
    <x v="14"/>
    <s v="Martin-Yale Premier Letter Opener"/>
    <n v="10.304000000000002"/>
    <n v="1"/>
    <n v="0.2"/>
    <n v="-2.1896000000000004"/>
  </r>
  <r>
    <n v="334"/>
    <s v="US-2023-169803"/>
    <x v="72"/>
    <x v="73"/>
    <s v="Standard Class"/>
    <s v="SC-20260"/>
    <x v="136"/>
    <x v="2"/>
    <x v="0"/>
    <s v="Seattle"/>
    <x v="23"/>
    <n v="98115"/>
    <x v="3"/>
    <s v="TEC-AC-10003441"/>
    <x v="2"/>
    <x v="9"/>
    <s v="Kingston Digital DataTraveler 32GB USB 2.0"/>
    <n v="33.9"/>
    <n v="2"/>
    <n v="0"/>
    <n v="2.0339999999999989"/>
  </r>
  <r>
    <n v="335"/>
    <s v="US-2023-153808"/>
    <x v="72"/>
    <x v="74"/>
    <s v="Second Class"/>
    <s v="FH-14275"/>
    <x v="137"/>
    <x v="2"/>
    <x v="0"/>
    <s v="Los Angeles"/>
    <x v="5"/>
    <n v="90004"/>
    <x v="3"/>
    <s v="TEC-AC-10004171"/>
    <x v="2"/>
    <x v="9"/>
    <s v="Razer Kraken 7.1 Surround Sound Over Ear USB Gaming Headset"/>
    <n v="299.96999999999997"/>
    <n v="3"/>
    <n v="0"/>
    <n v="131.98680000000002"/>
  </r>
  <r>
    <n v="336"/>
    <s v="US-2023-118486"/>
    <x v="72"/>
    <x v="70"/>
    <s v="First Class"/>
    <s v="SD-20485"/>
    <x v="28"/>
    <x v="1"/>
    <x v="0"/>
    <s v="Philadelphia"/>
    <x v="2"/>
    <n v="19143"/>
    <x v="1"/>
    <s v="TEC-AC-10004659"/>
    <x v="2"/>
    <x v="9"/>
    <s v="Imation Secure+ Hardware Encrypted USB 2.0 Flash Drive; 16GB"/>
    <n v="116.78399999999999"/>
    <n v="2"/>
    <n v="0.2"/>
    <n v="21.896999999999991"/>
  </r>
  <r>
    <n v="337"/>
    <s v="US-2023-124023"/>
    <x v="73"/>
    <x v="74"/>
    <s v="First Class"/>
    <s v="PJ-19015"/>
    <x v="139"/>
    <x v="0"/>
    <x v="0"/>
    <s v="Mobile"/>
    <x v="35"/>
    <n v="36608"/>
    <x v="2"/>
    <s v="FUR-FU-10004415"/>
    <x v="1"/>
    <x v="8"/>
    <s v="Stacking Tray, Side-Loading, Legal, Smoke"/>
    <n v="8.9600000000000009"/>
    <n v="2"/>
    <n v="0"/>
    <n v="2.7775999999999996"/>
  </r>
  <r>
    <n v="338"/>
    <s v="US-2023-128846"/>
    <x v="73"/>
    <x v="73"/>
    <s v="Standard Class"/>
    <s v="RS-19765"/>
    <x v="140"/>
    <x v="2"/>
    <x v="0"/>
    <s v="Columbia"/>
    <x v="8"/>
    <n v="29203"/>
    <x v="2"/>
    <s v="OFF-PA-10000100"/>
    <x v="0"/>
    <x v="0"/>
    <s v="Xerox 1945"/>
    <n v="122.97"/>
    <n v="3"/>
    <n v="0"/>
    <n v="60.255300000000005"/>
  </r>
  <r>
    <n v="339"/>
    <s v="US-2023-165806"/>
    <x v="73"/>
    <x v="72"/>
    <s v="Same Day"/>
    <s v="VM-21685"/>
    <x v="141"/>
    <x v="1"/>
    <x v="0"/>
    <s v="Marietta"/>
    <x v="4"/>
    <n v="30062"/>
    <x v="2"/>
    <s v="OFF-PA-10003441"/>
    <x v="0"/>
    <x v="0"/>
    <s v="Xerox 226"/>
    <n v="58.320000000000007"/>
    <n v="9"/>
    <n v="0"/>
    <n v="27.993600000000001"/>
  </r>
  <r>
    <n v="340"/>
    <s v="US-2023-128846"/>
    <x v="73"/>
    <x v="73"/>
    <s v="Standard Class"/>
    <s v="RS-19765"/>
    <x v="140"/>
    <x v="2"/>
    <x v="0"/>
    <s v="Columbia"/>
    <x v="8"/>
    <n v="29203"/>
    <x v="2"/>
    <s v="TEC-PH-10003273"/>
    <x v="2"/>
    <x v="7"/>
    <s v="AT&amp;T TR1909W"/>
    <n v="629.94999999999993"/>
    <n v="5"/>
    <n v="0"/>
    <n v="163.78700000000003"/>
  </r>
  <r>
    <n v="341"/>
    <s v="US-2023-165806"/>
    <x v="73"/>
    <x v="72"/>
    <s v="Same Day"/>
    <s v="VM-21685"/>
    <x v="141"/>
    <x v="1"/>
    <x v="0"/>
    <s v="Marietta"/>
    <x v="4"/>
    <n v="30062"/>
    <x v="2"/>
    <s v="TEC-PH-10004922"/>
    <x v="2"/>
    <x v="7"/>
    <s v="RCA Visys Integrated PBX 8-Line Router"/>
    <n v="200.96999999999997"/>
    <n v="3"/>
    <n v="0"/>
    <n v="50.242500000000007"/>
  </r>
  <r>
    <n v="342"/>
    <s v="US-2023-118997"/>
    <x v="74"/>
    <x v="73"/>
    <s v="Standard Class"/>
    <s v="RA-19885"/>
    <x v="142"/>
    <x v="2"/>
    <x v="0"/>
    <s v="Decatur"/>
    <x v="35"/>
    <n v="35601"/>
    <x v="2"/>
    <s v="FUR-TA-10001086"/>
    <x v="1"/>
    <x v="13"/>
    <s v="SAFCO PlanMaster Boards, 60w x 37-1/2d, White Melamine"/>
    <n v="1215.92"/>
    <n v="8"/>
    <n v="0"/>
    <n v="316.13920000000007"/>
  </r>
  <r>
    <n v="343"/>
    <s v="US-2023-150581"/>
    <x v="74"/>
    <x v="73"/>
    <s v="Standard Class"/>
    <s v="NM-18445"/>
    <x v="40"/>
    <x v="1"/>
    <x v="0"/>
    <s v="Concord"/>
    <x v="5"/>
    <n v="94521"/>
    <x v="3"/>
    <s v="FUR-TA-10003748"/>
    <x v="1"/>
    <x v="13"/>
    <s v="Bevis 36 x 72 Conference Tables"/>
    <n v="99.591999999999999"/>
    <n v="1"/>
    <n v="0.2"/>
    <n v="2.4897999999999989"/>
  </r>
  <r>
    <n v="344"/>
    <s v="US-2023-121769"/>
    <x v="74"/>
    <x v="73"/>
    <s v="Standard Class"/>
    <s v="JS-15880"/>
    <x v="143"/>
    <x v="0"/>
    <x v="0"/>
    <s v="Toledo"/>
    <x v="9"/>
    <n v="43615"/>
    <x v="1"/>
    <s v="FUR-TA-10004442"/>
    <x v="1"/>
    <x v="13"/>
    <s v="Riverside Furniture Stanwyck Manor Table Series"/>
    <n v="172.11"/>
    <n v="1"/>
    <n v="0.4"/>
    <n v="-94.660500000000013"/>
  </r>
  <r>
    <n v="345"/>
    <s v="US-2023-100363"/>
    <x v="74"/>
    <x v="75"/>
    <s v="Standard Class"/>
    <s v="JM-15655"/>
    <x v="144"/>
    <x v="2"/>
    <x v="0"/>
    <s v="Glendale"/>
    <x v="12"/>
    <n v="85301"/>
    <x v="3"/>
    <s v="OFF-FA-10000611"/>
    <x v="0"/>
    <x v="6"/>
    <s v="Binder Clips by OIC"/>
    <n v="2.3679999999999999"/>
    <n v="2"/>
    <n v="0.2"/>
    <n v="0.82879999999999987"/>
  </r>
  <r>
    <n v="346"/>
    <s v="US-2023-163797"/>
    <x v="74"/>
    <x v="76"/>
    <s v="Standard Class"/>
    <s v="PC-19000"/>
    <x v="145"/>
    <x v="1"/>
    <x v="0"/>
    <s v="Chandler"/>
    <x v="12"/>
    <n v="85224"/>
    <x v="3"/>
    <s v="OFF-FA-10001883"/>
    <x v="0"/>
    <x v="6"/>
    <s v="Alliance Super-Size Bands, Assorted Sizes"/>
    <n v="49.792000000000002"/>
    <n v="8"/>
    <n v="0.2"/>
    <n v="-11.825600000000001"/>
  </r>
  <r>
    <n v="347"/>
    <s v="US-2023-100363"/>
    <x v="74"/>
    <x v="75"/>
    <s v="Standard Class"/>
    <s v="JM-15655"/>
    <x v="144"/>
    <x v="2"/>
    <x v="0"/>
    <s v="Glendale"/>
    <x v="12"/>
    <n v="85301"/>
    <x v="3"/>
    <s v="OFF-PA-10004733"/>
    <x v="0"/>
    <x v="0"/>
    <s v="Things To Do Today Spiral Book"/>
    <n v="19.008000000000003"/>
    <n v="3"/>
    <n v="0.2"/>
    <n v="6.8903999999999979"/>
  </r>
  <r>
    <n v="348"/>
    <s v="US-2023-150581"/>
    <x v="74"/>
    <x v="73"/>
    <s v="Standard Class"/>
    <s v="NM-18445"/>
    <x v="40"/>
    <x v="1"/>
    <x v="0"/>
    <s v="Concord"/>
    <x v="5"/>
    <n v="94521"/>
    <x v="3"/>
    <s v="TEC-AC-10001908"/>
    <x v="2"/>
    <x v="9"/>
    <s v="Logitech Wireless Headset h800"/>
    <n v="399.96"/>
    <n v="4"/>
    <n v="0"/>
    <n v="139.98599999999999"/>
  </r>
  <r>
    <n v="349"/>
    <s v="US-2023-121734"/>
    <x v="75"/>
    <x v="77"/>
    <s v="Standard Class"/>
    <s v="SE-20110"/>
    <x v="146"/>
    <x v="0"/>
    <x v="0"/>
    <s v="Lewiston"/>
    <x v="36"/>
    <n v="83501"/>
    <x v="3"/>
    <s v="OFF-BI-10004817"/>
    <x v="0"/>
    <x v="1"/>
    <s v="GBC Personal VeloBind Strips"/>
    <n v="9.5840000000000014"/>
    <n v="1"/>
    <n v="0.2"/>
    <n v="3.3543999999999996"/>
  </r>
  <r>
    <n v="350"/>
    <s v="US-2023-102715"/>
    <x v="75"/>
    <x v="76"/>
    <s v="Second Class"/>
    <s v="JK-15370"/>
    <x v="147"/>
    <x v="0"/>
    <x v="0"/>
    <s v="Miami"/>
    <x v="16"/>
    <n v="33180"/>
    <x v="2"/>
    <s v="OFF-FA-10001332"/>
    <x v="0"/>
    <x v="6"/>
    <s v="Acco Banker's Clasps, 5 3/4&quot;-Long"/>
    <n v="6.911999999999999"/>
    <n v="3"/>
    <n v="0.2"/>
    <n v="2.3327999999999998"/>
  </r>
  <r>
    <n v="351"/>
    <s v="US-2023-102715"/>
    <x v="75"/>
    <x v="76"/>
    <s v="Second Class"/>
    <s v="JK-15370"/>
    <x v="147"/>
    <x v="0"/>
    <x v="0"/>
    <s v="Miami"/>
    <x v="16"/>
    <n v="33180"/>
    <x v="2"/>
    <s v="OFF-PA-10000029"/>
    <x v="0"/>
    <x v="0"/>
    <s v="Xerox 224"/>
    <n v="10.368000000000002"/>
    <n v="2"/>
    <n v="0.2"/>
    <n v="3.6288"/>
  </r>
  <r>
    <n v="352"/>
    <s v="US-2023-110555"/>
    <x v="75"/>
    <x v="78"/>
    <s v="Standard Class"/>
    <s v="MM-18055"/>
    <x v="148"/>
    <x v="0"/>
    <x v="0"/>
    <s v="Great Falls"/>
    <x v="37"/>
    <n v="59405"/>
    <x v="3"/>
    <s v="OFF-ST-10000876"/>
    <x v="0"/>
    <x v="3"/>
    <s v="Eldon Simplefile Box Office"/>
    <n v="87.08"/>
    <n v="7"/>
    <n v="0"/>
    <n v="24.382400000000001"/>
  </r>
  <r>
    <n v="353"/>
    <s v="US-2023-102715"/>
    <x v="75"/>
    <x v="76"/>
    <s v="Second Class"/>
    <s v="JK-15370"/>
    <x v="147"/>
    <x v="0"/>
    <x v="0"/>
    <s v="Miami"/>
    <x v="16"/>
    <n v="33180"/>
    <x v="2"/>
    <s v="TEC-AC-10001874"/>
    <x v="2"/>
    <x v="9"/>
    <s v="Logitech Wireless Anywhere Mouse MX for PC and Mac"/>
    <n v="335.94400000000002"/>
    <n v="7"/>
    <n v="0.2"/>
    <n v="41.992999999999995"/>
  </r>
  <r>
    <n v="354"/>
    <s v="US-2023-102715"/>
    <x v="75"/>
    <x v="76"/>
    <s v="Second Class"/>
    <s v="JK-15370"/>
    <x v="147"/>
    <x v="0"/>
    <x v="0"/>
    <s v="Miami"/>
    <x v="16"/>
    <n v="33180"/>
    <x v="2"/>
    <s v="TEC-AC-10002001"/>
    <x v="2"/>
    <x v="9"/>
    <s v="Logitech Wireless Gaming Headset G930"/>
    <n v="383.97600000000006"/>
    <n v="3"/>
    <n v="0.2"/>
    <n v="81.59490000000001"/>
  </r>
  <r>
    <n v="355"/>
    <s v="US-2023-110555"/>
    <x v="75"/>
    <x v="78"/>
    <s v="Standard Class"/>
    <s v="MM-18055"/>
    <x v="148"/>
    <x v="0"/>
    <x v="0"/>
    <s v="Great Falls"/>
    <x v="37"/>
    <n v="59405"/>
    <x v="3"/>
    <s v="TEC-AC-10003399"/>
    <x v="2"/>
    <x v="9"/>
    <s v="Memorex Mini Travel Drive 64 GB USB 2.0 Flash Drive"/>
    <n v="217.44"/>
    <n v="6"/>
    <n v="0"/>
    <n v="91.32480000000001"/>
  </r>
  <r>
    <n v="356"/>
    <s v="US-2023-110555"/>
    <x v="75"/>
    <x v="78"/>
    <s v="Standard Class"/>
    <s v="MM-18055"/>
    <x v="148"/>
    <x v="0"/>
    <x v="0"/>
    <s v="Great Falls"/>
    <x v="37"/>
    <n v="59405"/>
    <x v="3"/>
    <s v="TEC-PH-10000586"/>
    <x v="2"/>
    <x v="7"/>
    <s v="AT&amp;T SB67148 SynJ"/>
    <n v="105.584"/>
    <n v="2"/>
    <n v="0.2"/>
    <n v="9.2386000000000053"/>
  </r>
  <r>
    <n v="357"/>
    <s v="US-2023-138940"/>
    <x v="75"/>
    <x v="77"/>
    <s v="Second Class"/>
    <s v="GM-14455"/>
    <x v="149"/>
    <x v="1"/>
    <x v="0"/>
    <s v="Austin"/>
    <x v="0"/>
    <n v="78745"/>
    <x v="0"/>
    <s v="TEC-PH-10001835"/>
    <x v="2"/>
    <x v="7"/>
    <s v="Jawbone JAMBOX Wireless Bluetooth Speaker"/>
    <n v="758.35200000000009"/>
    <n v="6"/>
    <n v="0.2"/>
    <n v="265.42320000000001"/>
  </r>
  <r>
    <n v="358"/>
    <s v="US-2023-154599"/>
    <x v="76"/>
    <x v="79"/>
    <s v="Standard Class"/>
    <s v="KN-16450"/>
    <x v="150"/>
    <x v="2"/>
    <x v="0"/>
    <s v="Redondo Beach"/>
    <x v="5"/>
    <n v="90278"/>
    <x v="3"/>
    <s v="FUR-BO-10001337"/>
    <x v="1"/>
    <x v="10"/>
    <s v="O'Sullivan Living Dimensions 2-Shelf Bookcases"/>
    <n v="308.49900000000002"/>
    <n v="3"/>
    <n v="0.15"/>
    <n v="-18.146999999999998"/>
  </r>
  <r>
    <n v="359"/>
    <s v="US-2023-142979"/>
    <x v="76"/>
    <x v="78"/>
    <s v="Standard Class"/>
    <s v="EH-13765"/>
    <x v="151"/>
    <x v="2"/>
    <x v="0"/>
    <s v="Lodi"/>
    <x v="5"/>
    <n v="95240"/>
    <x v="3"/>
    <s v="OFF-AR-10002987"/>
    <x v="0"/>
    <x v="4"/>
    <s v="Prismacolor Color Pencil Set"/>
    <n v="39.68"/>
    <n v="2"/>
    <n v="0"/>
    <n v="16.268800000000002"/>
  </r>
  <r>
    <n v="360"/>
    <s v="US-2023-154599"/>
    <x v="76"/>
    <x v="79"/>
    <s v="Standard Class"/>
    <s v="KN-16450"/>
    <x v="150"/>
    <x v="2"/>
    <x v="0"/>
    <s v="Redondo Beach"/>
    <x v="5"/>
    <n v="90278"/>
    <x v="3"/>
    <s v="OFF-BI-10002764"/>
    <x v="0"/>
    <x v="1"/>
    <s v="Recycled Pressboard Report Cover with Reinforced Top Hinge"/>
    <n v="18.088000000000001"/>
    <n v="7"/>
    <n v="0.2"/>
    <n v="6.5569000000000006"/>
  </r>
  <r>
    <n v="361"/>
    <s v="US-2023-158365"/>
    <x v="76"/>
    <x v="79"/>
    <s v="Standard Class"/>
    <s v="SV-20785"/>
    <x v="152"/>
    <x v="0"/>
    <x v="0"/>
    <s v="Bloomington"/>
    <x v="18"/>
    <n v="47401"/>
    <x v="0"/>
    <s v="OFF-PA-10000289"/>
    <x v="0"/>
    <x v="0"/>
    <s v="Xerox 213"/>
    <n v="32.400000000000006"/>
    <n v="5"/>
    <n v="0"/>
    <n v="15.552000000000001"/>
  </r>
  <r>
    <n v="362"/>
    <s v="US-2023-154599"/>
    <x v="76"/>
    <x v="79"/>
    <s v="Standard Class"/>
    <s v="KN-16450"/>
    <x v="150"/>
    <x v="2"/>
    <x v="0"/>
    <s v="Redondo Beach"/>
    <x v="5"/>
    <n v="90278"/>
    <x v="3"/>
    <s v="TEC-PH-10000576"/>
    <x v="2"/>
    <x v="7"/>
    <s v="AT&amp;T 1080 Corded phone"/>
    <n v="438.36800000000005"/>
    <n v="4"/>
    <n v="0.2"/>
    <n v="38.357200000000006"/>
  </r>
  <r>
    <n v="363"/>
    <s v="US-2023-154599"/>
    <x v="76"/>
    <x v="79"/>
    <s v="Standard Class"/>
    <s v="KN-16450"/>
    <x v="150"/>
    <x v="2"/>
    <x v="0"/>
    <s v="Redondo Beach"/>
    <x v="5"/>
    <n v="90278"/>
    <x v="3"/>
    <s v="TEC-PH-10001557"/>
    <x v="2"/>
    <x v="7"/>
    <s v="Pyle PMP37LED"/>
    <n v="1075.088"/>
    <n v="14"/>
    <n v="0.2"/>
    <n v="94.070199999999943"/>
  </r>
  <r>
    <n v="364"/>
    <s v="US-2023-122336"/>
    <x v="77"/>
    <x v="79"/>
    <s v="Second Class"/>
    <s v="JD-15895"/>
    <x v="108"/>
    <x v="2"/>
    <x v="0"/>
    <s v="Philadelphia"/>
    <x v="2"/>
    <n v="19140"/>
    <x v="1"/>
    <s v="OFF-AR-10000122"/>
    <x v="0"/>
    <x v="4"/>
    <s v="Newell 314"/>
    <n v="17.856000000000002"/>
    <n v="4"/>
    <n v="0.2"/>
    <n v="1.1159999999999979"/>
  </r>
  <r>
    <n v="365"/>
    <s v="US-2023-122336"/>
    <x v="77"/>
    <x v="79"/>
    <s v="Second Class"/>
    <s v="JD-15895"/>
    <x v="108"/>
    <x v="2"/>
    <x v="0"/>
    <s v="Philadelphia"/>
    <x v="2"/>
    <n v="19140"/>
    <x v="1"/>
    <s v="OFF-BI-10003656"/>
    <x v="0"/>
    <x v="1"/>
    <s v="Fellowes PB200 Plastic Comb Binding Machine"/>
    <n v="509.97000000000008"/>
    <n v="10"/>
    <n v="0.7"/>
    <n v="-407.97599999999989"/>
  </r>
  <r>
    <n v="366"/>
    <s v="US-2023-122336"/>
    <x v="77"/>
    <x v="79"/>
    <s v="Second Class"/>
    <s v="JD-15895"/>
    <x v="108"/>
    <x v="2"/>
    <x v="0"/>
    <s v="Philadelphia"/>
    <x v="2"/>
    <n v="19140"/>
    <x v="1"/>
    <s v="OFF-FA-10002780"/>
    <x v="0"/>
    <x v="6"/>
    <s v="Staples"/>
    <n v="30.991999999999997"/>
    <n v="13"/>
    <n v="0.2"/>
    <n v="10.072399999999996"/>
  </r>
  <r>
    <n v="367"/>
    <s v="US-2023-167724"/>
    <x v="77"/>
    <x v="78"/>
    <s v="Standard Class"/>
    <s v="BF-11170"/>
    <x v="153"/>
    <x v="1"/>
    <x v="0"/>
    <s v="Baltimore"/>
    <x v="38"/>
    <n v="21215"/>
    <x v="1"/>
    <s v="OFF-LA-10002368"/>
    <x v="0"/>
    <x v="2"/>
    <s v="Avery 479"/>
    <n v="7.83"/>
    <n v="3"/>
    <n v="0"/>
    <n v="3.6017999999999999"/>
  </r>
  <r>
    <n v="368"/>
    <s v="US-2023-122336"/>
    <x v="77"/>
    <x v="79"/>
    <s v="Second Class"/>
    <s v="JD-15895"/>
    <x v="108"/>
    <x v="2"/>
    <x v="0"/>
    <s v="Philadelphia"/>
    <x v="2"/>
    <n v="19140"/>
    <x v="1"/>
    <s v="TEC-PH-10000702"/>
    <x v="2"/>
    <x v="7"/>
    <s v="Square Credit Card Reader, 4 1/2&quot; x 4 1/2&quot; x 1&quot;, White"/>
    <n v="71.927999999999997"/>
    <n v="12"/>
    <n v="0.4"/>
    <n v="8.3915999999999897"/>
  </r>
  <r>
    <n v="369"/>
    <s v="US-2023-120740"/>
    <x v="78"/>
    <x v="75"/>
    <s v="Same Day"/>
    <s v="PS-18970"/>
    <x v="154"/>
    <x v="1"/>
    <x v="0"/>
    <s v="Los Angeles"/>
    <x v="5"/>
    <n v="90049"/>
    <x v="3"/>
    <s v="FUR-FU-10004091"/>
    <x v="1"/>
    <x v="8"/>
    <s v="Howard Miller 13&quot; Diameter Goldtone Round Wall Clock"/>
    <n v="187.76"/>
    <n v="4"/>
    <n v="0"/>
    <n v="76.9816"/>
  </r>
  <r>
    <n v="370"/>
    <s v="US-2023-120740"/>
    <x v="78"/>
    <x v="75"/>
    <s v="Same Day"/>
    <s v="PS-18970"/>
    <x v="154"/>
    <x v="1"/>
    <x v="0"/>
    <s v="Los Angeles"/>
    <x v="5"/>
    <n v="90049"/>
    <x v="3"/>
    <s v="OFF-AP-10000240"/>
    <x v="0"/>
    <x v="12"/>
    <s v="Belkin F9G930V10-GRY 9 Outlet Surge"/>
    <n v="106.96"/>
    <n v="2"/>
    <n v="0"/>
    <n v="31.018399999999986"/>
  </r>
  <r>
    <n v="371"/>
    <s v="US-2023-155208"/>
    <x v="79"/>
    <x v="80"/>
    <s v="Standard Class"/>
    <s v="SP-20650"/>
    <x v="155"/>
    <x v="2"/>
    <x v="0"/>
    <s v="Wilmington"/>
    <x v="26"/>
    <n v="28403"/>
    <x v="2"/>
    <s v="OFF-AR-10003478"/>
    <x v="0"/>
    <x v="4"/>
    <s v="Avery Hi-Liter EverBold Pen Style Fluorescent Highlighters, 4/Pack"/>
    <n v="39.072000000000003"/>
    <n v="6"/>
    <n v="0.2"/>
    <n v="9.7680000000000007"/>
  </r>
  <r>
    <n v="372"/>
    <s v="US-2023-100678"/>
    <x v="80"/>
    <x v="81"/>
    <s v="Standard Class"/>
    <s v="KM-16720"/>
    <x v="115"/>
    <x v="0"/>
    <x v="0"/>
    <s v="Houston"/>
    <x v="0"/>
    <n v="77095"/>
    <x v="0"/>
    <s v="FUR-CH-10002602"/>
    <x v="1"/>
    <x v="5"/>
    <s v="DMI Arturo Collection Mission-style Design Wood Chair"/>
    <n v="317.05799999999999"/>
    <n v="3"/>
    <n v="0.3"/>
    <n v="-18.117599999999996"/>
  </r>
  <r>
    <n v="373"/>
    <s v="US-2023-110849"/>
    <x v="80"/>
    <x v="82"/>
    <s v="Standard Class"/>
    <s v="JL-15835"/>
    <x v="156"/>
    <x v="0"/>
    <x v="0"/>
    <s v="Los Angeles"/>
    <x v="5"/>
    <n v="90049"/>
    <x v="3"/>
    <s v="OFF-AR-10000657"/>
    <x v="0"/>
    <x v="4"/>
    <s v="Binney &amp; Smith inkTank Desk Highlighter, Chisel Tip, Yellow, 12/Box"/>
    <n v="10.75"/>
    <n v="5"/>
    <n v="0"/>
    <n v="3.547499999999999"/>
  </r>
  <r>
    <n v="374"/>
    <s v="US-2023-100678"/>
    <x v="80"/>
    <x v="81"/>
    <s v="Standard Class"/>
    <s v="KM-16720"/>
    <x v="115"/>
    <x v="0"/>
    <x v="0"/>
    <s v="Houston"/>
    <x v="0"/>
    <n v="77095"/>
    <x v="0"/>
    <s v="OFF-AR-10001868"/>
    <x v="0"/>
    <x v="4"/>
    <s v="Prang Dustless Chalk Sticks"/>
    <n v="2.6880000000000002"/>
    <n v="2"/>
    <n v="0.2"/>
    <n v="1.008"/>
  </r>
  <r>
    <n v="375"/>
    <s v="US-2023-110849"/>
    <x v="80"/>
    <x v="82"/>
    <s v="Standard Class"/>
    <s v="JL-15835"/>
    <x v="156"/>
    <x v="0"/>
    <x v="0"/>
    <s v="Los Angeles"/>
    <x v="5"/>
    <n v="90049"/>
    <x v="3"/>
    <s v="OFF-AR-10002375"/>
    <x v="0"/>
    <x v="4"/>
    <s v="Newell 351"/>
    <n v="13.12"/>
    <n v="4"/>
    <n v="0"/>
    <n v="3.8047999999999984"/>
  </r>
  <r>
    <n v="376"/>
    <s v="US-2023-100678"/>
    <x v="80"/>
    <x v="81"/>
    <s v="Standard Class"/>
    <s v="KM-16720"/>
    <x v="115"/>
    <x v="0"/>
    <x v="0"/>
    <s v="Houston"/>
    <x v="0"/>
    <n v="77095"/>
    <x v="0"/>
    <s v="OFF-EN-10000056"/>
    <x v="0"/>
    <x v="11"/>
    <s v="Cameo Buff Policy Envelopes"/>
    <n v="149.352"/>
    <n v="3"/>
    <n v="0.2"/>
    <n v="50.40629999999998"/>
  </r>
  <r>
    <n v="377"/>
    <s v="US-2023-110849"/>
    <x v="80"/>
    <x v="82"/>
    <s v="Standard Class"/>
    <s v="JL-15835"/>
    <x v="156"/>
    <x v="0"/>
    <x v="0"/>
    <s v="Los Angeles"/>
    <x v="5"/>
    <n v="90049"/>
    <x v="3"/>
    <s v="OFF-FA-10000134"/>
    <x v="0"/>
    <x v="6"/>
    <s v="Advantus Push Pins, Aluminum Head"/>
    <n v="11.62"/>
    <n v="2"/>
    <n v="0"/>
    <n v="3.6021999999999998"/>
  </r>
  <r>
    <n v="378"/>
    <s v="US-2023-100678"/>
    <x v="80"/>
    <x v="81"/>
    <s v="Standard Class"/>
    <s v="KM-16720"/>
    <x v="115"/>
    <x v="0"/>
    <x v="0"/>
    <s v="Houston"/>
    <x v="0"/>
    <n v="77095"/>
    <x v="0"/>
    <s v="TEC-AC-10000474"/>
    <x v="2"/>
    <x v="9"/>
    <s v="Kensington Expert Mouse Optical USB Trackball for PC or Mac"/>
    <n v="227.976"/>
    <n v="3"/>
    <n v="0.2"/>
    <n v="28.496999999999957"/>
  </r>
  <r>
    <n v="379"/>
    <s v="US-2023-110849"/>
    <x v="80"/>
    <x v="82"/>
    <s v="Standard Class"/>
    <s v="JL-15835"/>
    <x v="156"/>
    <x v="0"/>
    <x v="0"/>
    <s v="Los Angeles"/>
    <x v="5"/>
    <n v="90049"/>
    <x v="3"/>
    <s v="TEC-MA-10002859"/>
    <x v="2"/>
    <x v="15"/>
    <s v="Ativa MDM8000 8-Sheet Micro-Cut Shredder"/>
    <n v="287.96800000000002"/>
    <n v="4"/>
    <n v="0.2"/>
    <n v="97.189199999999985"/>
  </r>
  <r>
    <n v="380"/>
    <s v="US-2023-169460"/>
    <x v="81"/>
    <x v="83"/>
    <s v="Second Class"/>
    <s v="NF-18595"/>
    <x v="79"/>
    <x v="1"/>
    <x v="0"/>
    <s v="San Jose"/>
    <x v="5"/>
    <n v="95123"/>
    <x v="3"/>
    <s v="FUR-FU-10004017"/>
    <x v="1"/>
    <x v="8"/>
    <s v="Executive Impressions 13&quot; Chairman Wall Clock"/>
    <n v="76.14"/>
    <n v="3"/>
    <n v="0"/>
    <n v="26.648999999999997"/>
  </r>
  <r>
    <n v="381"/>
    <s v="US-2023-158470"/>
    <x v="81"/>
    <x v="82"/>
    <s v="Second Class"/>
    <s v="AG-10390"/>
    <x v="157"/>
    <x v="0"/>
    <x v="0"/>
    <s v="Arlington"/>
    <x v="6"/>
    <n v="22204"/>
    <x v="2"/>
    <s v="OFF-BI-10003638"/>
    <x v="0"/>
    <x v="1"/>
    <s v="GBC Durable Plastic Covers"/>
    <n v="58.050000000000004"/>
    <n v="3"/>
    <n v="0"/>
    <n v="26.702999999999999"/>
  </r>
  <r>
    <n v="382"/>
    <s v="US-2023-158470"/>
    <x v="81"/>
    <x v="82"/>
    <s v="Second Class"/>
    <s v="AG-10390"/>
    <x v="157"/>
    <x v="0"/>
    <x v="0"/>
    <s v="Arlington"/>
    <x v="6"/>
    <n v="22204"/>
    <x v="2"/>
    <s v="OFF-PA-10001569"/>
    <x v="0"/>
    <x v="0"/>
    <s v="Xerox 232"/>
    <n v="71.28"/>
    <n v="11"/>
    <n v="0"/>
    <n v="34.214400000000005"/>
  </r>
  <r>
    <n v="383"/>
    <s v="US-2023-101462"/>
    <x v="82"/>
    <x v="84"/>
    <s v="Standard Class"/>
    <s v="BP-11230"/>
    <x v="158"/>
    <x v="0"/>
    <x v="0"/>
    <s v="Los Angeles"/>
    <x v="5"/>
    <n v="90045"/>
    <x v="3"/>
    <s v="FUR-FU-10000409"/>
    <x v="1"/>
    <x v="8"/>
    <s v="GE 4 Foot Flourescent Tube, 40 Watt"/>
    <n v="59.92"/>
    <n v="4"/>
    <n v="0"/>
    <n v="27.563200000000002"/>
  </r>
  <r>
    <n v="384"/>
    <s v="US-2023-134572"/>
    <x v="82"/>
    <x v="81"/>
    <s v="Second Class"/>
    <s v="SV-20365"/>
    <x v="9"/>
    <x v="0"/>
    <x v="0"/>
    <s v="Houston"/>
    <x v="0"/>
    <n v="77070"/>
    <x v="0"/>
    <s v="FUR-TA-10001705"/>
    <x v="1"/>
    <x v="13"/>
    <s v="Bush Advantage Collection Round Conference Table"/>
    <n v="744.09999999999991"/>
    <n v="5"/>
    <n v="0.3"/>
    <n v="-95.670000000000044"/>
  </r>
  <r>
    <n v="385"/>
    <s v="US-2023-134572"/>
    <x v="82"/>
    <x v="81"/>
    <s v="Second Class"/>
    <s v="SV-20365"/>
    <x v="9"/>
    <x v="0"/>
    <x v="0"/>
    <s v="Houston"/>
    <x v="0"/>
    <n v="77070"/>
    <x v="0"/>
    <s v="FUR-TA-10004442"/>
    <x v="1"/>
    <x v="13"/>
    <s v="Riverside Furniture Stanwyck Manor Table Series"/>
    <n v="401.59000000000003"/>
    <n v="2"/>
    <n v="0.3"/>
    <n v="-131.95100000000002"/>
  </r>
  <r>
    <n v="386"/>
    <s v="US-2023-134572"/>
    <x v="82"/>
    <x v="81"/>
    <s v="Second Class"/>
    <s v="SV-20365"/>
    <x v="9"/>
    <x v="0"/>
    <x v="0"/>
    <s v="Houston"/>
    <x v="0"/>
    <n v="77070"/>
    <x v="0"/>
    <s v="OFF-ST-10004634"/>
    <x v="0"/>
    <x v="3"/>
    <s v="Personal Folder Holder, Ebony"/>
    <n v="44.840000000000011"/>
    <n v="5"/>
    <n v="0.2"/>
    <n v="5.6049999999999951"/>
  </r>
  <r>
    <n v="387"/>
    <s v="US-2023-158064"/>
    <x v="83"/>
    <x v="84"/>
    <s v="Standard Class"/>
    <s v="AA-10375"/>
    <x v="159"/>
    <x v="0"/>
    <x v="0"/>
    <s v="Los Angeles"/>
    <x v="5"/>
    <n v="90008"/>
    <x v="3"/>
    <s v="OFF-BI-10002976"/>
    <x v="0"/>
    <x v="1"/>
    <s v="ACCOHIDE Binder by Acco"/>
    <n v="16.520000000000003"/>
    <n v="5"/>
    <n v="0.2"/>
    <n v="5.5754999999999999"/>
  </r>
  <r>
    <n v="388"/>
    <s v="US-2023-136336"/>
    <x v="83"/>
    <x v="85"/>
    <s v="Standard Class"/>
    <s v="DB-13555"/>
    <x v="160"/>
    <x v="2"/>
    <x v="0"/>
    <s v="Henderson"/>
    <x v="3"/>
    <n v="42420"/>
    <x v="2"/>
    <s v="OFF-ST-10002574"/>
    <x v="0"/>
    <x v="3"/>
    <s v="SAFCO Commercial Wire Shelving, Black"/>
    <n v="828.83999999999992"/>
    <n v="6"/>
    <n v="0"/>
    <n v="0"/>
  </r>
  <r>
    <n v="389"/>
    <s v="US-2023-122070"/>
    <x v="84"/>
    <x v="86"/>
    <s v="Second Class"/>
    <s v="AH-10030"/>
    <x v="161"/>
    <x v="2"/>
    <x v="0"/>
    <s v="Troy"/>
    <x v="21"/>
    <n v="12180"/>
    <x v="1"/>
    <s v="OFF-BI-10004970"/>
    <x v="0"/>
    <x v="1"/>
    <s v="ACCOHIDE 3-Ring Binder, Blue, 1&quot;"/>
    <n v="9.9120000000000008"/>
    <n v="3"/>
    <n v="0.2"/>
    <n v="3.3452999999999995"/>
  </r>
  <r>
    <n v="390"/>
    <s v="US-2023-122070"/>
    <x v="84"/>
    <x v="86"/>
    <s v="Second Class"/>
    <s v="AH-10030"/>
    <x v="161"/>
    <x v="2"/>
    <x v="0"/>
    <s v="Troy"/>
    <x v="21"/>
    <n v="12180"/>
    <x v="1"/>
    <s v="OFF-EN-10004773"/>
    <x v="0"/>
    <x v="11"/>
    <s v="Staple envelope"/>
    <n v="247.84"/>
    <n v="8"/>
    <n v="0"/>
    <n v="121.44159999999999"/>
  </r>
  <r>
    <n v="391"/>
    <s v="US-2023-150119"/>
    <x v="85"/>
    <x v="87"/>
    <s v="Standard Class"/>
    <s v="LB-16795"/>
    <x v="162"/>
    <x v="1"/>
    <x v="0"/>
    <s v="Columbus"/>
    <x v="9"/>
    <n v="43229"/>
    <x v="1"/>
    <s v="FUR-CH-10002965"/>
    <x v="1"/>
    <x v="5"/>
    <s v="Global Leather Highback Executive Chair with Pneumatic Height Adjustment, Black"/>
    <n v="281.37199999999996"/>
    <n v="2"/>
    <n v="0.3"/>
    <n v="-12.058799999999991"/>
  </r>
  <r>
    <n v="392"/>
    <s v="US-2023-150119"/>
    <x v="85"/>
    <x v="87"/>
    <s v="Standard Class"/>
    <s v="LB-16795"/>
    <x v="162"/>
    <x v="1"/>
    <x v="0"/>
    <s v="Columbus"/>
    <x v="9"/>
    <n v="43229"/>
    <x v="1"/>
    <s v="FUR-CH-10002965"/>
    <x v="1"/>
    <x v="5"/>
    <s v="Global Leather Highback Executive Chair with Pneumatic Height Adjustment, Black"/>
    <n v="281.37199999999996"/>
    <n v="2"/>
    <n v="0.3"/>
    <n v="-12.058799999999991"/>
  </r>
  <r>
    <n v="393"/>
    <s v="US-2023-150119"/>
    <x v="85"/>
    <x v="87"/>
    <s v="Standard Class"/>
    <s v="LB-16795"/>
    <x v="162"/>
    <x v="1"/>
    <x v="0"/>
    <s v="Columbus"/>
    <x v="9"/>
    <n v="43229"/>
    <x v="1"/>
    <s v="FUR-FU-10002191"/>
    <x v="1"/>
    <x v="8"/>
    <s v="G.E. Halogen Desk Lamp Bulbs"/>
    <n v="22.336000000000002"/>
    <n v="4"/>
    <n v="0.2"/>
    <n v="7.8175999999999997"/>
  </r>
  <r>
    <n v="394"/>
    <s v="US-2023-150119"/>
    <x v="85"/>
    <x v="87"/>
    <s v="Standard Class"/>
    <s v="LB-16795"/>
    <x v="162"/>
    <x v="1"/>
    <x v="0"/>
    <s v="Columbus"/>
    <x v="9"/>
    <n v="43229"/>
    <x v="1"/>
    <s v="OFF-BI-10000145"/>
    <x v="0"/>
    <x v="1"/>
    <s v="Zipper Ring Binder Pockets"/>
    <n v="7.4880000000000013"/>
    <n v="8"/>
    <n v="0.7"/>
    <n v="-5.2415999999999983"/>
  </r>
  <r>
    <n v="395"/>
    <s v="US-2023-112564"/>
    <x v="85"/>
    <x v="86"/>
    <s v="First Class"/>
    <s v="TS-21160"/>
    <x v="163"/>
    <x v="2"/>
    <x v="0"/>
    <s v="Philadelphia"/>
    <x v="2"/>
    <n v="19134"/>
    <x v="1"/>
    <s v="OFF-BI-10004876"/>
    <x v="0"/>
    <x v="1"/>
    <s v="Wilson Jones Suede Grain Vinyl Binders"/>
    <n v="2.5020000000000002"/>
    <n v="3"/>
    <n v="0.7"/>
    <n v="-1.7513999999999994"/>
  </r>
  <r>
    <n v="396"/>
    <s v="US-2023-111857"/>
    <x v="85"/>
    <x v="85"/>
    <s v="Second Class"/>
    <s v="NM-18445"/>
    <x v="40"/>
    <x v="1"/>
    <x v="0"/>
    <s v="San Francisco"/>
    <x v="5"/>
    <n v="94109"/>
    <x v="3"/>
    <s v="OFF-PA-10001878"/>
    <x v="0"/>
    <x v="0"/>
    <s v="Xerox 1891"/>
    <n v="48.91"/>
    <n v="1"/>
    <n v="0"/>
    <n v="22.987699999999997"/>
  </r>
  <r>
    <n v="397"/>
    <s v="US-2023-166954"/>
    <x v="86"/>
    <x v="88"/>
    <s v="Standard Class"/>
    <s v="BT-11305"/>
    <x v="164"/>
    <x v="1"/>
    <x v="0"/>
    <s v="San Gabriel"/>
    <x v="5"/>
    <n v="91776"/>
    <x v="3"/>
    <s v="FUR-CH-10003973"/>
    <x v="1"/>
    <x v="5"/>
    <s v="GuestStacker Chair with Chrome Finish Legs"/>
    <n v="1487.04"/>
    <n v="5"/>
    <n v="0.2"/>
    <n v="148.70400000000006"/>
  </r>
  <r>
    <n v="398"/>
    <s v="US-2023-166954"/>
    <x v="86"/>
    <x v="88"/>
    <s v="Standard Class"/>
    <s v="BT-11305"/>
    <x v="164"/>
    <x v="1"/>
    <x v="0"/>
    <s v="San Gabriel"/>
    <x v="5"/>
    <n v="91776"/>
    <x v="3"/>
    <s v="FUR-FU-10003708"/>
    <x v="1"/>
    <x v="8"/>
    <s v="Tenex Traditional Chairmats for Medium Pile Carpet, Standard Lip, 36&quot; x 48&quot;"/>
    <n v="303.25"/>
    <n v="5"/>
    <n v="0"/>
    <n v="63.682499999999997"/>
  </r>
  <r>
    <n v="399"/>
    <s v="US-2023-166954"/>
    <x v="86"/>
    <x v="88"/>
    <s v="Standard Class"/>
    <s v="BT-11305"/>
    <x v="164"/>
    <x v="1"/>
    <x v="0"/>
    <s v="San Gabriel"/>
    <x v="5"/>
    <n v="91776"/>
    <x v="3"/>
    <s v="OFF-AP-10001391"/>
    <x v="0"/>
    <x v="12"/>
    <s v="Kensington 6 Outlet MasterPiece HOMEOFFICE Power Control Center"/>
    <n v="270.71999999999997"/>
    <n v="3"/>
    <n v="0"/>
    <n v="78.508799999999965"/>
  </r>
  <r>
    <n v="400"/>
    <s v="US-2023-157406"/>
    <x v="86"/>
    <x v="89"/>
    <s v="Standard Class"/>
    <s v="DA-13450"/>
    <x v="165"/>
    <x v="1"/>
    <x v="0"/>
    <s v="Houston"/>
    <x v="0"/>
    <n v="77095"/>
    <x v="0"/>
    <s v="OFF-AR-10002221"/>
    <x v="0"/>
    <x v="4"/>
    <s v="12 Colored Short Pencils"/>
    <n v="6.24"/>
    <n v="3"/>
    <n v="0.2"/>
    <n v="0.54600000000000071"/>
  </r>
  <r>
    <n v="401"/>
    <s v="US-2023-157406"/>
    <x v="86"/>
    <x v="89"/>
    <s v="Standard Class"/>
    <s v="DA-13450"/>
    <x v="165"/>
    <x v="1"/>
    <x v="0"/>
    <s v="Houston"/>
    <x v="0"/>
    <n v="77095"/>
    <x v="0"/>
    <s v="OFF-PA-10003543"/>
    <x v="0"/>
    <x v="0"/>
    <s v="Xerox 1985"/>
    <n v="10.368000000000002"/>
    <n v="2"/>
    <n v="0.2"/>
    <n v="3.6288"/>
  </r>
  <r>
    <n v="402"/>
    <s v="US-2023-110100"/>
    <x v="86"/>
    <x v="89"/>
    <s v="Standard Class"/>
    <s v="LC-16885"/>
    <x v="166"/>
    <x v="0"/>
    <x v="0"/>
    <s v="Wilmington"/>
    <x v="26"/>
    <n v="28403"/>
    <x v="2"/>
    <s v="TEC-PH-10004531"/>
    <x v="2"/>
    <x v="7"/>
    <s v="AT&amp;T CL2909"/>
    <n v="302.37599999999998"/>
    <n v="3"/>
    <n v="0.2"/>
    <n v="37.796999999999997"/>
  </r>
  <r>
    <n v="403"/>
    <s v="US-2023-147298"/>
    <x v="87"/>
    <x v="90"/>
    <s v="Standard Class"/>
    <s v="AG-10300"/>
    <x v="167"/>
    <x v="2"/>
    <x v="0"/>
    <s v="Los Angeles"/>
    <x v="5"/>
    <n v="90049"/>
    <x v="3"/>
    <s v="FUR-CH-10004886"/>
    <x v="1"/>
    <x v="5"/>
    <s v="Bevis Steel Folding Chairs"/>
    <n v="230.28000000000003"/>
    <n v="3"/>
    <n v="0.2"/>
    <n v="23.027999999999992"/>
  </r>
  <r>
    <n v="404"/>
    <s v="US-2023-116785"/>
    <x v="87"/>
    <x v="88"/>
    <s v="Standard Class"/>
    <s v="MH-17290"/>
    <x v="168"/>
    <x v="1"/>
    <x v="0"/>
    <s v="Los Angeles"/>
    <x v="5"/>
    <n v="90036"/>
    <x v="3"/>
    <s v="OFF-AR-10003504"/>
    <x v="0"/>
    <x v="4"/>
    <s v="Newell 347"/>
    <n v="21.400000000000002"/>
    <n v="5"/>
    <n v="0"/>
    <n v="6.2059999999999977"/>
  </r>
  <r>
    <n v="405"/>
    <s v="US-2023-147298"/>
    <x v="87"/>
    <x v="90"/>
    <s v="Standard Class"/>
    <s v="AG-10300"/>
    <x v="167"/>
    <x v="2"/>
    <x v="0"/>
    <s v="Los Angeles"/>
    <x v="5"/>
    <n v="90049"/>
    <x v="3"/>
    <s v="OFF-BI-10001525"/>
    <x v="0"/>
    <x v="1"/>
    <s v="Acco Pressboard Covers with Storage Hooks, 14 7/8&quot; x 11&quot;, Executive Red"/>
    <n v="18.288"/>
    <n v="6"/>
    <n v="0.2"/>
    <n v="5.714999999999999"/>
  </r>
  <r>
    <n v="406"/>
    <s v="US-2023-116785"/>
    <x v="87"/>
    <x v="88"/>
    <s v="Standard Class"/>
    <s v="MH-17290"/>
    <x v="168"/>
    <x v="1"/>
    <x v="0"/>
    <s v="Los Angeles"/>
    <x v="5"/>
    <n v="90036"/>
    <x v="3"/>
    <s v="OFF-LA-10000305"/>
    <x v="0"/>
    <x v="2"/>
    <s v="Avery 495"/>
    <n v="12.6"/>
    <n v="2"/>
    <n v="0"/>
    <n v="5.7959999999999994"/>
  </r>
  <r>
    <n v="407"/>
    <s v="US-2023-118976"/>
    <x v="88"/>
    <x v="90"/>
    <s v="Standard Class"/>
    <s v="MY-18295"/>
    <x v="169"/>
    <x v="2"/>
    <x v="0"/>
    <s v="Baltimore"/>
    <x v="38"/>
    <n v="21215"/>
    <x v="1"/>
    <s v="OFF-AR-10004752"/>
    <x v="0"/>
    <x v="4"/>
    <s v="Blackstonian Pencils"/>
    <n v="5.34"/>
    <n v="2"/>
    <n v="0"/>
    <n v="1.4952000000000001"/>
  </r>
  <r>
    <n v="408"/>
    <s v="US-2023-118976"/>
    <x v="88"/>
    <x v="90"/>
    <s v="Standard Class"/>
    <s v="MY-18295"/>
    <x v="169"/>
    <x v="2"/>
    <x v="0"/>
    <s v="Baltimore"/>
    <x v="38"/>
    <n v="21215"/>
    <x v="1"/>
    <s v="OFF-BI-10001628"/>
    <x v="0"/>
    <x v="1"/>
    <s v="Acco Data Flex Cable Posts For Top &amp; Bottom Load Binders, 6&quot; Capacity"/>
    <n v="20.86"/>
    <n v="2"/>
    <n v="0"/>
    <n v="9.3869999999999987"/>
  </r>
  <r>
    <n v="409"/>
    <s v="US-2023-118976"/>
    <x v="88"/>
    <x v="90"/>
    <s v="Standard Class"/>
    <s v="MY-18295"/>
    <x v="169"/>
    <x v="2"/>
    <x v="0"/>
    <s v="Baltimore"/>
    <x v="38"/>
    <n v="21215"/>
    <x v="1"/>
    <s v="OFF-LA-10000452"/>
    <x v="0"/>
    <x v="2"/>
    <s v="Avery 488"/>
    <n v="3.15"/>
    <n v="1"/>
    <n v="0"/>
    <n v="1.512"/>
  </r>
  <r>
    <n v="410"/>
    <s v="US-2023-140228"/>
    <x v="88"/>
    <x v="90"/>
    <s v="Standard Class"/>
    <s v="GB-14530"/>
    <x v="170"/>
    <x v="2"/>
    <x v="0"/>
    <s v="Newark"/>
    <x v="9"/>
    <n v="43055"/>
    <x v="1"/>
    <s v="OFF-LA-10001613"/>
    <x v="0"/>
    <x v="2"/>
    <s v="Avery File Folder Labels"/>
    <n v="6.911999999999999"/>
    <n v="3"/>
    <n v="0.2"/>
    <n v="2.5056000000000003"/>
  </r>
  <r>
    <n v="411"/>
    <s v="US-2023-118976"/>
    <x v="88"/>
    <x v="90"/>
    <s v="Standard Class"/>
    <s v="MY-18295"/>
    <x v="169"/>
    <x v="2"/>
    <x v="0"/>
    <s v="Baltimore"/>
    <x v="38"/>
    <n v="21215"/>
    <x v="1"/>
    <s v="OFF-ST-10000877"/>
    <x v="0"/>
    <x v="3"/>
    <s v="Recycled Steel Personal File for Standard File Folders"/>
    <n v="497.61"/>
    <n v="9"/>
    <n v="0"/>
    <n v="129.37860000000001"/>
  </r>
  <r>
    <n v="412"/>
    <s v="US-2023-140228"/>
    <x v="88"/>
    <x v="90"/>
    <s v="Standard Class"/>
    <s v="GB-14530"/>
    <x v="170"/>
    <x v="2"/>
    <x v="0"/>
    <s v="Newark"/>
    <x v="9"/>
    <n v="43055"/>
    <x v="1"/>
    <s v="OFF-ST-10001128"/>
    <x v="0"/>
    <x v="3"/>
    <s v="Carina Mini System Audio Rack, Model AR050B"/>
    <n v="177.56800000000001"/>
    <n v="2"/>
    <n v="0.2"/>
    <n v="-37.733199999999989"/>
  </r>
  <r>
    <n v="413"/>
    <s v="US-2023-140228"/>
    <x v="88"/>
    <x v="90"/>
    <s v="Standard Class"/>
    <s v="GB-14530"/>
    <x v="170"/>
    <x v="2"/>
    <x v="0"/>
    <s v="Newark"/>
    <x v="9"/>
    <n v="43055"/>
    <x v="1"/>
    <s v="OFF-ST-10002214"/>
    <x v="0"/>
    <x v="3"/>
    <s v="X-Rack File for Hanging Folders"/>
    <n v="27.096"/>
    <n v="3"/>
    <n v="0.2"/>
    <n v="2.0321999999999987"/>
  </r>
  <r>
    <n v="414"/>
    <s v="US-2023-132983"/>
    <x v="88"/>
    <x v="90"/>
    <s v="Standard Class"/>
    <s v="DS-13180"/>
    <x v="171"/>
    <x v="2"/>
    <x v="0"/>
    <s v="Jamestown"/>
    <x v="21"/>
    <n v="14701"/>
    <x v="1"/>
    <s v="TEC-AC-10000736"/>
    <x v="2"/>
    <x v="9"/>
    <s v="Logitech G600 MMO Gaming Mouse"/>
    <n v="159.97999999999999"/>
    <n v="2"/>
    <n v="0"/>
    <n v="57.592799999999997"/>
  </r>
  <r>
    <n v="415"/>
    <s v="US-2023-131387"/>
    <x v="88"/>
    <x v="88"/>
    <s v="First Class"/>
    <s v="AI-10855"/>
    <x v="172"/>
    <x v="0"/>
    <x v="0"/>
    <s v="San Francisco"/>
    <x v="5"/>
    <n v="94122"/>
    <x v="3"/>
    <s v="TEC-PH-10001459"/>
    <x v="2"/>
    <x v="7"/>
    <s v="Samsung Galaxy Mega 6.3"/>
    <n v="1679.96"/>
    <n v="5"/>
    <n v="0.2"/>
    <n v="125.99700000000007"/>
  </r>
  <r>
    <n v="416"/>
    <s v="US-2023-107811"/>
    <x v="89"/>
    <x v="90"/>
    <s v="Standard Class"/>
    <s v="LA-16780"/>
    <x v="173"/>
    <x v="2"/>
    <x v="0"/>
    <s v="Memphis"/>
    <x v="15"/>
    <n v="38109"/>
    <x v="2"/>
    <s v="FUR-CH-10001394"/>
    <x v="1"/>
    <x v="5"/>
    <s v="Global Leather Executive Chair"/>
    <n v="561.58400000000006"/>
    <n v="2"/>
    <n v="0.2"/>
    <n v="70.197999999999922"/>
  </r>
  <r>
    <n v="417"/>
    <s v="US-2023-142727"/>
    <x v="89"/>
    <x v="91"/>
    <s v="Second Class"/>
    <s v="HG-14845"/>
    <x v="174"/>
    <x v="0"/>
    <x v="0"/>
    <s v="Lake Charles"/>
    <x v="10"/>
    <n v="70601"/>
    <x v="2"/>
    <s v="FUR-CH-10002304"/>
    <x v="1"/>
    <x v="5"/>
    <s v="Global Stack Chair without Arms, Black"/>
    <n v="51.96"/>
    <n v="2"/>
    <n v="0"/>
    <n v="12.990000000000002"/>
  </r>
  <r>
    <n v="418"/>
    <s v="US-2023-134061"/>
    <x v="89"/>
    <x v="92"/>
    <s v="Standard Class"/>
    <s v="LL-16840"/>
    <x v="175"/>
    <x v="0"/>
    <x v="0"/>
    <s v="Rochester"/>
    <x v="21"/>
    <n v="14609"/>
    <x v="1"/>
    <s v="FUR-FU-10001424"/>
    <x v="1"/>
    <x v="8"/>
    <s v="Dax Clear Box Frame"/>
    <n v="17.46"/>
    <n v="2"/>
    <n v="0"/>
    <n v="5.936399999999999"/>
  </r>
  <r>
    <n v="419"/>
    <s v="US-2023-142727"/>
    <x v="89"/>
    <x v="91"/>
    <s v="Second Class"/>
    <s v="HG-14845"/>
    <x v="174"/>
    <x v="0"/>
    <x v="0"/>
    <s v="Lake Charles"/>
    <x v="10"/>
    <n v="70601"/>
    <x v="2"/>
    <s v="OFF-BI-10000136"/>
    <x v="0"/>
    <x v="1"/>
    <s v="Avery Non-Stick Heavy Duty View Round Locking Ring Binders"/>
    <n v="17.940000000000001"/>
    <n v="3"/>
    <n v="0"/>
    <n v="8.6112000000000002"/>
  </r>
  <r>
    <n v="420"/>
    <s v="US-2023-107811"/>
    <x v="89"/>
    <x v="90"/>
    <s v="Standard Class"/>
    <s v="LA-16780"/>
    <x v="173"/>
    <x v="2"/>
    <x v="0"/>
    <s v="Memphis"/>
    <x v="15"/>
    <n v="38109"/>
    <x v="2"/>
    <s v="OFF-ST-10000798"/>
    <x v="0"/>
    <x v="3"/>
    <s v="2300 Heavy-Duty Transfer File Systems by Perma"/>
    <n v="99.920000000000016"/>
    <n v="5"/>
    <n v="0.2"/>
    <n v="-1.249000000000013"/>
  </r>
  <r>
    <n v="421"/>
    <s v="US-2023-118304"/>
    <x v="89"/>
    <x v="92"/>
    <s v="Standard Class"/>
    <s v="KH-16360"/>
    <x v="176"/>
    <x v="0"/>
    <x v="0"/>
    <s v="Dover"/>
    <x v="7"/>
    <n v="19901"/>
    <x v="1"/>
    <s v="TEC-PH-10000376"/>
    <x v="2"/>
    <x v="7"/>
    <s v="Square Credit Card Reader"/>
    <n v="19.98"/>
    <n v="2"/>
    <n v="0"/>
    <n v="5.1948000000000008"/>
  </r>
  <r>
    <n v="422"/>
    <s v="US-2023-160094"/>
    <x v="90"/>
    <x v="93"/>
    <s v="First Class"/>
    <s v="JM-16195"/>
    <x v="177"/>
    <x v="0"/>
    <x v="0"/>
    <s v="Louisville"/>
    <x v="3"/>
    <n v="40214"/>
    <x v="2"/>
    <s v="OFF-AR-10004010"/>
    <x v="0"/>
    <x v="4"/>
    <s v="Hunt Boston Vacuum Mount KS Pencil Sharpener"/>
    <n v="174.95000000000002"/>
    <n v="5"/>
    <n v="0"/>
    <n v="45.487000000000002"/>
  </r>
  <r>
    <n v="423"/>
    <s v="US-2023-160094"/>
    <x v="90"/>
    <x v="93"/>
    <s v="First Class"/>
    <s v="JM-16195"/>
    <x v="177"/>
    <x v="0"/>
    <x v="0"/>
    <s v="Louisville"/>
    <x v="3"/>
    <n v="40214"/>
    <x v="2"/>
    <s v="OFF-ST-10000585"/>
    <x v="0"/>
    <x v="3"/>
    <s v="Economy Rollaway Files"/>
    <n v="826"/>
    <n v="5"/>
    <n v="0"/>
    <n v="214.76"/>
  </r>
  <r>
    <n v="424"/>
    <s v="US-2023-156006"/>
    <x v="90"/>
    <x v="93"/>
    <s v="Second Class"/>
    <s v="TM-21010"/>
    <x v="52"/>
    <x v="0"/>
    <x v="0"/>
    <s v="Jackson"/>
    <x v="31"/>
    <n v="39212"/>
    <x v="2"/>
    <s v="TEC-AC-10002550"/>
    <x v="2"/>
    <x v="9"/>
    <s v="Maxell 4.7GB DVD-RW 3/Pack"/>
    <n v="47.79"/>
    <n v="3"/>
    <n v="0"/>
    <n v="16.2486"/>
  </r>
  <r>
    <n v="425"/>
    <s v="US-2023-115056"/>
    <x v="91"/>
    <x v="93"/>
    <s v="Same Day"/>
    <s v="AR-10510"/>
    <x v="178"/>
    <x v="0"/>
    <x v="0"/>
    <s v="Columbus"/>
    <x v="9"/>
    <n v="43229"/>
    <x v="1"/>
    <s v="OFF-AP-10003971"/>
    <x v="0"/>
    <x v="12"/>
    <s v="Belkin 6 Outlet Metallic Surge Strip"/>
    <n v="26.136000000000003"/>
    <n v="3"/>
    <n v="0.2"/>
    <n v="1.9602000000000004"/>
  </r>
  <r>
    <n v="426"/>
    <s v="US-2023-124618"/>
    <x v="91"/>
    <x v="92"/>
    <s v="Second Class"/>
    <s v="CS-11860"/>
    <x v="179"/>
    <x v="0"/>
    <x v="0"/>
    <s v="Lakeland"/>
    <x v="16"/>
    <n v="33801"/>
    <x v="2"/>
    <s v="TEC-CO-10004202"/>
    <x v="2"/>
    <x v="16"/>
    <s v="Brother DCP1000 Digital 3 in 1 Multifunction Machine"/>
    <n v="479.98400000000004"/>
    <n v="2"/>
    <n v="0.2"/>
    <n v="89.996999999999986"/>
  </r>
  <r>
    <n v="427"/>
    <s v="US-2023-135755"/>
    <x v="92"/>
    <x v="94"/>
    <s v="Standard Class"/>
    <s v="NC-18415"/>
    <x v="180"/>
    <x v="0"/>
    <x v="0"/>
    <s v="Yonkers"/>
    <x v="21"/>
    <n v="10701"/>
    <x v="1"/>
    <s v="OFF-BI-10003981"/>
    <x v="0"/>
    <x v="1"/>
    <s v="Avery Durable Plastic 1&quot; Binders"/>
    <n v="10.896000000000001"/>
    <n v="3"/>
    <n v="0.2"/>
    <n v="3.9497999999999998"/>
  </r>
  <r>
    <n v="428"/>
    <s v="US-2023-135755"/>
    <x v="92"/>
    <x v="94"/>
    <s v="Standard Class"/>
    <s v="NC-18415"/>
    <x v="180"/>
    <x v="0"/>
    <x v="0"/>
    <s v="Yonkers"/>
    <x v="21"/>
    <n v="10701"/>
    <x v="1"/>
    <s v="OFF-BI-10004828"/>
    <x v="0"/>
    <x v="1"/>
    <s v="GBC Poly Designer Binding Covers"/>
    <n v="40.176000000000002"/>
    <n v="3"/>
    <n v="0.2"/>
    <n v="14.563799999999997"/>
  </r>
  <r>
    <n v="429"/>
    <s v="US-2023-130274"/>
    <x v="92"/>
    <x v="95"/>
    <s v="First Class"/>
    <s v="JS-15940"/>
    <x v="181"/>
    <x v="1"/>
    <x v="0"/>
    <s v="Appleton"/>
    <x v="22"/>
    <n v="54915"/>
    <x v="0"/>
    <s v="OFF-LA-10002195"/>
    <x v="0"/>
    <x v="2"/>
    <s v="Avery 481"/>
    <n v="21.560000000000002"/>
    <n v="7"/>
    <n v="0"/>
    <n v="10.348799999999999"/>
  </r>
  <r>
    <n v="430"/>
    <s v="US-2023-155271"/>
    <x v="93"/>
    <x v="92"/>
    <s v="Same Day"/>
    <s v="AA-10480"/>
    <x v="182"/>
    <x v="0"/>
    <x v="0"/>
    <s v="Middletown"/>
    <x v="39"/>
    <n v="6457"/>
    <x v="1"/>
    <s v="FUR-FU-10001473"/>
    <x v="1"/>
    <x v="8"/>
    <s v="DAX Wood Document Frame"/>
    <n v="27.46"/>
    <n v="2"/>
    <n v="0"/>
    <n v="9.8856000000000002"/>
  </r>
  <r>
    <n v="431"/>
    <s v="US-2023-148194"/>
    <x v="93"/>
    <x v="96"/>
    <s v="First Class"/>
    <s v="BS-11365"/>
    <x v="183"/>
    <x v="2"/>
    <x v="0"/>
    <s v="Seattle"/>
    <x v="23"/>
    <n v="98105"/>
    <x v="3"/>
    <s v="FUR-FU-10001852"/>
    <x v="1"/>
    <x v="8"/>
    <s v="Eldon Regeneration Recycled Desk Accessories, Smoke"/>
    <n v="12.18"/>
    <n v="7"/>
    <n v="0"/>
    <n v="3.8975999999999997"/>
  </r>
  <r>
    <n v="432"/>
    <s v="US-2023-148194"/>
    <x v="93"/>
    <x v="96"/>
    <s v="First Class"/>
    <s v="BS-11365"/>
    <x v="183"/>
    <x v="2"/>
    <x v="0"/>
    <s v="Seattle"/>
    <x v="23"/>
    <n v="98105"/>
    <x v="3"/>
    <s v="OFF-AP-10000696"/>
    <x v="0"/>
    <x v="12"/>
    <s v="Holmes Odor Grabber"/>
    <n v="57.68"/>
    <n v="4"/>
    <n v="0"/>
    <n v="19.034399999999998"/>
  </r>
  <r>
    <n v="433"/>
    <s v="US-2023-111899"/>
    <x v="93"/>
    <x v="95"/>
    <s v="First Class"/>
    <s v="NC-18340"/>
    <x v="117"/>
    <x v="0"/>
    <x v="0"/>
    <s v="Houston"/>
    <x v="0"/>
    <n v="77036"/>
    <x v="0"/>
    <s v="OFF-AR-10001725"/>
    <x v="0"/>
    <x v="4"/>
    <s v="Boston Home &amp; Office Model 2000 Electric Pencil Sharpeners"/>
    <n v="37.839999999999996"/>
    <n v="2"/>
    <n v="0.2"/>
    <n v="2.8380000000000027"/>
  </r>
  <r>
    <n v="434"/>
    <s v="US-2023-117709"/>
    <x v="93"/>
    <x v="97"/>
    <s v="Standard Class"/>
    <s v="PM-18940"/>
    <x v="184"/>
    <x v="0"/>
    <x v="0"/>
    <s v="Jackson"/>
    <x v="14"/>
    <n v="49201"/>
    <x v="0"/>
    <s v="OFF-BI-10001294"/>
    <x v="0"/>
    <x v="1"/>
    <s v="Fellowes Binding Cases"/>
    <n v="46.8"/>
    <n v="4"/>
    <n v="0"/>
    <n v="21.059999999999995"/>
  </r>
  <r>
    <n v="435"/>
    <s v="US-2023-111899"/>
    <x v="93"/>
    <x v="95"/>
    <s v="First Class"/>
    <s v="NC-18340"/>
    <x v="117"/>
    <x v="0"/>
    <x v="0"/>
    <s v="Houston"/>
    <x v="0"/>
    <n v="77036"/>
    <x v="0"/>
    <s v="OFF-FA-10000840"/>
    <x v="0"/>
    <x v="6"/>
    <s v="OIC Thumb-Tacks"/>
    <n v="5.4719999999999995"/>
    <n v="6"/>
    <n v="0.2"/>
    <n v="1.8467999999999996"/>
  </r>
  <r>
    <n v="436"/>
    <s v="US-2023-110219"/>
    <x v="94"/>
    <x v="97"/>
    <s v="First Class"/>
    <s v="EB-13870"/>
    <x v="185"/>
    <x v="0"/>
    <x v="0"/>
    <s v="San Antonio"/>
    <x v="0"/>
    <n v="78207"/>
    <x v="0"/>
    <s v="FUR-CH-10001146"/>
    <x v="1"/>
    <x v="5"/>
    <s v="Global Value Mid-Back Manager's Chair, Gray"/>
    <n v="127.869"/>
    <n v="3"/>
    <n v="0.3"/>
    <n v="-9.1335000000000122"/>
  </r>
  <r>
    <n v="437"/>
    <s v="US-2023-166457"/>
    <x v="94"/>
    <x v="98"/>
    <s v="Second Class"/>
    <s v="PF-19120"/>
    <x v="186"/>
    <x v="0"/>
    <x v="0"/>
    <s v="Richmond"/>
    <x v="3"/>
    <n v="40475"/>
    <x v="2"/>
    <s v="OFF-AR-10003651"/>
    <x v="0"/>
    <x v="4"/>
    <s v="Newell 350"/>
    <n v="6.56"/>
    <n v="2"/>
    <n v="0"/>
    <n v="1.9023999999999992"/>
  </r>
  <r>
    <n v="438"/>
    <s v="US-2023-111934"/>
    <x v="94"/>
    <x v="96"/>
    <s v="First Class"/>
    <s v="GD-14590"/>
    <x v="187"/>
    <x v="2"/>
    <x v="0"/>
    <s v="Arlington"/>
    <x v="6"/>
    <n v="22204"/>
    <x v="2"/>
    <s v="OFF-BI-10004364"/>
    <x v="0"/>
    <x v="1"/>
    <s v="Storex Dura Pro Binders"/>
    <n v="11.88"/>
    <n v="2"/>
    <n v="0"/>
    <n v="5.3460000000000001"/>
  </r>
  <r>
    <n v="439"/>
    <s v="US-2023-111934"/>
    <x v="94"/>
    <x v="96"/>
    <s v="First Class"/>
    <s v="GD-14590"/>
    <x v="187"/>
    <x v="2"/>
    <x v="0"/>
    <s v="Arlington"/>
    <x v="6"/>
    <n v="22204"/>
    <x v="2"/>
    <s v="OFF-PA-10000474"/>
    <x v="0"/>
    <x v="0"/>
    <s v="Easy-staple paper"/>
    <n v="35.44"/>
    <n v="1"/>
    <n v="0"/>
    <n v="16.656799999999997"/>
  </r>
  <r>
    <n v="440"/>
    <s v="US-2023-166457"/>
    <x v="94"/>
    <x v="98"/>
    <s v="Second Class"/>
    <s v="PF-19120"/>
    <x v="186"/>
    <x v="0"/>
    <x v="0"/>
    <s v="Richmond"/>
    <x v="3"/>
    <n v="40475"/>
    <x v="2"/>
    <s v="OFF-PA-10001363"/>
    <x v="0"/>
    <x v="0"/>
    <s v="Xerox 1933"/>
    <n v="24.56"/>
    <n v="2"/>
    <n v="0"/>
    <n v="11.543199999999999"/>
  </r>
  <r>
    <n v="441"/>
    <s v="US-2023-166457"/>
    <x v="94"/>
    <x v="98"/>
    <s v="Second Class"/>
    <s v="PF-19120"/>
    <x v="186"/>
    <x v="0"/>
    <x v="0"/>
    <s v="Richmond"/>
    <x v="3"/>
    <n v="40475"/>
    <x v="2"/>
    <s v="OFF-PA-10003016"/>
    <x v="0"/>
    <x v="0"/>
    <s v="Adams &quot;While You Were Out&quot; Message Pads"/>
    <n v="9.42"/>
    <n v="3"/>
    <n v="0"/>
    <n v="4.238999999999999"/>
  </r>
  <r>
    <n v="442"/>
    <s v="US-2023-160738"/>
    <x v="94"/>
    <x v="94"/>
    <s v="Standard Class"/>
    <s v="KH-16330"/>
    <x v="123"/>
    <x v="2"/>
    <x v="0"/>
    <s v="Freeport"/>
    <x v="1"/>
    <n v="61032"/>
    <x v="0"/>
    <s v="OFF-ST-10003442"/>
    <x v="0"/>
    <x v="3"/>
    <s v="Eldon Portable Mobile Manager"/>
    <n v="45.248000000000005"/>
    <n v="2"/>
    <n v="0.2"/>
    <n v="3.9591999999999992"/>
  </r>
  <r>
    <n v="443"/>
    <s v="US-2023-154879"/>
    <x v="95"/>
    <x v="99"/>
    <s v="Standard Class"/>
    <s v="SN-20710"/>
    <x v="188"/>
    <x v="1"/>
    <x v="0"/>
    <s v="Los Angeles"/>
    <x v="5"/>
    <n v="90004"/>
    <x v="3"/>
    <s v="OFF-AR-10001897"/>
    <x v="0"/>
    <x v="4"/>
    <s v="Model L Table or Wall-Mount Pencil Sharpener"/>
    <n v="107.94"/>
    <n v="6"/>
    <n v="0"/>
    <n v="30.223200000000002"/>
  </r>
  <r>
    <n v="444"/>
    <s v="US-2023-121664"/>
    <x v="95"/>
    <x v="94"/>
    <s v="Standard Class"/>
    <s v="HP-14815"/>
    <x v="189"/>
    <x v="1"/>
    <x v="0"/>
    <s v="Los Angeles"/>
    <x v="5"/>
    <n v="90049"/>
    <x v="3"/>
    <s v="OFF-BI-10003684"/>
    <x v="0"/>
    <x v="1"/>
    <s v="Wilson Jones Legal Size Ring Binders"/>
    <n v="140.73599999999999"/>
    <n v="8"/>
    <n v="0.2"/>
    <n v="52.775999999999996"/>
  </r>
  <r>
    <n v="445"/>
    <s v="US-2023-154879"/>
    <x v="95"/>
    <x v="99"/>
    <s v="Standard Class"/>
    <s v="SN-20710"/>
    <x v="188"/>
    <x v="1"/>
    <x v="0"/>
    <s v="Los Angeles"/>
    <x v="5"/>
    <n v="90004"/>
    <x v="3"/>
    <s v="OFF-LA-10004425"/>
    <x v="0"/>
    <x v="2"/>
    <s v="Staple-on labels"/>
    <n v="5.78"/>
    <n v="2"/>
    <n v="0"/>
    <n v="2.7166000000000001"/>
  </r>
  <r>
    <n v="446"/>
    <s v="US-2023-166086"/>
    <x v="96"/>
    <x v="100"/>
    <s v="Standard Class"/>
    <s v="CT-11995"/>
    <x v="190"/>
    <x v="0"/>
    <x v="0"/>
    <s v="Lawrence"/>
    <x v="34"/>
    <n v="1841"/>
    <x v="1"/>
    <s v="FUR-CH-10004675"/>
    <x v="1"/>
    <x v="5"/>
    <s v="Lifetime Advantage Folding Chairs, 4/Carton"/>
    <n v="872.32"/>
    <n v="4"/>
    <n v="0"/>
    <n v="244.24959999999999"/>
  </r>
  <r>
    <n v="447"/>
    <s v="US-2023-166086"/>
    <x v="96"/>
    <x v="100"/>
    <s v="Standard Class"/>
    <s v="CT-11995"/>
    <x v="190"/>
    <x v="0"/>
    <x v="0"/>
    <s v="Lawrence"/>
    <x v="34"/>
    <n v="1841"/>
    <x v="1"/>
    <s v="FUR-TA-10003469"/>
    <x v="1"/>
    <x v="13"/>
    <s v="Balt Split Level Computer Training Table"/>
    <n v="194.25"/>
    <n v="2"/>
    <n v="0.3"/>
    <n v="-38.849999999999994"/>
  </r>
  <r>
    <n v="448"/>
    <s v="US-2023-166086"/>
    <x v="96"/>
    <x v="100"/>
    <s v="Standard Class"/>
    <s v="CT-11995"/>
    <x v="190"/>
    <x v="0"/>
    <x v="0"/>
    <s v="Lawrence"/>
    <x v="34"/>
    <n v="1841"/>
    <x v="1"/>
    <s v="OFF-AR-10002578"/>
    <x v="0"/>
    <x v="4"/>
    <s v="Newell 335"/>
    <n v="8.64"/>
    <n v="3"/>
    <n v="0"/>
    <n v="2.5055999999999998"/>
  </r>
  <r>
    <n v="449"/>
    <s v="US-2023-166086"/>
    <x v="96"/>
    <x v="100"/>
    <s v="Standard Class"/>
    <s v="CT-11995"/>
    <x v="190"/>
    <x v="0"/>
    <x v="0"/>
    <s v="Lawrence"/>
    <x v="34"/>
    <n v="1841"/>
    <x v="1"/>
    <s v="OFF-BI-10001078"/>
    <x v="0"/>
    <x v="1"/>
    <s v="Acco PRESSTEX Data Binder with Storage Hooks, Dark Blue, 14 7/8&quot; X 11&quot;"/>
    <n v="16.14"/>
    <n v="3"/>
    <n v="0"/>
    <n v="7.9085999999999999"/>
  </r>
  <r>
    <n v="450"/>
    <s v="CA-2023-166086"/>
    <x v="96"/>
    <x v="100"/>
    <s v="Standard Class"/>
    <s v="CT-11995"/>
    <x v="190"/>
    <x v="0"/>
    <x v="1"/>
    <s v="Toronto"/>
    <x v="17"/>
    <s v="M3C"/>
    <x v="1"/>
    <s v="FUR-CH-10004675"/>
    <x v="1"/>
    <x v="5"/>
    <s v="Lifetime Advantage Folding Chairs, 4/Carton"/>
    <n v="872.32"/>
    <n v="4"/>
    <n v="0"/>
    <n v="244.24959999999999"/>
  </r>
  <r>
    <n v="451"/>
    <s v="CA-2023-166086"/>
    <x v="96"/>
    <x v="100"/>
    <s v="Standard Class"/>
    <s v="CT-11995"/>
    <x v="190"/>
    <x v="0"/>
    <x v="1"/>
    <s v="Toronto"/>
    <x v="17"/>
    <s v="M3C"/>
    <x v="1"/>
    <s v="FUR-TA-10003469"/>
    <x v="1"/>
    <x v="13"/>
    <s v="Balt Split Level Computer Training Table"/>
    <n v="194.25"/>
    <n v="2"/>
    <n v="0.3"/>
    <n v="-38.849999999999994"/>
  </r>
  <r>
    <n v="452"/>
    <s v="CA-2023-166086"/>
    <x v="96"/>
    <x v="100"/>
    <s v="Standard Class"/>
    <s v="CT-11995"/>
    <x v="190"/>
    <x v="0"/>
    <x v="1"/>
    <s v="Toronto"/>
    <x v="17"/>
    <s v="M3C"/>
    <x v="1"/>
    <s v="OFF-AR-10002578"/>
    <x v="0"/>
    <x v="4"/>
    <s v="Newell 335"/>
    <n v="8.64"/>
    <n v="3"/>
    <n v="0"/>
    <n v="2.5055999999999998"/>
  </r>
  <r>
    <n v="453"/>
    <s v="CA-2023-166086"/>
    <x v="96"/>
    <x v="100"/>
    <s v="Standard Class"/>
    <s v="CT-11995"/>
    <x v="190"/>
    <x v="0"/>
    <x v="1"/>
    <s v="Toronto"/>
    <x v="17"/>
    <s v="M3C"/>
    <x v="1"/>
    <s v="OFF-BI-10001078"/>
    <x v="0"/>
    <x v="1"/>
    <s v="Acco PRESSTEX Data Binder with Storage Hooks, Dark Blue, 14 7/8&quot; X 11&quot;"/>
    <n v="16.14"/>
    <n v="3"/>
    <n v="0"/>
    <n v="7.9085999999999999"/>
  </r>
  <r>
    <n v="454"/>
    <s v="US-2023-116666"/>
    <x v="97"/>
    <x v="94"/>
    <s v="First Class"/>
    <s v="KT-16480"/>
    <x v="73"/>
    <x v="0"/>
    <x v="0"/>
    <s v="Philadelphia"/>
    <x v="2"/>
    <n v="19134"/>
    <x v="1"/>
    <s v="TEC-CO-10001449"/>
    <x v="2"/>
    <x v="16"/>
    <s v="Hewlett Packard LaserJet 3310 Copier"/>
    <n v="1799.9699999999998"/>
    <n v="5"/>
    <n v="0.4"/>
    <n v="239.99600000000009"/>
  </r>
  <r>
    <n v="455"/>
    <s v="US-2023-158771"/>
    <x v="98"/>
    <x v="98"/>
    <s v="Same Day"/>
    <s v="SB-20290"/>
    <x v="191"/>
    <x v="2"/>
    <x v="0"/>
    <s v="Henderson"/>
    <x v="3"/>
    <n v="42420"/>
    <x v="2"/>
    <s v="OFF-LA-10001641"/>
    <x v="0"/>
    <x v="2"/>
    <s v="Avery 518"/>
    <n v="9.4499999999999993"/>
    <n v="3"/>
    <n v="0"/>
    <n v="4.5359999999999996"/>
  </r>
  <r>
    <n v="456"/>
    <s v="US-2023-158771"/>
    <x v="98"/>
    <x v="98"/>
    <s v="Same Day"/>
    <s v="SB-20290"/>
    <x v="191"/>
    <x v="2"/>
    <x v="0"/>
    <s v="Henderson"/>
    <x v="3"/>
    <n v="42420"/>
    <x v="2"/>
    <s v="OFF-LA-10003121"/>
    <x v="0"/>
    <x v="2"/>
    <s v="Avery 506"/>
    <n v="20.65"/>
    <n v="5"/>
    <n v="0"/>
    <n v="9.4989999999999988"/>
  </r>
  <r>
    <n v="457"/>
    <s v="US-2023-158771"/>
    <x v="98"/>
    <x v="98"/>
    <s v="Same Day"/>
    <s v="SB-20290"/>
    <x v="191"/>
    <x v="2"/>
    <x v="0"/>
    <s v="Henderson"/>
    <x v="3"/>
    <n v="42420"/>
    <x v="2"/>
    <s v="OFF-PA-10002689"/>
    <x v="0"/>
    <x v="0"/>
    <s v="Weyerhaeuser First Choice Laser/Copy Paper (20Lb. and 88 Bright)"/>
    <n v="45.36"/>
    <n v="7"/>
    <n v="0"/>
    <n v="21.772800000000004"/>
  </r>
  <r>
    <n v="458"/>
    <s v="US-2023-158771"/>
    <x v="98"/>
    <x v="98"/>
    <s v="Same Day"/>
    <s v="SB-20290"/>
    <x v="191"/>
    <x v="2"/>
    <x v="0"/>
    <s v="Henderson"/>
    <x v="3"/>
    <n v="42420"/>
    <x v="2"/>
    <s v="OFF-ST-10000107"/>
    <x v="0"/>
    <x v="3"/>
    <s v="Fellowes Super Stor/Drawer"/>
    <n v="83.25"/>
    <n v="3"/>
    <n v="0"/>
    <n v="14.984999999999992"/>
  </r>
  <r>
    <n v="459"/>
    <s v="US-2023-102071"/>
    <x v="98"/>
    <x v="101"/>
    <s v="Standard Class"/>
    <s v="PG-18820"/>
    <x v="192"/>
    <x v="0"/>
    <x v="0"/>
    <s v="San Francisco"/>
    <x v="5"/>
    <n v="94110"/>
    <x v="3"/>
    <s v="TEC-AC-10000109"/>
    <x v="2"/>
    <x v="9"/>
    <s v="Sony Micro Vault Click 16 GB USB 2.0 Flash Drive"/>
    <n v="167.97"/>
    <n v="3"/>
    <n v="0"/>
    <n v="40.31280000000001"/>
  </r>
  <r>
    <n v="460"/>
    <s v="US-2023-102071"/>
    <x v="98"/>
    <x v="101"/>
    <s v="Standard Class"/>
    <s v="PG-18820"/>
    <x v="192"/>
    <x v="0"/>
    <x v="0"/>
    <s v="San Francisco"/>
    <x v="5"/>
    <n v="94110"/>
    <x v="3"/>
    <s v="TEC-AC-10003441"/>
    <x v="2"/>
    <x v="9"/>
    <s v="Kingston Digital DataTraveler 32GB USB 2.0"/>
    <n v="67.8"/>
    <n v="4"/>
    <n v="0"/>
    <n v="4.0679999999999978"/>
  </r>
  <r>
    <n v="461"/>
    <s v="US-2023-114181"/>
    <x v="99"/>
    <x v="102"/>
    <s v="Second Class"/>
    <s v="AF-10885"/>
    <x v="193"/>
    <x v="0"/>
    <x v="0"/>
    <s v="Philadelphia"/>
    <x v="2"/>
    <n v="19134"/>
    <x v="1"/>
    <s v="FUR-BO-10004467"/>
    <x v="1"/>
    <x v="10"/>
    <s v="Bestar Classic Bookcase"/>
    <n v="349.96499999999997"/>
    <n v="7"/>
    <n v="0.5"/>
    <n v="-216.97830000000002"/>
  </r>
  <r>
    <n v="462"/>
    <s v="US-2023-103310"/>
    <x v="99"/>
    <x v="101"/>
    <s v="Standard Class"/>
    <s v="GM-14680"/>
    <x v="194"/>
    <x v="0"/>
    <x v="0"/>
    <s v="San Jose"/>
    <x v="5"/>
    <n v="95123"/>
    <x v="3"/>
    <s v="FUR-CH-10002320"/>
    <x v="1"/>
    <x v="5"/>
    <s v="Hon Pagoda Stacking Chairs"/>
    <n v="256.78400000000005"/>
    <n v="1"/>
    <n v="0.2"/>
    <n v="32.097999999999971"/>
  </r>
  <r>
    <n v="463"/>
    <s v="US-2023-114181"/>
    <x v="99"/>
    <x v="102"/>
    <s v="Second Class"/>
    <s v="AF-10885"/>
    <x v="193"/>
    <x v="0"/>
    <x v="0"/>
    <s v="Philadelphia"/>
    <x v="2"/>
    <n v="19134"/>
    <x v="1"/>
    <s v="OFF-AR-10000716"/>
    <x v="0"/>
    <x v="4"/>
    <s v="DIXON Ticonderoga Erasable Checking Pencils"/>
    <n v="22.32"/>
    <n v="5"/>
    <n v="0.2"/>
    <n v="5.3010000000000002"/>
  </r>
  <r>
    <n v="464"/>
    <s v="US-2023-159709"/>
    <x v="99"/>
    <x v="101"/>
    <s v="Standard Class"/>
    <s v="AI-10855"/>
    <x v="172"/>
    <x v="0"/>
    <x v="0"/>
    <s v="Kent"/>
    <x v="23"/>
    <n v="98031"/>
    <x v="3"/>
    <s v="OFF-EN-10001434"/>
    <x v="0"/>
    <x v="11"/>
    <s v="Strathmore #10 Envelopes, Ultimate White"/>
    <n v="158.13"/>
    <n v="3"/>
    <n v="0"/>
    <n v="77.483699999999999"/>
  </r>
  <r>
    <n v="465"/>
    <s v="US-2023-103310"/>
    <x v="99"/>
    <x v="101"/>
    <s v="Standard Class"/>
    <s v="GM-14680"/>
    <x v="194"/>
    <x v="0"/>
    <x v="0"/>
    <s v="San Jose"/>
    <x v="5"/>
    <n v="95123"/>
    <x v="3"/>
    <s v="OFF-PA-10004353"/>
    <x v="0"/>
    <x v="0"/>
    <s v="Southworth 25% Cotton Premium Laser Paper and Envelopes"/>
    <n v="39.96"/>
    <n v="2"/>
    <n v="0"/>
    <n v="19.180800000000001"/>
  </r>
  <r>
    <n v="466"/>
    <s v="US-2023-103310"/>
    <x v="99"/>
    <x v="101"/>
    <s v="Standard Class"/>
    <s v="GM-14680"/>
    <x v="194"/>
    <x v="0"/>
    <x v="0"/>
    <s v="San Jose"/>
    <x v="5"/>
    <n v="95123"/>
    <x v="3"/>
    <s v="OFF-SU-10004737"/>
    <x v="0"/>
    <x v="14"/>
    <s v="Acme Design Stainless Steel Bent Scissors"/>
    <n v="41.04"/>
    <n v="6"/>
    <n v="0"/>
    <n v="11.0808"/>
  </r>
  <r>
    <n v="467"/>
    <s v="US-2023-103310"/>
    <x v="99"/>
    <x v="101"/>
    <s v="Standard Class"/>
    <s v="GM-14680"/>
    <x v="194"/>
    <x v="0"/>
    <x v="0"/>
    <s v="San Jose"/>
    <x v="5"/>
    <n v="95123"/>
    <x v="3"/>
    <s v="TEC-PH-10001817"/>
    <x v="2"/>
    <x v="7"/>
    <s v="Wilson Electronics DB Pro Signal Booster"/>
    <n v="1432.0000000000002"/>
    <n v="5"/>
    <n v="0.2"/>
    <n v="125.30000000000007"/>
  </r>
  <r>
    <n v="468"/>
    <s v="US-2023-159709"/>
    <x v="99"/>
    <x v="101"/>
    <s v="Standard Class"/>
    <s v="AI-10855"/>
    <x v="172"/>
    <x v="0"/>
    <x v="0"/>
    <s v="Kent"/>
    <x v="23"/>
    <n v="98031"/>
    <x v="3"/>
    <s v="TEC-PH-10003988"/>
    <x v="2"/>
    <x v="7"/>
    <s v="LF Elite 3D Dazzle Designer Hard Case Cover, Lf Stylus Pen and Wiper For Apple Iphone 5c Mini Lite"/>
    <n v="43.6"/>
    <n v="5"/>
    <n v="0.2"/>
    <n v="4.3600000000000012"/>
  </r>
  <r>
    <n v="469"/>
    <s v="US-2023-152100"/>
    <x v="100"/>
    <x v="103"/>
    <s v="Standard Class"/>
    <s v="VW-21775"/>
    <x v="195"/>
    <x v="2"/>
    <x v="0"/>
    <s v="Huntsville"/>
    <x v="0"/>
    <n v="77340"/>
    <x v="0"/>
    <s v="FUR-CH-10000015"/>
    <x v="1"/>
    <x v="5"/>
    <s v="Hon Multipurpose Stacking Arm Chairs"/>
    <n v="1212.9599999999998"/>
    <n v="8"/>
    <n v="0.3"/>
    <n v="-69.311999999999898"/>
  </r>
  <r>
    <n v="470"/>
    <s v="US-2023-103849"/>
    <x v="100"/>
    <x v="103"/>
    <s v="Standard Class"/>
    <s v="PG-18895"/>
    <x v="196"/>
    <x v="0"/>
    <x v="0"/>
    <s v="Fort Worth"/>
    <x v="0"/>
    <n v="76106"/>
    <x v="0"/>
    <s v="FUR-FU-10000723"/>
    <x v="1"/>
    <x v="8"/>
    <s v="Deflect-o EconoMat Studded, No Bevel Mat for Low Pile Carpeting"/>
    <n v="66.112000000000009"/>
    <n v="4"/>
    <n v="0.6"/>
    <n v="-84.292799999999986"/>
  </r>
  <r>
    <n v="471"/>
    <s v="US-2023-127523"/>
    <x v="100"/>
    <x v="104"/>
    <s v="Standard Class"/>
    <s v="BG-11695"/>
    <x v="197"/>
    <x v="2"/>
    <x v="0"/>
    <s v="Watertown"/>
    <x v="21"/>
    <n v="13601"/>
    <x v="1"/>
    <s v="OFF-AP-10004249"/>
    <x v="0"/>
    <x v="12"/>
    <s v="Staple holder"/>
    <n v="35.910000000000004"/>
    <n v="3"/>
    <n v="0"/>
    <n v="9.6956999999999987"/>
  </r>
  <r>
    <n v="472"/>
    <s v="US-2023-119172"/>
    <x v="100"/>
    <x v="101"/>
    <s v="Standard Class"/>
    <s v="HD-14785"/>
    <x v="198"/>
    <x v="1"/>
    <x v="0"/>
    <s v="Chicago"/>
    <x v="1"/>
    <n v="60610"/>
    <x v="0"/>
    <s v="OFF-BI-10002026"/>
    <x v="0"/>
    <x v="1"/>
    <s v="Avery Arch Ring Binders"/>
    <n v="104.57999999999998"/>
    <n v="9"/>
    <n v="0.8"/>
    <n v="-172.55700000000007"/>
  </r>
  <r>
    <n v="473"/>
    <s v="US-2023-119172"/>
    <x v="100"/>
    <x v="101"/>
    <s v="Standard Class"/>
    <s v="HD-14785"/>
    <x v="198"/>
    <x v="1"/>
    <x v="0"/>
    <s v="Chicago"/>
    <x v="1"/>
    <n v="60610"/>
    <x v="0"/>
    <s v="OFF-PA-10003036"/>
    <x v="0"/>
    <x v="0"/>
    <s v="Black Print Carbonless 8 1/2&quot; x 8 1/4&quot; Rapid Memo Book"/>
    <n v="17.472000000000001"/>
    <n v="3"/>
    <n v="0.2"/>
    <n v="5.6783999999999981"/>
  </r>
  <r>
    <n v="474"/>
    <s v="US-2023-139017"/>
    <x v="100"/>
    <x v="105"/>
    <s v="Standard Class"/>
    <s v="RM-19375"/>
    <x v="199"/>
    <x v="0"/>
    <x v="0"/>
    <s v="Houston"/>
    <x v="0"/>
    <n v="77095"/>
    <x v="0"/>
    <s v="TEC-AC-10001013"/>
    <x v="2"/>
    <x v="9"/>
    <s v="Logitech ClearChat Comfort/USB Headset H390"/>
    <n v="46.864000000000004"/>
    <n v="2"/>
    <n v="0.2"/>
    <n v="7.615399999999994"/>
  </r>
  <r>
    <n v="475"/>
    <s v="US-2023-103849"/>
    <x v="100"/>
    <x v="103"/>
    <s v="Standard Class"/>
    <s v="PG-18895"/>
    <x v="196"/>
    <x v="0"/>
    <x v="0"/>
    <s v="Fort Worth"/>
    <x v="0"/>
    <n v="76106"/>
    <x v="0"/>
    <s v="TEC-AC-10001465"/>
    <x v="2"/>
    <x v="9"/>
    <s v="SanDisk Cruzer 64 GB USB Flash Drive"/>
    <n v="58.112000000000002"/>
    <n v="2"/>
    <n v="0.2"/>
    <n v="7.263999999999994"/>
  </r>
  <r>
    <n v="476"/>
    <s v="US-2023-103849"/>
    <x v="100"/>
    <x v="103"/>
    <s v="Standard Class"/>
    <s v="PG-18895"/>
    <x v="196"/>
    <x v="0"/>
    <x v="0"/>
    <s v="Fort Worth"/>
    <x v="0"/>
    <n v="76106"/>
    <x v="0"/>
    <s v="TEC-PH-10002597"/>
    <x v="2"/>
    <x v="7"/>
    <s v="Xblue XB-1670-86 X16 Small Office Telephone - Titanium"/>
    <n v="100.792"/>
    <n v="1"/>
    <n v="0.2"/>
    <n v="6.2995000000000019"/>
  </r>
  <r>
    <n v="477"/>
    <s v="US-2023-127159"/>
    <x v="101"/>
    <x v="101"/>
    <s v="First Class"/>
    <s v="HL-15040"/>
    <x v="19"/>
    <x v="0"/>
    <x v="0"/>
    <s v="Milwaukee"/>
    <x v="22"/>
    <n v="53209"/>
    <x v="0"/>
    <s v="FUR-FU-10000010"/>
    <x v="1"/>
    <x v="8"/>
    <s v="DAX Value U-Channel Document Frames, Easel Back"/>
    <n v="34.79"/>
    <n v="7"/>
    <n v="0"/>
    <n v="10.784899999999999"/>
  </r>
  <r>
    <n v="478"/>
    <s v="US-2023-155887"/>
    <x v="101"/>
    <x v="105"/>
    <s v="Standard Class"/>
    <s v="KT-16480"/>
    <x v="73"/>
    <x v="0"/>
    <x v="0"/>
    <s v="Franklin"/>
    <x v="34"/>
    <n v="2038"/>
    <x v="1"/>
    <s v="FUR-TA-10002228"/>
    <x v="1"/>
    <x v="13"/>
    <s v="Bevis Traditional Conference Table Top, Plinth Base"/>
    <n v="700.05600000000004"/>
    <n v="3"/>
    <n v="0.3"/>
    <n v="-130.0104"/>
  </r>
  <r>
    <n v="479"/>
    <s v="US-2023-113768"/>
    <x v="102"/>
    <x v="106"/>
    <s v="Standard Class"/>
    <s v="AH-10030"/>
    <x v="161"/>
    <x v="2"/>
    <x v="0"/>
    <s v="Los Angeles"/>
    <x v="5"/>
    <n v="90004"/>
    <x v="3"/>
    <s v="FUR-CH-10002439"/>
    <x v="1"/>
    <x v="5"/>
    <s v="Iceberg Nesting Folding Chair, 19w x 6d x 43h"/>
    <n v="279.45600000000002"/>
    <n v="6"/>
    <n v="0.2"/>
    <n v="20.959199999999996"/>
  </r>
  <r>
    <n v="480"/>
    <s v="US-2023-140165"/>
    <x v="102"/>
    <x v="101"/>
    <s v="First Class"/>
    <s v="EH-14005"/>
    <x v="200"/>
    <x v="1"/>
    <x v="0"/>
    <s v="Hialeah"/>
    <x v="16"/>
    <n v="33012"/>
    <x v="2"/>
    <s v="OFF-BI-10004519"/>
    <x v="0"/>
    <x v="1"/>
    <s v="GBC DocuBind P100 Manual Binding Machine"/>
    <n v="398.35200000000003"/>
    <n v="8"/>
    <n v="0.7"/>
    <n v="-331.95999999999992"/>
  </r>
  <r>
    <n v="481"/>
    <s v="US-2023-140165"/>
    <x v="102"/>
    <x v="101"/>
    <s v="First Class"/>
    <s v="EH-14005"/>
    <x v="200"/>
    <x v="1"/>
    <x v="0"/>
    <s v="Hialeah"/>
    <x v="16"/>
    <n v="33012"/>
    <x v="2"/>
    <s v="OFF-FA-10002815"/>
    <x v="0"/>
    <x v="6"/>
    <s v="Staples"/>
    <n v="7.104000000000001"/>
    <n v="2"/>
    <n v="0.2"/>
    <n v="2.3976000000000002"/>
  </r>
  <r>
    <n v="482"/>
    <s v="US-2023-113768"/>
    <x v="102"/>
    <x v="106"/>
    <s v="Standard Class"/>
    <s v="AH-10030"/>
    <x v="161"/>
    <x v="2"/>
    <x v="0"/>
    <s v="Los Angeles"/>
    <x v="5"/>
    <n v="90004"/>
    <x v="3"/>
    <s v="OFF-PA-10003063"/>
    <x v="0"/>
    <x v="0"/>
    <s v="EcoTones Memo Sheets"/>
    <n v="8"/>
    <n v="2"/>
    <n v="0"/>
    <n v="3.84"/>
  </r>
  <r>
    <n v="483"/>
    <s v="US-2023-167164"/>
    <x v="102"/>
    <x v="101"/>
    <s v="Second Class"/>
    <s v="AG-10270"/>
    <x v="201"/>
    <x v="0"/>
    <x v="0"/>
    <s v="West Jordan"/>
    <x v="29"/>
    <n v="84084"/>
    <x v="3"/>
    <s v="OFF-ST-10000107"/>
    <x v="0"/>
    <x v="3"/>
    <s v="Fellowes Super Stor/Drawer"/>
    <n v="55.5"/>
    <n v="2"/>
    <n v="0"/>
    <n v="9.9899999999999949"/>
  </r>
  <r>
    <n v="484"/>
    <s v="US-2023-114433"/>
    <x v="102"/>
    <x v="105"/>
    <s v="Standard Class"/>
    <s v="NP-18325"/>
    <x v="202"/>
    <x v="0"/>
    <x v="0"/>
    <s v="Oakland"/>
    <x v="5"/>
    <n v="94601"/>
    <x v="3"/>
    <s v="TEC-AC-10002800"/>
    <x v="2"/>
    <x v="9"/>
    <s v="Plantronics Audio 478 Stereo USB Headset"/>
    <n v="149.97"/>
    <n v="3"/>
    <n v="0"/>
    <n v="52.489499999999992"/>
  </r>
  <r>
    <n v="485"/>
    <s v="US-2023-106810"/>
    <x v="103"/>
    <x v="107"/>
    <s v="Standard Class"/>
    <s v="AJ-10795"/>
    <x v="203"/>
    <x v="2"/>
    <x v="0"/>
    <s v="Saint Petersburg"/>
    <x v="16"/>
    <n v="33710"/>
    <x v="2"/>
    <s v="FUR-FU-10004306"/>
    <x v="1"/>
    <x v="8"/>
    <s v="Electrix Halogen Magnifier Lamp"/>
    <n v="310.88000000000005"/>
    <n v="2"/>
    <n v="0.2"/>
    <n v="23.315999999999988"/>
  </r>
  <r>
    <n v="486"/>
    <s v="US-2023-125150"/>
    <x v="104"/>
    <x v="108"/>
    <s v="Standard Class"/>
    <s v="PW-19030"/>
    <x v="204"/>
    <x v="2"/>
    <x v="0"/>
    <s v="Los Angeles"/>
    <x v="5"/>
    <n v="90036"/>
    <x v="3"/>
    <s v="FUR-CH-10002439"/>
    <x v="1"/>
    <x v="5"/>
    <s v="Iceberg Nesting Folding Chair, 19w x 6d x 43h"/>
    <n v="232.88"/>
    <n v="5"/>
    <n v="0.2"/>
    <n v="17.466000000000008"/>
  </r>
  <r>
    <n v="487"/>
    <s v="US-2023-163146"/>
    <x v="104"/>
    <x v="107"/>
    <s v="Standard Class"/>
    <s v="CC-12475"/>
    <x v="205"/>
    <x v="0"/>
    <x v="0"/>
    <s v="San Francisco"/>
    <x v="5"/>
    <n v="94122"/>
    <x v="3"/>
    <s v="TEC-AC-10002217"/>
    <x v="2"/>
    <x v="9"/>
    <s v="Imation Clip USB flash drive - 8 GB"/>
    <n v="56.400000000000006"/>
    <n v="3"/>
    <n v="0"/>
    <n v="3.3840000000000003"/>
  </r>
  <r>
    <n v="488"/>
    <s v="US-2023-148761"/>
    <x v="105"/>
    <x v="109"/>
    <s v="Standard Class"/>
    <s v="PA-19060"/>
    <x v="206"/>
    <x v="1"/>
    <x v="0"/>
    <s v="Eau Claire"/>
    <x v="22"/>
    <n v="54703"/>
    <x v="0"/>
    <s v="OFF-BI-10000666"/>
    <x v="0"/>
    <x v="1"/>
    <s v="Surelock Post Binders"/>
    <n v="91.679999999999993"/>
    <n v="3"/>
    <n v="0"/>
    <n v="45.839999999999996"/>
  </r>
  <r>
    <n v="489"/>
    <s v="US-2023-164224"/>
    <x v="106"/>
    <x v="107"/>
    <s v="Second Class"/>
    <s v="TT-21070"/>
    <x v="207"/>
    <x v="0"/>
    <x v="0"/>
    <s v="Akron"/>
    <x v="9"/>
    <n v="44312"/>
    <x v="1"/>
    <s v="FUR-FU-10000308"/>
    <x v="1"/>
    <x v="8"/>
    <s v="Deflect-o Glass Clear Studded Chair Mats"/>
    <n v="149.232"/>
    <n v="3"/>
    <n v="0.2"/>
    <n v="3.7308000000000021"/>
  </r>
  <r>
    <n v="490"/>
    <s v="US-2023-164224"/>
    <x v="106"/>
    <x v="107"/>
    <s v="Second Class"/>
    <s v="TT-21070"/>
    <x v="207"/>
    <x v="0"/>
    <x v="0"/>
    <s v="Akron"/>
    <x v="9"/>
    <n v="44312"/>
    <x v="1"/>
    <s v="OFF-PA-10001526"/>
    <x v="0"/>
    <x v="0"/>
    <s v="Xerox 1949"/>
    <n v="15.936000000000002"/>
    <n v="4"/>
    <n v="0.2"/>
    <n v="5.7768000000000015"/>
  </r>
  <r>
    <n v="491"/>
    <s v="US-2023-133963"/>
    <x v="106"/>
    <x v="110"/>
    <s v="Second Class"/>
    <s v="GA-14515"/>
    <x v="208"/>
    <x v="0"/>
    <x v="0"/>
    <s v="Dallas"/>
    <x v="0"/>
    <n v="75220"/>
    <x v="0"/>
    <s v="OFF-PA-10001526"/>
    <x v="0"/>
    <x v="0"/>
    <s v="Xerox 1949"/>
    <n v="3.9840000000000004"/>
    <n v="1"/>
    <n v="0.2"/>
    <n v="1.4442000000000004"/>
  </r>
  <r>
    <n v="492"/>
    <s v="US-2023-103373"/>
    <x v="106"/>
    <x v="111"/>
    <s v="Standard Class"/>
    <s v="BS-11755"/>
    <x v="209"/>
    <x v="0"/>
    <x v="0"/>
    <s v="Cleveland"/>
    <x v="9"/>
    <n v="44105"/>
    <x v="1"/>
    <s v="TEC-PH-10002885"/>
    <x v="2"/>
    <x v="7"/>
    <s v="Apple iPhone 5"/>
    <n v="779.79600000000005"/>
    <n v="2"/>
    <n v="0.4"/>
    <n v="-168.95579999999995"/>
  </r>
  <r>
    <n v="493"/>
    <s v="US-2023-107699"/>
    <x v="107"/>
    <x v="108"/>
    <s v="Standard Class"/>
    <s v="JH-15820"/>
    <x v="210"/>
    <x v="0"/>
    <x v="0"/>
    <s v="Midland"/>
    <x v="14"/>
    <n v="48640"/>
    <x v="0"/>
    <s v="OFF-BI-10001249"/>
    <x v="0"/>
    <x v="1"/>
    <s v="Avery Heavy-Duty EZD View Binder with Locking Rings"/>
    <n v="57.42"/>
    <n v="9"/>
    <n v="0"/>
    <n v="26.413199999999996"/>
  </r>
  <r>
    <n v="494"/>
    <s v="US-2023-130155"/>
    <x v="107"/>
    <x v="110"/>
    <s v="First Class"/>
    <s v="TD-20995"/>
    <x v="211"/>
    <x v="0"/>
    <x v="0"/>
    <s v="Virginia Beach"/>
    <x v="6"/>
    <n v="23464"/>
    <x v="2"/>
    <s v="OFF-SU-10004737"/>
    <x v="0"/>
    <x v="14"/>
    <s v="Acme Design Stainless Steel Bent Scissors"/>
    <n v="34.200000000000003"/>
    <n v="5"/>
    <n v="0"/>
    <n v="9.234"/>
  </r>
  <r>
    <n v="495"/>
    <s v="US-2023-114188"/>
    <x v="108"/>
    <x v="110"/>
    <s v="Second Class"/>
    <s v="RF-19345"/>
    <x v="212"/>
    <x v="2"/>
    <x v="0"/>
    <s v="Dover"/>
    <x v="40"/>
    <n v="3820"/>
    <x v="1"/>
    <s v="FUR-FU-10000076"/>
    <x v="1"/>
    <x v="8"/>
    <s v="24-Hour Round Wall Clock"/>
    <n v="139.86000000000001"/>
    <n v="7"/>
    <n v="0"/>
    <n v="60.139800000000015"/>
  </r>
  <r>
    <n v="496"/>
    <s v="US-2023-130673"/>
    <x v="108"/>
    <x v="110"/>
    <s v="Second Class"/>
    <s v="MC-17590"/>
    <x v="213"/>
    <x v="2"/>
    <x v="0"/>
    <s v="San Marcos"/>
    <x v="0"/>
    <n v="78666"/>
    <x v="0"/>
    <s v="FUR-FU-10003489"/>
    <x v="1"/>
    <x v="8"/>
    <s v="Contemporary Borderless Frame"/>
    <n v="10.332000000000001"/>
    <n v="3"/>
    <n v="0.6"/>
    <n v="-5.9408999999999992"/>
  </r>
  <r>
    <n v="497"/>
    <s v="US-2023-114188"/>
    <x v="108"/>
    <x v="110"/>
    <s v="Second Class"/>
    <s v="RF-19345"/>
    <x v="212"/>
    <x v="2"/>
    <x v="0"/>
    <s v="Dover"/>
    <x v="40"/>
    <n v="3820"/>
    <x v="1"/>
    <s v="OFF-AP-10000124"/>
    <x v="0"/>
    <x v="12"/>
    <s v="Acco 6 Outlet Guardian Basic Surge Suppressor"/>
    <n v="33.28"/>
    <n v="4"/>
    <n v="0"/>
    <n v="9.3184000000000005"/>
  </r>
  <r>
    <n v="498"/>
    <s v="US-2023-114188"/>
    <x v="108"/>
    <x v="110"/>
    <s v="Second Class"/>
    <s v="RF-19345"/>
    <x v="212"/>
    <x v="2"/>
    <x v="0"/>
    <s v="Dover"/>
    <x v="40"/>
    <n v="3820"/>
    <x v="1"/>
    <s v="OFF-AR-10004511"/>
    <x v="0"/>
    <x v="4"/>
    <s v="Sanford Colorific Scented Colored Pencils, 12/Pack"/>
    <n v="38.520000000000003"/>
    <n v="9"/>
    <n v="0"/>
    <n v="11.9412"/>
  </r>
  <r>
    <n v="499"/>
    <s v="US-2023-130673"/>
    <x v="108"/>
    <x v="110"/>
    <s v="Second Class"/>
    <s v="MC-17590"/>
    <x v="213"/>
    <x v="2"/>
    <x v="0"/>
    <s v="San Marcos"/>
    <x v="0"/>
    <n v="78666"/>
    <x v="0"/>
    <s v="OFF-PA-10000289"/>
    <x v="0"/>
    <x v="0"/>
    <s v="Xerox 213"/>
    <n v="10.368000000000002"/>
    <n v="2"/>
    <n v="0.2"/>
    <n v="3.6288"/>
  </r>
  <r>
    <n v="500"/>
    <s v="US-2023-130673"/>
    <x v="108"/>
    <x v="110"/>
    <s v="Second Class"/>
    <s v="MC-17590"/>
    <x v="213"/>
    <x v="2"/>
    <x v="0"/>
    <s v="San Marcos"/>
    <x v="0"/>
    <n v="78666"/>
    <x v="0"/>
    <s v="OFF-ST-10000636"/>
    <x v="0"/>
    <x v="3"/>
    <s v="Rogers Profile Extra Capacity Storage Tub"/>
    <n v="66.959999999999994"/>
    <n v="5"/>
    <n v="0.2"/>
    <n v="-13.392000000000003"/>
  </r>
  <r>
    <n v="501"/>
    <s v="US-2023-130673"/>
    <x v="108"/>
    <x v="110"/>
    <s v="Second Class"/>
    <s v="MC-17590"/>
    <x v="213"/>
    <x v="2"/>
    <x v="0"/>
    <s v="San Marcos"/>
    <x v="0"/>
    <n v="78666"/>
    <x v="0"/>
    <s v="TEC-AC-10004227"/>
    <x v="2"/>
    <x v="9"/>
    <s v="SanDisk Ultra 16 GB MicroSDHC Class 10 Memory Card"/>
    <n v="20.784000000000002"/>
    <n v="2"/>
    <n v="0.2"/>
    <n v="-3.6372000000000027"/>
  </r>
  <r>
    <n v="502"/>
    <s v="CA-2023-166695"/>
    <x v="108"/>
    <x v="111"/>
    <s v="Standard Class"/>
    <s v="CC-12430"/>
    <x v="214"/>
    <x v="1"/>
    <x v="1"/>
    <s v="Vancouver"/>
    <x v="41"/>
    <s v="V6Z"/>
    <x v="3"/>
    <s v="FUR-CH-10000225"/>
    <x v="1"/>
    <x v="5"/>
    <s v="Global Geo Office Task Chair, Gray"/>
    <n v="518.27"/>
    <n v="8"/>
    <n v="0.2"/>
    <n v="-97.18"/>
  </r>
  <r>
    <n v="503"/>
    <s v="CA-2023-166695"/>
    <x v="108"/>
    <x v="111"/>
    <s v="Standard Class"/>
    <s v="CC-12430"/>
    <x v="214"/>
    <x v="1"/>
    <x v="1"/>
    <s v="Vancouver"/>
    <x v="41"/>
    <s v="V6Z"/>
    <x v="3"/>
    <s v="FUR-FU-10002191"/>
    <x v="1"/>
    <x v="8"/>
    <s v="G.E. Halogen Desk Lamp Bulbs"/>
    <n v="6.98"/>
    <n v="1"/>
    <n v="0"/>
    <n v="3.35"/>
  </r>
  <r>
    <n v="504"/>
    <s v="CA-2023-166695"/>
    <x v="108"/>
    <x v="111"/>
    <s v="Standard Class"/>
    <s v="CC-12430"/>
    <x v="214"/>
    <x v="1"/>
    <x v="1"/>
    <s v="Vancouver"/>
    <x v="41"/>
    <s v="V6Z"/>
    <x v="3"/>
    <s v="TEC-MA-10003176"/>
    <x v="2"/>
    <x v="15"/>
    <s v="Okidata B400 Printer"/>
    <n v="343.2"/>
    <n v="1"/>
    <n v="0.2"/>
    <n v="38.61"/>
  </r>
  <r>
    <n v="505"/>
    <s v="US-2023-127166"/>
    <x v="109"/>
    <x v="108"/>
    <s v="Second Class"/>
    <s v="KH-16360"/>
    <x v="176"/>
    <x v="0"/>
    <x v="0"/>
    <s v="Houston"/>
    <x v="0"/>
    <n v="77070"/>
    <x v="0"/>
    <s v="FUR-CH-10003396"/>
    <x v="1"/>
    <x v="5"/>
    <s v="Global Deluxe Steno Chair"/>
    <n v="107.77200000000001"/>
    <n v="2"/>
    <n v="0.3"/>
    <n v="-29.252400000000009"/>
  </r>
  <r>
    <n v="506"/>
    <s v="US-2023-152443"/>
    <x v="109"/>
    <x v="112"/>
    <s v="Standard Class"/>
    <s v="FG-14260"/>
    <x v="215"/>
    <x v="1"/>
    <x v="0"/>
    <s v="Lawrence"/>
    <x v="34"/>
    <n v="1841"/>
    <x v="1"/>
    <s v="OFF-AP-10001293"/>
    <x v="0"/>
    <x v="12"/>
    <s v="Belkin 8 Outlet Surge Protector"/>
    <n v="245.88"/>
    <n v="6"/>
    <n v="0"/>
    <n v="68.846399999999988"/>
  </r>
  <r>
    <n v="507"/>
    <s v="US-2023-104780"/>
    <x v="109"/>
    <x v="113"/>
    <s v="Standard Class"/>
    <s v="BT-11530"/>
    <x v="216"/>
    <x v="1"/>
    <x v="0"/>
    <s v="San Diego"/>
    <x v="5"/>
    <n v="92037"/>
    <x v="3"/>
    <s v="OFF-AR-10003514"/>
    <x v="0"/>
    <x v="4"/>
    <s v="4009 Highlighters by Sanford"/>
    <n v="31.84"/>
    <n v="8"/>
    <n v="0"/>
    <n v="10.507199999999997"/>
  </r>
  <r>
    <n v="508"/>
    <s v="US-2023-127166"/>
    <x v="109"/>
    <x v="108"/>
    <s v="Second Class"/>
    <s v="KH-16360"/>
    <x v="176"/>
    <x v="0"/>
    <x v="0"/>
    <s v="Houston"/>
    <x v="0"/>
    <n v="77070"/>
    <x v="0"/>
    <s v="OFF-BI-10000977"/>
    <x v="0"/>
    <x v="1"/>
    <s v="Ibico Plastic Spiral Binding Combs"/>
    <n v="18.239999999999995"/>
    <n v="3"/>
    <n v="0.8"/>
    <n v="-31.00800000000001"/>
  </r>
  <r>
    <n v="509"/>
    <s v="US-2023-152443"/>
    <x v="109"/>
    <x v="112"/>
    <s v="Standard Class"/>
    <s v="FG-14260"/>
    <x v="215"/>
    <x v="1"/>
    <x v="0"/>
    <s v="Lawrence"/>
    <x v="34"/>
    <n v="1841"/>
    <x v="1"/>
    <s v="OFF-BI-10001071"/>
    <x v="0"/>
    <x v="1"/>
    <s v="GBC ProClick Punch Binding System"/>
    <n v="447.85999999999996"/>
    <n v="7"/>
    <n v="0"/>
    <n v="219.45140000000001"/>
  </r>
  <r>
    <n v="510"/>
    <s v="US-2023-117639"/>
    <x v="109"/>
    <x v="113"/>
    <s v="Standard Class"/>
    <s v="MW-18235"/>
    <x v="217"/>
    <x v="2"/>
    <x v="0"/>
    <s v="Virginia Beach"/>
    <x v="6"/>
    <n v="23464"/>
    <x v="2"/>
    <s v="OFF-BI-10003925"/>
    <x v="0"/>
    <x v="1"/>
    <s v="Fellowes PB300 Plastic Comb Binding Machine"/>
    <n v="2715.9300000000003"/>
    <n v="7"/>
    <n v="0"/>
    <n v="1276.4871000000001"/>
  </r>
  <r>
    <n v="511"/>
    <s v="US-2023-127166"/>
    <x v="109"/>
    <x v="108"/>
    <s v="Second Class"/>
    <s v="KH-16360"/>
    <x v="176"/>
    <x v="0"/>
    <x v="0"/>
    <s v="Houston"/>
    <x v="0"/>
    <n v="77070"/>
    <x v="0"/>
    <s v="OFF-EN-10003134"/>
    <x v="0"/>
    <x v="11"/>
    <s v="Staple envelope"/>
    <n v="56.063999999999993"/>
    <n v="6"/>
    <n v="0.2"/>
    <n v="21.024000000000001"/>
  </r>
  <r>
    <n v="512"/>
    <s v="US-2023-127166"/>
    <x v="109"/>
    <x v="108"/>
    <s v="Second Class"/>
    <s v="KH-16360"/>
    <x v="176"/>
    <x v="0"/>
    <x v="0"/>
    <s v="Houston"/>
    <x v="0"/>
    <n v="77070"/>
    <x v="0"/>
    <s v="OFF-PA-10001560"/>
    <x v="0"/>
    <x v="0"/>
    <s v="Adams Telephone Message Books, 5 1/4” x 11”"/>
    <n v="4.8320000000000007"/>
    <n v="1"/>
    <n v="0.2"/>
    <n v="1.6307999999999998"/>
  </r>
  <r>
    <n v="513"/>
    <s v="US-2023-152443"/>
    <x v="109"/>
    <x v="112"/>
    <s v="Standard Class"/>
    <s v="FG-14260"/>
    <x v="215"/>
    <x v="1"/>
    <x v="0"/>
    <s v="Lawrence"/>
    <x v="34"/>
    <n v="1841"/>
    <x v="1"/>
    <s v="OFF-PA-10003022"/>
    <x v="0"/>
    <x v="0"/>
    <s v="Xerox 1992"/>
    <n v="17.940000000000001"/>
    <n v="3"/>
    <n v="0"/>
    <n v="8.7906000000000013"/>
  </r>
  <r>
    <n v="514"/>
    <s v="US-2023-117639"/>
    <x v="109"/>
    <x v="113"/>
    <s v="Standard Class"/>
    <s v="MW-18235"/>
    <x v="217"/>
    <x v="2"/>
    <x v="0"/>
    <s v="Virginia Beach"/>
    <x v="6"/>
    <n v="23464"/>
    <x v="2"/>
    <s v="TEC-PH-10001530"/>
    <x v="2"/>
    <x v="7"/>
    <s v="Plantronics Voyager Pro Legend"/>
    <n v="617.97"/>
    <n v="3"/>
    <n v="0"/>
    <n v="173.0316"/>
  </r>
  <r>
    <n v="515"/>
    <s v="CA-2023-152443"/>
    <x v="109"/>
    <x v="112"/>
    <s v="Standard Class"/>
    <s v="FG-14260"/>
    <x v="215"/>
    <x v="1"/>
    <x v="1"/>
    <s v="Montreal"/>
    <x v="42"/>
    <s v="H1A"/>
    <x v="1"/>
    <s v="OFF-AP-10001293"/>
    <x v="0"/>
    <x v="12"/>
    <s v="Belkin 8 Outlet Surge Protector"/>
    <n v="245.88"/>
    <n v="6"/>
    <n v="0"/>
    <n v="68.846399999999988"/>
  </r>
  <r>
    <n v="516"/>
    <s v="CA-2023-152443"/>
    <x v="109"/>
    <x v="112"/>
    <s v="Standard Class"/>
    <s v="FG-14260"/>
    <x v="215"/>
    <x v="1"/>
    <x v="1"/>
    <s v="Montreal"/>
    <x v="42"/>
    <s v="H1A"/>
    <x v="1"/>
    <s v="OFF-BI-10001071"/>
    <x v="0"/>
    <x v="1"/>
    <s v="GBC ProClick Punch Binding System"/>
    <n v="447.85999999999996"/>
    <n v="7"/>
    <n v="0"/>
    <n v="219.45140000000001"/>
  </r>
  <r>
    <n v="517"/>
    <s v="CA-2023-152443"/>
    <x v="109"/>
    <x v="112"/>
    <s v="Standard Class"/>
    <s v="FG-14260"/>
    <x v="215"/>
    <x v="1"/>
    <x v="1"/>
    <s v="Montreal"/>
    <x v="42"/>
    <s v="H1A"/>
    <x v="1"/>
    <s v="OFF-PA-10003022"/>
    <x v="0"/>
    <x v="0"/>
    <s v="Xerox 1992"/>
    <n v="17.940000000000001"/>
    <n v="3"/>
    <n v="0"/>
    <n v="8.7906000000000013"/>
  </r>
  <r>
    <n v="518"/>
    <s v="US-2023-143840"/>
    <x v="110"/>
    <x v="114"/>
    <s v="Standard Class"/>
    <s v="EH-14185"/>
    <x v="218"/>
    <x v="0"/>
    <x v="0"/>
    <s v="Decatur"/>
    <x v="35"/>
    <n v="35601"/>
    <x v="2"/>
    <s v="TEC-PH-10002660"/>
    <x v="2"/>
    <x v="7"/>
    <s v="Nortel Networks T7316 E Nt8 B27"/>
    <n v="135.97999999999999"/>
    <n v="2"/>
    <n v="0"/>
    <n v="33.995000000000005"/>
  </r>
  <r>
    <n v="519"/>
    <s v="US-2023-143840"/>
    <x v="110"/>
    <x v="114"/>
    <s v="Standard Class"/>
    <s v="EH-14185"/>
    <x v="218"/>
    <x v="0"/>
    <x v="0"/>
    <s v="Decatur"/>
    <x v="35"/>
    <n v="35601"/>
    <x v="2"/>
    <s v="TEC-PH-10003171"/>
    <x v="2"/>
    <x v="7"/>
    <s v="Plantronics Encore H101 Dual Earpieces Headset"/>
    <n v="44.95"/>
    <n v="1"/>
    <n v="0"/>
    <n v="12.585999999999999"/>
  </r>
  <r>
    <n v="520"/>
    <s v="US-2023-135881"/>
    <x v="111"/>
    <x v="115"/>
    <s v="Standard Class"/>
    <s v="GT-14710"/>
    <x v="219"/>
    <x v="0"/>
    <x v="0"/>
    <s v="New York City"/>
    <x v="21"/>
    <n v="10035"/>
    <x v="1"/>
    <s v="OFF-AP-10002118"/>
    <x v="0"/>
    <x v="12"/>
    <s v="1.7 Cubic Foot Compact &quot;Cube&quot; Office Refrigerators"/>
    <n v="208.16"/>
    <n v="1"/>
    <n v="0"/>
    <n v="56.20320000000001"/>
  </r>
  <r>
    <n v="521"/>
    <s v="US-2023-105767"/>
    <x v="111"/>
    <x v="115"/>
    <s v="Standard Class"/>
    <s v="AR-10510"/>
    <x v="178"/>
    <x v="0"/>
    <x v="0"/>
    <s v="Philadelphia"/>
    <x v="2"/>
    <n v="19134"/>
    <x v="1"/>
    <s v="OFF-AR-10001246"/>
    <x v="0"/>
    <x v="4"/>
    <s v="Newell 317"/>
    <n v="21.167999999999999"/>
    <n v="9"/>
    <n v="0.2"/>
    <n v="2.3813999999999984"/>
  </r>
  <r>
    <n v="522"/>
    <s v="US-2023-135881"/>
    <x v="111"/>
    <x v="115"/>
    <s v="Standard Class"/>
    <s v="GT-14710"/>
    <x v="219"/>
    <x v="0"/>
    <x v="0"/>
    <s v="New York City"/>
    <x v="21"/>
    <n v="10035"/>
    <x v="1"/>
    <s v="OFF-BI-10000829"/>
    <x v="0"/>
    <x v="1"/>
    <s v="Avery Non-Stick Binders"/>
    <n v="17.96"/>
    <n v="5"/>
    <n v="0.2"/>
    <n v="5.8369999999999997"/>
  </r>
  <r>
    <n v="523"/>
    <s v="US-2023-105767"/>
    <x v="111"/>
    <x v="115"/>
    <s v="Standard Class"/>
    <s v="AR-10510"/>
    <x v="178"/>
    <x v="0"/>
    <x v="0"/>
    <s v="Philadelphia"/>
    <x v="2"/>
    <n v="19134"/>
    <x v="1"/>
    <s v="OFF-BI-10000848"/>
    <x v="0"/>
    <x v="1"/>
    <s v="Angle-D Ring Binders"/>
    <n v="3.2820000000000005"/>
    <n v="2"/>
    <n v="0.7"/>
    <n v="-2.6256000000000004"/>
  </r>
  <r>
    <n v="524"/>
    <s v="US-2023-138513"/>
    <x v="111"/>
    <x v="115"/>
    <s v="Standard Class"/>
    <s v="EH-13990"/>
    <x v="15"/>
    <x v="0"/>
    <x v="0"/>
    <s v="Bellevue"/>
    <x v="23"/>
    <n v="98006"/>
    <x v="3"/>
    <s v="OFF-PA-10003177"/>
    <x v="0"/>
    <x v="0"/>
    <s v="Xerox 1999"/>
    <n v="12.96"/>
    <n v="2"/>
    <n v="0"/>
    <n v="6.2208000000000006"/>
  </r>
  <r>
    <n v="525"/>
    <s v="US-2023-135881"/>
    <x v="111"/>
    <x v="115"/>
    <s v="Standard Class"/>
    <s v="GT-14710"/>
    <x v="219"/>
    <x v="0"/>
    <x v="0"/>
    <s v="New York City"/>
    <x v="21"/>
    <n v="10035"/>
    <x v="1"/>
    <s v="OFF-SU-10003002"/>
    <x v="0"/>
    <x v="14"/>
    <s v="Letter Slitter"/>
    <n v="5.04"/>
    <n v="2"/>
    <n v="0"/>
    <n v="0.15120000000000022"/>
  </r>
  <r>
    <n v="526"/>
    <s v="US-2023-105767"/>
    <x v="111"/>
    <x v="115"/>
    <s v="Standard Class"/>
    <s v="AR-10510"/>
    <x v="178"/>
    <x v="0"/>
    <x v="0"/>
    <s v="Philadelphia"/>
    <x v="2"/>
    <n v="19134"/>
    <x v="1"/>
    <s v="TEC-PH-10003092"/>
    <x v="2"/>
    <x v="7"/>
    <s v="Motorola L804"/>
    <n v="55.188000000000002"/>
    <n v="2"/>
    <n v="0.4"/>
    <n v="-10.117800000000003"/>
  </r>
  <r>
    <n v="527"/>
    <s v="US-2023-143413"/>
    <x v="112"/>
    <x v="116"/>
    <s v="Standard Class"/>
    <s v="RP-19390"/>
    <x v="220"/>
    <x v="0"/>
    <x v="0"/>
    <s v="Baltimore"/>
    <x v="38"/>
    <n v="21215"/>
    <x v="1"/>
    <s v="OFF-PA-10002319"/>
    <x v="0"/>
    <x v="0"/>
    <s v="Xerox 1944"/>
    <n v="116.28"/>
    <n v="3"/>
    <n v="0"/>
    <n v="56.977199999999996"/>
  </r>
  <r>
    <n v="528"/>
    <s v="US-2023-130379"/>
    <x v="113"/>
    <x v="114"/>
    <s v="Standard Class"/>
    <s v="JL-15235"/>
    <x v="221"/>
    <x v="0"/>
    <x v="0"/>
    <s v="Chicago"/>
    <x v="1"/>
    <n v="60623"/>
    <x v="0"/>
    <s v="FUR-FU-10002553"/>
    <x v="1"/>
    <x v="8"/>
    <s v="Electrix Incandescent Magnifying Lamp, Black"/>
    <n v="29.32"/>
    <n v="2"/>
    <n v="0.6"/>
    <n v="-24.188999999999993"/>
  </r>
  <r>
    <n v="529"/>
    <s v="US-2023-130379"/>
    <x v="113"/>
    <x v="114"/>
    <s v="Standard Class"/>
    <s v="JL-15235"/>
    <x v="221"/>
    <x v="0"/>
    <x v="0"/>
    <s v="Chicago"/>
    <x v="1"/>
    <n v="60623"/>
    <x v="0"/>
    <s v="OFF-AP-10001394"/>
    <x v="0"/>
    <x v="12"/>
    <s v="Harmony Air Purifier"/>
    <n v="75.59999999999998"/>
    <n v="2"/>
    <n v="0.8"/>
    <n v="-166.32000000000005"/>
  </r>
  <r>
    <n v="530"/>
    <s v="US-2023-100391"/>
    <x v="113"/>
    <x v="114"/>
    <s v="Standard Class"/>
    <s v="BW-11065"/>
    <x v="222"/>
    <x v="0"/>
    <x v="0"/>
    <s v="New York City"/>
    <x v="21"/>
    <n v="10035"/>
    <x v="1"/>
    <s v="OFF-PA-10001471"/>
    <x v="0"/>
    <x v="0"/>
    <s v="Strathmore Photo Frame Cards"/>
    <n v="14.62"/>
    <n v="2"/>
    <n v="0"/>
    <n v="6.7251999999999992"/>
  </r>
  <r>
    <n v="531"/>
    <s v="US-2023-156349"/>
    <x v="114"/>
    <x v="116"/>
    <s v="Standard Class"/>
    <s v="ML-17395"/>
    <x v="44"/>
    <x v="2"/>
    <x v="0"/>
    <s v="Los Angeles"/>
    <x v="5"/>
    <n v="90008"/>
    <x v="3"/>
    <s v="FUR-BO-10000362"/>
    <x v="1"/>
    <x v="10"/>
    <s v="Sauder Inglewood Library Bookcases"/>
    <n v="290.666"/>
    <n v="2"/>
    <n v="0.15"/>
    <n v="27.356800000000007"/>
  </r>
  <r>
    <n v="532"/>
    <s v="US-2023-158029"/>
    <x v="114"/>
    <x v="116"/>
    <s v="Standard Class"/>
    <s v="HF-14995"/>
    <x v="223"/>
    <x v="0"/>
    <x v="0"/>
    <s v="Los Angeles"/>
    <x v="5"/>
    <n v="90008"/>
    <x v="3"/>
    <s v="FUR-CH-10000988"/>
    <x v="1"/>
    <x v="5"/>
    <s v="Hon Olson Stacker Stools"/>
    <n v="225.29600000000002"/>
    <n v="2"/>
    <n v="0.2"/>
    <n v="22.529599999999995"/>
  </r>
  <r>
    <n v="533"/>
    <s v="US-2023-144029"/>
    <x v="114"/>
    <x v="117"/>
    <s v="Standard Class"/>
    <s v="MM-18055"/>
    <x v="148"/>
    <x v="0"/>
    <x v="0"/>
    <s v="Chicago"/>
    <x v="1"/>
    <n v="60623"/>
    <x v="0"/>
    <s v="FUR-CH-10003981"/>
    <x v="1"/>
    <x v="5"/>
    <s v="Global Commerce Series Low-Back Swivel/Tilt Chairs"/>
    <n v="359.77199999999999"/>
    <n v="2"/>
    <n v="0.3"/>
    <n v="-5.1396000000000583"/>
  </r>
  <r>
    <n v="534"/>
    <s v="US-2023-144029"/>
    <x v="114"/>
    <x v="117"/>
    <s v="Standard Class"/>
    <s v="MM-18055"/>
    <x v="148"/>
    <x v="0"/>
    <x v="0"/>
    <s v="Chicago"/>
    <x v="1"/>
    <n v="60623"/>
    <x v="0"/>
    <s v="OFF-AR-10000716"/>
    <x v="0"/>
    <x v="4"/>
    <s v="DIXON Ticonderoga Erasable Checking Pencils"/>
    <n v="13.392000000000001"/>
    <n v="3"/>
    <n v="0.2"/>
    <n v="3.1806000000000005"/>
  </r>
  <r>
    <n v="535"/>
    <s v="US-2023-129574"/>
    <x v="114"/>
    <x v="114"/>
    <s v="First Class"/>
    <s v="Dp-13240"/>
    <x v="224"/>
    <x v="1"/>
    <x v="0"/>
    <s v="Murray"/>
    <x v="29"/>
    <n v="84107"/>
    <x v="3"/>
    <s v="OFF-PA-10002893"/>
    <x v="0"/>
    <x v="0"/>
    <s v="Wirebound Service Call Books, 5 1/2&quot; x 4&quot;"/>
    <n v="48.4"/>
    <n v="5"/>
    <n v="0"/>
    <n v="23.231999999999999"/>
  </r>
  <r>
    <n v="536"/>
    <s v="US-2023-144029"/>
    <x v="114"/>
    <x v="117"/>
    <s v="Standard Class"/>
    <s v="MM-18055"/>
    <x v="148"/>
    <x v="0"/>
    <x v="0"/>
    <s v="Chicago"/>
    <x v="1"/>
    <n v="60623"/>
    <x v="0"/>
    <s v="OFF-ST-10001837"/>
    <x v="0"/>
    <x v="3"/>
    <s v="SAFCO Mobile Desk Side File, Wire Frame"/>
    <n v="102.624"/>
    <n v="3"/>
    <n v="0.2"/>
    <n v="7.6968000000000032"/>
  </r>
  <r>
    <n v="537"/>
    <s v="US-2023-156349"/>
    <x v="114"/>
    <x v="116"/>
    <s v="Standard Class"/>
    <s v="ML-17395"/>
    <x v="44"/>
    <x v="2"/>
    <x v="0"/>
    <s v="Los Angeles"/>
    <x v="5"/>
    <n v="90008"/>
    <x v="3"/>
    <s v="TEC-PH-10000441"/>
    <x v="2"/>
    <x v="7"/>
    <s v="VTech DS6151"/>
    <n v="201.584"/>
    <n v="2"/>
    <n v="0.2"/>
    <n v="20.158400000000015"/>
  </r>
  <r>
    <n v="538"/>
    <s v="US-2023-156349"/>
    <x v="114"/>
    <x v="116"/>
    <s v="Standard Class"/>
    <s v="ML-17395"/>
    <x v="44"/>
    <x v="2"/>
    <x v="0"/>
    <s v="Los Angeles"/>
    <x v="5"/>
    <n v="90008"/>
    <x v="3"/>
    <s v="TEC-PH-10002726"/>
    <x v="2"/>
    <x v="7"/>
    <s v="netTALK DUO VoIP Telephone Service"/>
    <n v="83.984000000000009"/>
    <n v="2"/>
    <n v="0.2"/>
    <n v="31.494"/>
  </r>
  <r>
    <n v="539"/>
    <s v="US-2023-124429"/>
    <x v="115"/>
    <x v="115"/>
    <s v="Same Day"/>
    <s v="MH-17785"/>
    <x v="225"/>
    <x v="2"/>
    <x v="0"/>
    <s v="San Diego"/>
    <x v="5"/>
    <n v="92105"/>
    <x v="3"/>
    <s v="FUR-TA-10002607"/>
    <x v="1"/>
    <x v="13"/>
    <s v="KI Conference Tables"/>
    <n v="567.12"/>
    <n v="10"/>
    <n v="0.2"/>
    <n v="-28.355999999999952"/>
  </r>
  <r>
    <n v="540"/>
    <s v="US-2023-117058"/>
    <x v="115"/>
    <x v="116"/>
    <s v="First Class"/>
    <s v="LE-16810"/>
    <x v="226"/>
    <x v="0"/>
    <x v="0"/>
    <s v="Chicago"/>
    <x v="1"/>
    <n v="60653"/>
    <x v="0"/>
    <s v="OFF-BI-10004139"/>
    <x v="0"/>
    <x v="1"/>
    <s v="Fellowes Presentation Covers for Comb Binding Machines"/>
    <n v="17.459999999999997"/>
    <n v="6"/>
    <n v="0.8"/>
    <n v="-30.555000000000007"/>
  </r>
  <r>
    <n v="541"/>
    <s v="US-2023-124429"/>
    <x v="115"/>
    <x v="115"/>
    <s v="Same Day"/>
    <s v="MH-17785"/>
    <x v="225"/>
    <x v="2"/>
    <x v="0"/>
    <s v="San Diego"/>
    <x v="5"/>
    <n v="92105"/>
    <x v="3"/>
    <s v="OFF-ST-10001809"/>
    <x v="0"/>
    <x v="3"/>
    <s v="Fellowes Officeware Wire Shelving"/>
    <n v="359.32"/>
    <n v="4"/>
    <n v="0"/>
    <n v="7.1863999999999919"/>
  </r>
  <r>
    <n v="542"/>
    <s v="US-2023-139192"/>
    <x v="115"/>
    <x v="118"/>
    <s v="Second Class"/>
    <s v="LC-16885"/>
    <x v="166"/>
    <x v="0"/>
    <x v="0"/>
    <s v="San Francisco"/>
    <x v="5"/>
    <n v="94109"/>
    <x v="3"/>
    <s v="TEC-AC-10001606"/>
    <x v="2"/>
    <x v="9"/>
    <s v="Logitech Wireless Performance Mouse MX for PC and Mac"/>
    <n v="99.99"/>
    <n v="1"/>
    <n v="0"/>
    <n v="37.996200000000002"/>
  </r>
  <r>
    <n v="543"/>
    <s v="US-2023-139192"/>
    <x v="115"/>
    <x v="118"/>
    <s v="Second Class"/>
    <s v="LC-16885"/>
    <x v="166"/>
    <x v="0"/>
    <x v="0"/>
    <s v="San Francisco"/>
    <x v="5"/>
    <n v="94109"/>
    <x v="3"/>
    <s v="TEC-PH-10000486"/>
    <x v="2"/>
    <x v="7"/>
    <s v="Plantronics HL10 Handset Lifter"/>
    <n v="1113.5039999999999"/>
    <n v="12"/>
    <n v="0.2"/>
    <n v="125.2691999999999"/>
  </r>
  <r>
    <n v="544"/>
    <s v="US-2023-108861"/>
    <x v="116"/>
    <x v="118"/>
    <s v="Standard Class"/>
    <s v="MM-17260"/>
    <x v="227"/>
    <x v="0"/>
    <x v="0"/>
    <s v="Seattle"/>
    <x v="23"/>
    <n v="98105"/>
    <x v="3"/>
    <s v="OFF-BI-10003876"/>
    <x v="0"/>
    <x v="1"/>
    <s v="Green Canvas Binder for 8-1/2&quot; x 14&quot; Sheets"/>
    <n v="136.96"/>
    <n v="4"/>
    <n v="0.2"/>
    <n v="51.359999999999992"/>
  </r>
  <r>
    <n v="545"/>
    <s v="US-2023-135993"/>
    <x v="116"/>
    <x v="119"/>
    <s v="Standard Class"/>
    <s v="PJ-18835"/>
    <x v="228"/>
    <x v="2"/>
    <x v="0"/>
    <s v="Seattle"/>
    <x v="23"/>
    <n v="98115"/>
    <x v="3"/>
    <s v="TEC-AC-10004877"/>
    <x v="2"/>
    <x v="9"/>
    <s v="Imation 30456 USB Flash Drive 8GB"/>
    <n v="27.6"/>
    <n v="4"/>
    <n v="0"/>
    <n v="2.2079999999999984"/>
  </r>
  <r>
    <n v="546"/>
    <s v="US-2023-135993"/>
    <x v="116"/>
    <x v="119"/>
    <s v="Standard Class"/>
    <s v="PJ-18835"/>
    <x v="228"/>
    <x v="2"/>
    <x v="0"/>
    <s v="Seattle"/>
    <x v="23"/>
    <n v="98115"/>
    <x v="3"/>
    <s v="TEC-PH-10001552"/>
    <x v="2"/>
    <x v="7"/>
    <s v="I Need's 3d Hello Kitty Hybrid Silicone Case Cover for HTC One X 4g with 3d Hello Kitty Stylus Pen Green/pink"/>
    <n v="57.408000000000008"/>
    <n v="6"/>
    <n v="0.2"/>
    <n v="5.7408000000000019"/>
  </r>
  <r>
    <n v="547"/>
    <s v="US-2023-145800"/>
    <x v="117"/>
    <x v="120"/>
    <s v="Standard Class"/>
    <s v="SS-20410"/>
    <x v="229"/>
    <x v="0"/>
    <x v="0"/>
    <s v="Buffalo Grove"/>
    <x v="1"/>
    <n v="60089"/>
    <x v="0"/>
    <s v="FUR-TA-10001539"/>
    <x v="1"/>
    <x v="13"/>
    <s v="Chromcraft Rectangular Conference Tables"/>
    <n v="355.45499999999998"/>
    <n v="3"/>
    <n v="0.5"/>
    <n v="-184.83660000000003"/>
  </r>
  <r>
    <n v="548"/>
    <s v="US-2023-103429"/>
    <x v="117"/>
    <x v="118"/>
    <s v="First Class"/>
    <s v="LW-16825"/>
    <x v="230"/>
    <x v="2"/>
    <x v="0"/>
    <s v="New York City"/>
    <x v="21"/>
    <n v="10024"/>
    <x v="1"/>
    <s v="OFF-AP-10001005"/>
    <x v="0"/>
    <x v="12"/>
    <s v="Honeywell Quietcare HEPA Air Cleaner"/>
    <n v="235.95000000000002"/>
    <n v="3"/>
    <n v="0"/>
    <n v="77.863499999999988"/>
  </r>
  <r>
    <n v="549"/>
    <s v="US-2023-105872"/>
    <x v="117"/>
    <x v="121"/>
    <s v="Standard Class"/>
    <s v="JG-15160"/>
    <x v="231"/>
    <x v="0"/>
    <x v="0"/>
    <s v="New York City"/>
    <x v="21"/>
    <n v="10024"/>
    <x v="1"/>
    <s v="OFF-BI-10003684"/>
    <x v="0"/>
    <x v="1"/>
    <s v="Wilson Jones Legal Size Ring Binders"/>
    <n v="70.367999999999995"/>
    <n v="4"/>
    <n v="0.2"/>
    <n v="26.387999999999998"/>
  </r>
  <r>
    <n v="550"/>
    <s v="US-2023-103429"/>
    <x v="117"/>
    <x v="118"/>
    <s v="First Class"/>
    <s v="LW-16825"/>
    <x v="230"/>
    <x v="2"/>
    <x v="0"/>
    <s v="New York City"/>
    <x v="21"/>
    <n v="10024"/>
    <x v="1"/>
    <s v="OFF-BI-10004233"/>
    <x v="0"/>
    <x v="1"/>
    <s v="GBC Pre-Punched Binding Paper, Plastic, White, 8-1/2&quot; x 11&quot;"/>
    <n v="25.584000000000003"/>
    <n v="2"/>
    <n v="0.2"/>
    <n v="8.9543999999999997"/>
  </r>
  <r>
    <n v="551"/>
    <s v="US-2023-146885"/>
    <x v="117"/>
    <x v="120"/>
    <s v="Standard Class"/>
    <s v="EB-13840"/>
    <x v="232"/>
    <x v="2"/>
    <x v="0"/>
    <s v="Richmond"/>
    <x v="6"/>
    <n v="23223"/>
    <x v="2"/>
    <s v="OFF-PA-10001622"/>
    <x v="0"/>
    <x v="0"/>
    <s v="Ampad Poly Cover Wirebound Steno Book, 6&quot; x 9&quot; Assorted Colors, Gregg Ruled"/>
    <n v="13.620000000000001"/>
    <n v="3"/>
    <n v="0"/>
    <n v="6.1289999999999996"/>
  </r>
  <r>
    <n v="552"/>
    <s v="US-2023-103429"/>
    <x v="117"/>
    <x v="118"/>
    <s v="First Class"/>
    <s v="LW-16825"/>
    <x v="230"/>
    <x v="2"/>
    <x v="0"/>
    <s v="New York City"/>
    <x v="21"/>
    <n v="10024"/>
    <x v="1"/>
    <s v="OFF-PA-10001712"/>
    <x v="0"/>
    <x v="0"/>
    <s v="Xerox 1948"/>
    <n v="39.96"/>
    <n v="4"/>
    <n v="0"/>
    <n v="17.981999999999999"/>
  </r>
  <r>
    <n v="553"/>
    <s v="US-2023-140473"/>
    <x v="117"/>
    <x v="122"/>
    <s v="Standard Class"/>
    <s v="MC-17425"/>
    <x v="233"/>
    <x v="2"/>
    <x v="0"/>
    <s v="Chicago"/>
    <x v="1"/>
    <n v="60623"/>
    <x v="0"/>
    <s v="TEC-CO-10004202"/>
    <x v="2"/>
    <x v="16"/>
    <s v="Brother DCP1000 Digital 3 in 1 Multifunction Machine"/>
    <n v="719.97600000000011"/>
    <n v="3"/>
    <n v="0.2"/>
    <n v="134.99549999999999"/>
  </r>
  <r>
    <n v="554"/>
    <s v="US-2023-103429"/>
    <x v="117"/>
    <x v="118"/>
    <s v="First Class"/>
    <s v="LW-16825"/>
    <x v="230"/>
    <x v="2"/>
    <x v="0"/>
    <s v="New York City"/>
    <x v="21"/>
    <n v="10024"/>
    <x v="1"/>
    <s v="TEC-PH-10003505"/>
    <x v="2"/>
    <x v="7"/>
    <s v="Geemarc AmpliPOWER60"/>
    <n v="464"/>
    <n v="5"/>
    <n v="0"/>
    <n v="134.55999999999995"/>
  </r>
  <r>
    <n v="555"/>
    <s v="US-2023-166051"/>
    <x v="118"/>
    <x v="120"/>
    <s v="Standard Class"/>
    <s v="JK-15625"/>
    <x v="234"/>
    <x v="0"/>
    <x v="0"/>
    <s v="Jackson"/>
    <x v="31"/>
    <n v="39212"/>
    <x v="2"/>
    <s v="TEC-PH-10002538"/>
    <x v="2"/>
    <x v="7"/>
    <s v="Grandstream GXP1160 VoIP phone"/>
    <n v="113.72999999999999"/>
    <n v="3"/>
    <n v="0"/>
    <n v="32.981699999999989"/>
  </r>
  <r>
    <n v="556"/>
    <s v="US-2023-166051"/>
    <x v="118"/>
    <x v="120"/>
    <s v="Standard Class"/>
    <s v="JK-15625"/>
    <x v="234"/>
    <x v="0"/>
    <x v="0"/>
    <s v="Jackson"/>
    <x v="31"/>
    <n v="39212"/>
    <x v="2"/>
    <s v="TEC-PH-10002680"/>
    <x v="2"/>
    <x v="7"/>
    <s v="Samsung Galaxy Note 3"/>
    <n v="659.97"/>
    <n v="3"/>
    <n v="0"/>
    <n v="197.99099999999996"/>
  </r>
  <r>
    <n v="557"/>
    <s v="US-2023-131926"/>
    <x v="119"/>
    <x v="121"/>
    <s v="Second Class"/>
    <s v="DW-13480"/>
    <x v="235"/>
    <x v="1"/>
    <x v="0"/>
    <s v="Lakeville"/>
    <x v="30"/>
    <n v="55044"/>
    <x v="0"/>
    <s v="FUR-CH-10004063"/>
    <x v="1"/>
    <x v="5"/>
    <s v="Global Deluxe High-Back Manager's Chair"/>
    <n v="2001.8600000000001"/>
    <n v="7"/>
    <n v="0"/>
    <n v="580.53939999999989"/>
  </r>
  <r>
    <n v="558"/>
    <s v="US-2023-165659"/>
    <x v="119"/>
    <x v="121"/>
    <s v="Standard Class"/>
    <s v="LT-17110"/>
    <x v="236"/>
    <x v="0"/>
    <x v="0"/>
    <s v="Little Rock"/>
    <x v="13"/>
    <n v="72209"/>
    <x v="2"/>
    <s v="FUR-FU-10001935"/>
    <x v="1"/>
    <x v="8"/>
    <s v="3M Hangers With Command Adhesive"/>
    <n v="22.200000000000003"/>
    <n v="6"/>
    <n v="0"/>
    <n v="9.1020000000000021"/>
  </r>
  <r>
    <n v="559"/>
    <s v="US-2023-131926"/>
    <x v="119"/>
    <x v="121"/>
    <s v="Second Class"/>
    <s v="DW-13480"/>
    <x v="235"/>
    <x v="1"/>
    <x v="0"/>
    <s v="Lakeville"/>
    <x v="30"/>
    <n v="55044"/>
    <x v="0"/>
    <s v="OFF-AP-10002945"/>
    <x v="0"/>
    <x v="12"/>
    <s v="Honeywell Enviracaire Portable HEPA Air Cleaner for 17' x 22' Room"/>
    <n v="1503.25"/>
    <n v="5"/>
    <n v="0"/>
    <n v="496.07249999999993"/>
  </r>
  <r>
    <n v="560"/>
    <s v="US-2023-157070"/>
    <x v="119"/>
    <x v="121"/>
    <s v="Standard Class"/>
    <s v="QJ-19255"/>
    <x v="89"/>
    <x v="2"/>
    <x v="0"/>
    <s v="Detroit"/>
    <x v="14"/>
    <n v="48234"/>
    <x v="0"/>
    <s v="OFF-AP-10004859"/>
    <x v="0"/>
    <x v="12"/>
    <s v="Acco 6 Outlet Guardian Premium Surge Suppressor"/>
    <n v="65.52000000000001"/>
    <n v="5"/>
    <n v="0.1"/>
    <n v="12.376000000000001"/>
  </r>
  <r>
    <n v="561"/>
    <s v="US-2023-111003"/>
    <x v="119"/>
    <x v="121"/>
    <s v="Standard Class"/>
    <s v="CR-12625"/>
    <x v="237"/>
    <x v="1"/>
    <x v="0"/>
    <s v="Lakewood"/>
    <x v="24"/>
    <n v="8701"/>
    <x v="1"/>
    <s v="OFF-AR-10002135"/>
    <x v="0"/>
    <x v="4"/>
    <s v="Boston Heavy-Duty Trimline Electric Pencil Sharpeners"/>
    <n v="289.20000000000005"/>
    <n v="6"/>
    <n v="0"/>
    <n v="83.867999999999967"/>
  </r>
  <r>
    <n v="562"/>
    <s v="US-2023-111003"/>
    <x v="119"/>
    <x v="121"/>
    <s v="Standard Class"/>
    <s v="CR-12625"/>
    <x v="237"/>
    <x v="1"/>
    <x v="0"/>
    <s v="Lakewood"/>
    <x v="24"/>
    <n v="8701"/>
    <x v="1"/>
    <s v="OFF-BI-10001072"/>
    <x v="0"/>
    <x v="1"/>
    <s v="GBC Clear Cover, 8-1/2 x 11, unpunched, 25 covers per pack"/>
    <n v="45.480000000000004"/>
    <n v="3"/>
    <n v="0"/>
    <n v="20.9208"/>
  </r>
  <r>
    <n v="563"/>
    <s v="US-2023-157070"/>
    <x v="119"/>
    <x v="121"/>
    <s v="Standard Class"/>
    <s v="QJ-19255"/>
    <x v="89"/>
    <x v="2"/>
    <x v="0"/>
    <s v="Detroit"/>
    <x v="14"/>
    <n v="48234"/>
    <x v="0"/>
    <s v="OFF-BI-10001765"/>
    <x v="0"/>
    <x v="1"/>
    <s v="Wilson Jones Heavy-Duty Casebound Ring Binders with Metal Hinges"/>
    <n v="138.56"/>
    <n v="4"/>
    <n v="0"/>
    <n v="66.508799999999994"/>
  </r>
  <r>
    <n v="564"/>
    <s v="US-2023-131926"/>
    <x v="119"/>
    <x v="121"/>
    <s v="Second Class"/>
    <s v="DW-13480"/>
    <x v="235"/>
    <x v="1"/>
    <x v="0"/>
    <s v="Lakeville"/>
    <x v="30"/>
    <n v="55044"/>
    <x v="0"/>
    <s v="OFF-PA-10000061"/>
    <x v="0"/>
    <x v="0"/>
    <s v="Xerox 205"/>
    <n v="25.92"/>
    <n v="4"/>
    <n v="0"/>
    <n v="12.441600000000001"/>
  </r>
  <r>
    <n v="565"/>
    <s v="US-2023-131926"/>
    <x v="119"/>
    <x v="121"/>
    <s v="Second Class"/>
    <s v="DW-13480"/>
    <x v="235"/>
    <x v="1"/>
    <x v="0"/>
    <s v="Lakeville"/>
    <x v="30"/>
    <n v="55044"/>
    <x v="0"/>
    <s v="OFF-PA-10004082"/>
    <x v="0"/>
    <x v="0"/>
    <s v="Adams Telephone Message Book w/Frequently-Called Numbers Space, 400 Messages per Book"/>
    <n v="47.88"/>
    <n v="6"/>
    <n v="0"/>
    <n v="23.94"/>
  </r>
  <r>
    <n v="566"/>
    <s v="US-2023-131926"/>
    <x v="119"/>
    <x v="121"/>
    <s v="Second Class"/>
    <s v="DW-13480"/>
    <x v="235"/>
    <x v="1"/>
    <x v="0"/>
    <s v="Lakeville"/>
    <x v="30"/>
    <n v="55044"/>
    <x v="0"/>
    <s v="OFF-ST-10002276"/>
    <x v="0"/>
    <x v="3"/>
    <s v="Safco Steel Mobile File Cart"/>
    <n v="166.72"/>
    <n v="2"/>
    <n v="0"/>
    <n v="41.680000000000007"/>
  </r>
  <r>
    <n v="567"/>
    <s v="US-2023-165659"/>
    <x v="119"/>
    <x v="121"/>
    <s v="Standard Class"/>
    <s v="LT-17110"/>
    <x v="236"/>
    <x v="0"/>
    <x v="0"/>
    <s v="Little Rock"/>
    <x v="13"/>
    <n v="72209"/>
    <x v="2"/>
    <s v="TEC-PH-10002563"/>
    <x v="2"/>
    <x v="7"/>
    <s v="Adtran 1202752G1"/>
    <n v="881.93"/>
    <n v="7"/>
    <n v="0"/>
    <n v="229.30180000000001"/>
  </r>
  <r>
    <n v="568"/>
    <s v="US-2023-104472"/>
    <x v="120"/>
    <x v="123"/>
    <s v="Standard Class"/>
    <s v="CK-12325"/>
    <x v="80"/>
    <x v="1"/>
    <x v="0"/>
    <s v="Orem"/>
    <x v="29"/>
    <n v="84057"/>
    <x v="3"/>
    <s v="FUR-FU-10000246"/>
    <x v="1"/>
    <x v="8"/>
    <s v="Aluminum Document Frame"/>
    <n v="73.320000000000007"/>
    <n v="6"/>
    <n v="0"/>
    <n v="21.995999999999992"/>
  </r>
  <r>
    <n v="569"/>
    <s v="US-2023-100895"/>
    <x v="120"/>
    <x v="121"/>
    <s v="Standard Class"/>
    <s v="SV-20785"/>
    <x v="152"/>
    <x v="0"/>
    <x v="0"/>
    <s v="Roswell"/>
    <x v="4"/>
    <n v="30076"/>
    <x v="2"/>
    <s v="OFF-AR-10004511"/>
    <x v="0"/>
    <x v="4"/>
    <s v="Sanford Colorific Scented Colored Pencils, 12/Pack"/>
    <n v="8.56"/>
    <n v="2"/>
    <n v="0"/>
    <n v="2.6536"/>
  </r>
  <r>
    <n v="570"/>
    <s v="US-2023-104472"/>
    <x v="120"/>
    <x v="123"/>
    <s v="Standard Class"/>
    <s v="CK-12325"/>
    <x v="80"/>
    <x v="1"/>
    <x v="0"/>
    <s v="Orem"/>
    <x v="29"/>
    <n v="84057"/>
    <x v="3"/>
    <s v="OFF-BI-10001658"/>
    <x v="0"/>
    <x v="1"/>
    <s v="GBC Standard Therm-A-Bind Covers"/>
    <n v="59.808000000000007"/>
    <n v="3"/>
    <n v="0.2"/>
    <n v="19.4376"/>
  </r>
  <r>
    <n v="571"/>
    <s v="US-2023-100895"/>
    <x v="120"/>
    <x v="121"/>
    <s v="Standard Class"/>
    <s v="SV-20785"/>
    <x v="152"/>
    <x v="0"/>
    <x v="0"/>
    <s v="Roswell"/>
    <x v="4"/>
    <n v="30076"/>
    <x v="2"/>
    <s v="OFF-ST-10001490"/>
    <x v="0"/>
    <x v="3"/>
    <s v="Hot File 7-Pocket, Floor Stand"/>
    <n v="356.94"/>
    <n v="2"/>
    <n v="0"/>
    <n v="107.08199999999997"/>
  </r>
  <r>
    <n v="572"/>
    <s v="US-2023-100895"/>
    <x v="120"/>
    <x v="121"/>
    <s v="Standard Class"/>
    <s v="SV-20785"/>
    <x v="152"/>
    <x v="0"/>
    <x v="0"/>
    <s v="Roswell"/>
    <x v="4"/>
    <n v="30076"/>
    <x v="2"/>
    <s v="TEC-PH-10001425"/>
    <x v="2"/>
    <x v="7"/>
    <s v="Mophie Juice Pack Helium for iPhone"/>
    <n v="239.96999999999997"/>
    <n v="3"/>
    <n v="0"/>
    <n v="67.191599999999994"/>
  </r>
  <r>
    <n v="573"/>
    <s v="US-2023-163867"/>
    <x v="121"/>
    <x v="121"/>
    <s v="First Class"/>
    <s v="RE-19450"/>
    <x v="238"/>
    <x v="0"/>
    <x v="0"/>
    <s v="Decatur"/>
    <x v="1"/>
    <n v="62521"/>
    <x v="0"/>
    <s v="FUR-FU-10001475"/>
    <x v="1"/>
    <x v="8"/>
    <s v="Contract Clock, 14&quot;, Brown"/>
    <n v="61.543999999999997"/>
    <n v="7"/>
    <n v="0.6"/>
    <n v="-40.003599999999999"/>
  </r>
  <r>
    <n v="574"/>
    <s v="US-2023-135657"/>
    <x v="121"/>
    <x v="123"/>
    <s v="Second Class"/>
    <s v="SC-20725"/>
    <x v="239"/>
    <x v="0"/>
    <x v="0"/>
    <s v="Seattle"/>
    <x v="23"/>
    <n v="98115"/>
    <x v="3"/>
    <s v="FUR-TA-10004086"/>
    <x v="1"/>
    <x v="13"/>
    <s v="KI Adjustable-Height Table"/>
    <n v="515.88"/>
    <n v="6"/>
    <n v="0"/>
    <n v="113.49359999999999"/>
  </r>
  <r>
    <n v="575"/>
    <s v="US-2023-141299"/>
    <x v="121"/>
    <x v="123"/>
    <s v="Second Class"/>
    <s v="RB-19795"/>
    <x v="240"/>
    <x v="1"/>
    <x v="0"/>
    <s v="Midland"/>
    <x v="14"/>
    <n v="48640"/>
    <x v="0"/>
    <s v="OFF-EN-10004459"/>
    <x v="0"/>
    <x v="11"/>
    <s v="Security-Tint Envelopes"/>
    <n v="15.28"/>
    <n v="2"/>
    <n v="0"/>
    <n v="7.4871999999999996"/>
  </r>
  <r>
    <n v="576"/>
    <s v="US-2023-163867"/>
    <x v="121"/>
    <x v="121"/>
    <s v="First Class"/>
    <s v="RE-19450"/>
    <x v="238"/>
    <x v="0"/>
    <x v="0"/>
    <s v="Decatur"/>
    <x v="1"/>
    <n v="62521"/>
    <x v="0"/>
    <s v="OFF-LA-10001771"/>
    <x v="0"/>
    <x v="2"/>
    <s v="Avery 513"/>
    <n v="15.936000000000002"/>
    <n v="4"/>
    <n v="0.2"/>
    <n v="5.1791999999999998"/>
  </r>
  <r>
    <n v="577"/>
    <s v="US-2023-163867"/>
    <x v="121"/>
    <x v="121"/>
    <s v="First Class"/>
    <s v="RE-19450"/>
    <x v="238"/>
    <x v="0"/>
    <x v="0"/>
    <s v="Decatur"/>
    <x v="1"/>
    <n v="62521"/>
    <x v="0"/>
    <s v="OFF-ST-10000877"/>
    <x v="0"/>
    <x v="3"/>
    <s v="Recycled Steel Personal File for Standard File Folders"/>
    <n v="132.696"/>
    <n v="3"/>
    <n v="0.2"/>
    <n v="9.9521999999999977"/>
  </r>
  <r>
    <n v="578"/>
    <s v="US-2023-151946"/>
    <x v="122"/>
    <x v="124"/>
    <s v="Standard Class"/>
    <s v="BT-11440"/>
    <x v="241"/>
    <x v="0"/>
    <x v="0"/>
    <s v="New York City"/>
    <x v="21"/>
    <n v="10035"/>
    <x v="1"/>
    <s v="FUR-BO-10003272"/>
    <x v="1"/>
    <x v="10"/>
    <s v="O'Sullivan Living Dimensions 5-Shelf Bookcases"/>
    <n v="353.56799999999998"/>
    <n v="2"/>
    <n v="0.2"/>
    <n v="-44.196000000000026"/>
  </r>
  <r>
    <n v="579"/>
    <s v="US-2023-151946"/>
    <x v="122"/>
    <x v="124"/>
    <s v="Standard Class"/>
    <s v="BT-11440"/>
    <x v="241"/>
    <x v="0"/>
    <x v="0"/>
    <s v="New York City"/>
    <x v="21"/>
    <n v="10035"/>
    <x v="1"/>
    <s v="FUR-FU-10002191"/>
    <x v="1"/>
    <x v="8"/>
    <s v="G.E. Halogen Desk Lamp Bulbs"/>
    <n v="13.96"/>
    <n v="2"/>
    <n v="0"/>
    <n v="6.7008000000000001"/>
  </r>
  <r>
    <n v="580"/>
    <s v="US-2023-151946"/>
    <x v="122"/>
    <x v="124"/>
    <s v="Standard Class"/>
    <s v="BT-11440"/>
    <x v="241"/>
    <x v="0"/>
    <x v="0"/>
    <s v="New York City"/>
    <x v="21"/>
    <n v="10035"/>
    <x v="1"/>
    <s v="FUR-FU-10002878"/>
    <x v="1"/>
    <x v="8"/>
    <s v="Seth Thomas 14&quot; Day/Date Wall Clock"/>
    <n v="56.96"/>
    <n v="2"/>
    <n v="0"/>
    <n v="21.075200000000002"/>
  </r>
  <r>
    <n v="581"/>
    <s v="US-2023-151946"/>
    <x v="122"/>
    <x v="124"/>
    <s v="Standard Class"/>
    <s v="BT-11440"/>
    <x v="241"/>
    <x v="0"/>
    <x v="0"/>
    <s v="New York City"/>
    <x v="21"/>
    <n v="10035"/>
    <x v="1"/>
    <s v="OFF-AP-10001626"/>
    <x v="0"/>
    <x v="12"/>
    <s v="Commercial WindTunnel Clean Air Upright Vacuum, Replacement Belts, Filtration Bags"/>
    <n v="15.56"/>
    <n v="4"/>
    <n v="0"/>
    <n v="4.0456000000000003"/>
  </r>
  <r>
    <n v="582"/>
    <s v="US-2023-147914"/>
    <x v="122"/>
    <x v="124"/>
    <s v="Standard Class"/>
    <s v="MP-17470"/>
    <x v="113"/>
    <x v="1"/>
    <x v="0"/>
    <s v="Columbus"/>
    <x v="9"/>
    <n v="43229"/>
    <x v="1"/>
    <s v="OFF-PA-10001685"/>
    <x v="0"/>
    <x v="0"/>
    <s v="Easy-staple paper"/>
    <n v="16.224"/>
    <n v="2"/>
    <n v="0.2"/>
    <n v="5.8812000000000006"/>
  </r>
  <r>
    <n v="583"/>
    <s v="US-2023-159520"/>
    <x v="123"/>
    <x v="125"/>
    <s v="Standard Class"/>
    <s v="GT-14635"/>
    <x v="242"/>
    <x v="2"/>
    <x v="0"/>
    <s v="Long Beach"/>
    <x v="21"/>
    <n v="11561"/>
    <x v="1"/>
    <s v="FUR-TA-10003238"/>
    <x v="1"/>
    <x v="13"/>
    <s v="Chromcraft Bull-Nose Wood 48&quot; x 96&quot; Rectangular Conference Tables"/>
    <n v="991.76400000000012"/>
    <n v="3"/>
    <n v="0.4"/>
    <n v="-347.11740000000009"/>
  </r>
  <r>
    <n v="584"/>
    <s v="US-2023-133270"/>
    <x v="123"/>
    <x v="124"/>
    <s v="First Class"/>
    <s v="BM-11785"/>
    <x v="243"/>
    <x v="0"/>
    <x v="0"/>
    <s v="Rochester"/>
    <x v="21"/>
    <n v="14609"/>
    <x v="1"/>
    <s v="OFF-AR-10002656"/>
    <x v="0"/>
    <x v="4"/>
    <s v="Sanford Liquid Accent Highlighters"/>
    <n v="13.36"/>
    <n v="2"/>
    <n v="0"/>
    <n v="4.9431999999999992"/>
  </r>
  <r>
    <n v="585"/>
    <s v="US-2023-169257"/>
    <x v="123"/>
    <x v="126"/>
    <s v="Standard Class"/>
    <s v="SV-20785"/>
    <x v="152"/>
    <x v="0"/>
    <x v="0"/>
    <s v="Jacksonville"/>
    <x v="16"/>
    <n v="32216"/>
    <x v="2"/>
    <s v="OFF-BI-10002557"/>
    <x v="0"/>
    <x v="1"/>
    <s v="Presstex Flexible Ring Binders"/>
    <n v="1.3650000000000002"/>
    <n v="1"/>
    <n v="0.7"/>
    <n v="-0.9099999999999997"/>
  </r>
  <r>
    <n v="586"/>
    <s v="US-2023-161305"/>
    <x v="123"/>
    <x v="126"/>
    <s v="Standard Class"/>
    <s v="SB-20170"/>
    <x v="244"/>
    <x v="0"/>
    <x v="0"/>
    <s v="Chicago"/>
    <x v="1"/>
    <n v="60623"/>
    <x v="0"/>
    <s v="OFF-BI-10002794"/>
    <x v="0"/>
    <x v="1"/>
    <s v="Avery Trapezoid Ring Binder, 3&quot; Capacity, Black, 1040 sheets"/>
    <n v="24.587999999999994"/>
    <n v="3"/>
    <n v="0.8"/>
    <n v="-38.11140000000001"/>
  </r>
  <r>
    <n v="587"/>
    <s v="US-2023-159520"/>
    <x v="123"/>
    <x v="125"/>
    <s v="Standard Class"/>
    <s v="GT-14635"/>
    <x v="242"/>
    <x v="2"/>
    <x v="0"/>
    <s v="Long Beach"/>
    <x v="21"/>
    <n v="11561"/>
    <x v="1"/>
    <s v="OFF-BI-10003982"/>
    <x v="0"/>
    <x v="1"/>
    <s v="Wilson Jones Century Plastic Molded Ring Binders"/>
    <n v="149.54399999999998"/>
    <n v="9"/>
    <n v="0.2"/>
    <n v="50.471099999999993"/>
  </r>
  <r>
    <n v="588"/>
    <s v="US-2023-161305"/>
    <x v="123"/>
    <x v="126"/>
    <s v="Standard Class"/>
    <s v="SB-20170"/>
    <x v="244"/>
    <x v="0"/>
    <x v="0"/>
    <s v="Chicago"/>
    <x v="1"/>
    <n v="60623"/>
    <x v="0"/>
    <s v="OFF-EN-10000461"/>
    <x v="0"/>
    <x v="11"/>
    <s v="#10- 4 1/8&quot; x 9 1/2&quot; Recycled Envelopes"/>
    <n v="13.984000000000002"/>
    <n v="2"/>
    <n v="0.2"/>
    <n v="4.7195999999999998"/>
  </r>
  <r>
    <n v="589"/>
    <s v="US-2023-151897"/>
    <x v="123"/>
    <x v="127"/>
    <s v="Standard Class"/>
    <s v="VT-21700"/>
    <x v="245"/>
    <x v="1"/>
    <x v="0"/>
    <s v="Houston"/>
    <x v="0"/>
    <n v="77070"/>
    <x v="0"/>
    <s v="OFF-LA-10001074"/>
    <x v="0"/>
    <x v="2"/>
    <s v="Round Specialty Laser Printer Labels"/>
    <n v="100.24000000000001"/>
    <n v="10"/>
    <n v="0.2"/>
    <n v="33.830999999999989"/>
  </r>
  <r>
    <n v="590"/>
    <s v="US-2023-169257"/>
    <x v="123"/>
    <x v="126"/>
    <s v="Standard Class"/>
    <s v="SV-20785"/>
    <x v="152"/>
    <x v="0"/>
    <x v="0"/>
    <s v="Jacksonville"/>
    <x v="16"/>
    <n v="32216"/>
    <x v="2"/>
    <s v="OFF-PA-10002319"/>
    <x v="0"/>
    <x v="0"/>
    <s v="Xerox 1944"/>
    <n v="62.015999999999998"/>
    <n v="2"/>
    <n v="0.2"/>
    <n v="22.480800000000002"/>
  </r>
  <r>
    <n v="591"/>
    <s v="US-2023-159520"/>
    <x v="123"/>
    <x v="125"/>
    <s v="Standard Class"/>
    <s v="GT-14635"/>
    <x v="242"/>
    <x v="2"/>
    <x v="0"/>
    <s v="Long Beach"/>
    <x v="21"/>
    <n v="11561"/>
    <x v="1"/>
    <s v="OFF-SU-10001664"/>
    <x v="0"/>
    <x v="14"/>
    <s v="Acme Office Executive Series Stainless Steel Trimmers"/>
    <n v="17.14"/>
    <n v="2"/>
    <n v="0"/>
    <n v="4.4564000000000004"/>
  </r>
  <r>
    <n v="592"/>
    <s v="US-2023-106229"/>
    <x v="124"/>
    <x v="125"/>
    <s v="Second Class"/>
    <s v="NR-18550"/>
    <x v="246"/>
    <x v="0"/>
    <x v="0"/>
    <s v="Aurora"/>
    <x v="1"/>
    <n v="60505"/>
    <x v="0"/>
    <s v="FUR-TA-10002041"/>
    <x v="1"/>
    <x v="13"/>
    <s v="Bevis Round Conference Table Top, X-Base"/>
    <n v="268.935"/>
    <n v="3"/>
    <n v="0.5"/>
    <n v="-209.76929999999999"/>
  </r>
  <r>
    <n v="593"/>
    <s v="US-2023-134971"/>
    <x v="124"/>
    <x v="127"/>
    <s v="Second Class"/>
    <s v="BP-11095"/>
    <x v="247"/>
    <x v="2"/>
    <x v="0"/>
    <s v="Peoria"/>
    <x v="1"/>
    <n v="61604"/>
    <x v="0"/>
    <s v="OFF-BI-10003982"/>
    <x v="0"/>
    <x v="1"/>
    <s v="Wilson Jones Century Plastic Molded Ring Binders"/>
    <n v="12.461999999999996"/>
    <n v="3"/>
    <n v="0.8"/>
    <n v="-20.5623"/>
  </r>
  <r>
    <n v="594"/>
    <s v="US-2023-109162"/>
    <x v="125"/>
    <x v="126"/>
    <s v="Standard Class"/>
    <s v="KE-16420"/>
    <x v="126"/>
    <x v="2"/>
    <x v="0"/>
    <s v="Bristol"/>
    <x v="15"/>
    <n v="37620"/>
    <x v="2"/>
    <s v="FUR-CH-10002647"/>
    <x v="1"/>
    <x v="5"/>
    <s v="Situations Contoured Folding Chairs, 4/Set"/>
    <n v="170.35200000000003"/>
    <n v="3"/>
    <n v="0.2"/>
    <n v="10.647000000000006"/>
  </r>
  <r>
    <n v="595"/>
    <s v="US-2023-141257"/>
    <x v="125"/>
    <x v="128"/>
    <s v="Standard Class"/>
    <s v="CS-11950"/>
    <x v="248"/>
    <x v="0"/>
    <x v="0"/>
    <s v="Seattle"/>
    <x v="23"/>
    <n v="98115"/>
    <x v="3"/>
    <s v="FUR-CH-10002758"/>
    <x v="1"/>
    <x v="5"/>
    <s v="Hon Deluxe Fabric Upholstered Stacking Chairs, Squared Back"/>
    <n v="585.55200000000002"/>
    <n v="3"/>
    <n v="0.2"/>
    <n v="73.19399999999996"/>
  </r>
  <r>
    <n v="596"/>
    <s v="US-2023-108147"/>
    <x v="125"/>
    <x v="129"/>
    <s v="Standard Class"/>
    <s v="RD-19480"/>
    <x v="249"/>
    <x v="0"/>
    <x v="0"/>
    <s v="Long Beach"/>
    <x v="21"/>
    <n v="11561"/>
    <x v="1"/>
    <s v="OFF-BI-10003876"/>
    <x v="0"/>
    <x v="1"/>
    <s v="Green Canvas Binder for 8-1/2&quot; x 14&quot; Sheets"/>
    <n v="68.48"/>
    <n v="2"/>
    <n v="0.2"/>
    <n v="25.679999999999996"/>
  </r>
  <r>
    <n v="597"/>
    <s v="US-2023-108147"/>
    <x v="125"/>
    <x v="129"/>
    <s v="Standard Class"/>
    <s v="RD-19480"/>
    <x v="249"/>
    <x v="0"/>
    <x v="0"/>
    <s v="Long Beach"/>
    <x v="21"/>
    <n v="11561"/>
    <x v="1"/>
    <s v="OFF-ST-10003470"/>
    <x v="0"/>
    <x v="3"/>
    <s v="Tennsco Snap-Together Open Shelving Units, Starter Sets and Add-On Units"/>
    <n v="1676.88"/>
    <n v="6"/>
    <n v="0"/>
    <n v="83.843999999999937"/>
  </r>
  <r>
    <n v="598"/>
    <s v="US-2023-115812"/>
    <x v="126"/>
    <x v="128"/>
    <s v="Standard Class"/>
    <s v="BH-11710"/>
    <x v="250"/>
    <x v="0"/>
    <x v="0"/>
    <s v="Los Angeles"/>
    <x v="5"/>
    <n v="90032"/>
    <x v="3"/>
    <s v="FUR-FU-10001487"/>
    <x v="1"/>
    <x v="8"/>
    <s v="Eldon Expressions Wood and Plastic Desk Accessories, Cherry Wood"/>
    <n v="48.86"/>
    <n v="7"/>
    <n v="0"/>
    <n v="14.169399999999996"/>
  </r>
  <r>
    <n v="599"/>
    <s v="US-2023-160262"/>
    <x v="126"/>
    <x v="129"/>
    <s v="Second Class"/>
    <s v="TS-21205"/>
    <x v="97"/>
    <x v="2"/>
    <x v="0"/>
    <s v="North Las Vegas"/>
    <x v="19"/>
    <n v="89031"/>
    <x v="3"/>
    <s v="FUR-FU-10002685"/>
    <x v="1"/>
    <x v="8"/>
    <s v="Executive Impressions 13-1/2&quot; Indoor/Outdoor Wall Clock"/>
    <n v="37.4"/>
    <n v="2"/>
    <n v="0"/>
    <n v="14.212"/>
  </r>
  <r>
    <n v="600"/>
    <s v="US-2023-115812"/>
    <x v="126"/>
    <x v="128"/>
    <s v="Standard Class"/>
    <s v="BH-11710"/>
    <x v="250"/>
    <x v="0"/>
    <x v="0"/>
    <s v="Los Angeles"/>
    <x v="5"/>
    <n v="90032"/>
    <x v="3"/>
    <s v="FUR-TA-10001539"/>
    <x v="1"/>
    <x v="13"/>
    <s v="Chromcraft Rectangular Conference Tables"/>
    <n v="1706.1840000000002"/>
    <n v="9"/>
    <n v="0.2"/>
    <n v="85.309199999999805"/>
  </r>
  <r>
    <n v="601"/>
    <s v="US-2023-132612"/>
    <x v="126"/>
    <x v="125"/>
    <s v="Second Class"/>
    <s v="FO-14305"/>
    <x v="251"/>
    <x v="0"/>
    <x v="0"/>
    <s v="Harrisonburg"/>
    <x v="6"/>
    <n v="22801"/>
    <x v="2"/>
    <s v="FUR-TA-10004534"/>
    <x v="1"/>
    <x v="13"/>
    <s v="Bevis 44 x 96 Conference Tables"/>
    <n v="1441.3"/>
    <n v="7"/>
    <n v="0"/>
    <n v="245.0209999999999"/>
  </r>
  <r>
    <n v="602"/>
    <s v="US-2023-115812"/>
    <x v="126"/>
    <x v="128"/>
    <s v="Standard Class"/>
    <s v="BH-11710"/>
    <x v="250"/>
    <x v="0"/>
    <x v="0"/>
    <s v="Los Angeles"/>
    <x v="5"/>
    <n v="90032"/>
    <x v="3"/>
    <s v="OFF-AP-10002892"/>
    <x v="0"/>
    <x v="12"/>
    <s v="Belkin F5C206VTEL 6 Outlet Surge"/>
    <n v="114.9"/>
    <n v="5"/>
    <n v="0"/>
    <n v="34.469999999999992"/>
  </r>
  <r>
    <n v="603"/>
    <s v="US-2023-133753"/>
    <x v="126"/>
    <x v="129"/>
    <s v="Second Class"/>
    <s v="CW-11905"/>
    <x v="252"/>
    <x v="1"/>
    <x v="0"/>
    <s v="Huntsville"/>
    <x v="0"/>
    <n v="77340"/>
    <x v="0"/>
    <s v="OFF-AR-10001953"/>
    <x v="0"/>
    <x v="4"/>
    <s v="Boston 1645 Deluxe Heavier-Duty Electric Pencil Sharpener"/>
    <n v="70.367999999999995"/>
    <n v="2"/>
    <n v="0.2"/>
    <n v="6.1572000000000031"/>
  </r>
  <r>
    <n v="604"/>
    <s v="US-2023-160262"/>
    <x v="126"/>
    <x v="129"/>
    <s v="Second Class"/>
    <s v="TS-21205"/>
    <x v="97"/>
    <x v="2"/>
    <x v="0"/>
    <s v="North Las Vegas"/>
    <x v="19"/>
    <n v="89031"/>
    <x v="3"/>
    <s v="OFF-AR-10002335"/>
    <x v="0"/>
    <x v="4"/>
    <s v="DIXON Oriole Pencils"/>
    <n v="18.060000000000002"/>
    <n v="7"/>
    <n v="0"/>
    <n v="4.6956000000000007"/>
  </r>
  <r>
    <n v="605"/>
    <s v="US-2023-115812"/>
    <x v="126"/>
    <x v="128"/>
    <s v="Standard Class"/>
    <s v="BH-11710"/>
    <x v="250"/>
    <x v="0"/>
    <x v="0"/>
    <s v="Los Angeles"/>
    <x v="5"/>
    <n v="90032"/>
    <x v="3"/>
    <s v="OFF-AR-10002833"/>
    <x v="0"/>
    <x v="4"/>
    <s v="Newell 322"/>
    <n v="7.28"/>
    <n v="4"/>
    <n v="0"/>
    <n v="1.9656000000000002"/>
  </r>
  <r>
    <n v="606"/>
    <s v="US-2023-133851"/>
    <x v="126"/>
    <x v="130"/>
    <s v="Standard Class"/>
    <s v="CM-12445"/>
    <x v="253"/>
    <x v="0"/>
    <x v="0"/>
    <s v="San Francisco"/>
    <x v="5"/>
    <n v="94122"/>
    <x v="3"/>
    <s v="OFF-AR-10003752"/>
    <x v="0"/>
    <x v="4"/>
    <s v="Deluxe Chalkboard Eraser Cleaner"/>
    <n v="23.1"/>
    <n v="2"/>
    <n v="0"/>
    <n v="10.625999999999999"/>
  </r>
  <r>
    <n v="607"/>
    <s v="US-2023-115812"/>
    <x v="126"/>
    <x v="128"/>
    <s v="Standard Class"/>
    <s v="BH-11710"/>
    <x v="250"/>
    <x v="0"/>
    <x v="0"/>
    <s v="Los Angeles"/>
    <x v="5"/>
    <n v="90032"/>
    <x v="3"/>
    <s v="OFF-BI-10003910"/>
    <x v="0"/>
    <x v="1"/>
    <s v="DXL Angle-View Binders with Locking Rings by Samsill"/>
    <n v="18.504000000000001"/>
    <n v="3"/>
    <n v="0.2"/>
    <n v="5.7824999999999998"/>
  </r>
  <r>
    <n v="608"/>
    <s v="US-2023-160262"/>
    <x v="126"/>
    <x v="129"/>
    <s v="Second Class"/>
    <s v="TS-21205"/>
    <x v="97"/>
    <x v="2"/>
    <x v="0"/>
    <s v="North Las Vegas"/>
    <x v="19"/>
    <n v="89031"/>
    <x v="3"/>
    <s v="OFF-PA-10003641"/>
    <x v="0"/>
    <x v="0"/>
    <s v="Xerox 1909"/>
    <n v="79.14"/>
    <n v="3"/>
    <n v="0"/>
    <n v="36.404399999999995"/>
  </r>
  <r>
    <n v="609"/>
    <s v="US-2023-133851"/>
    <x v="126"/>
    <x v="130"/>
    <s v="Standard Class"/>
    <s v="CM-12445"/>
    <x v="253"/>
    <x v="0"/>
    <x v="0"/>
    <s v="San Francisco"/>
    <x v="5"/>
    <n v="94122"/>
    <x v="3"/>
    <s v="OFF-SU-10001225"/>
    <x v="0"/>
    <x v="14"/>
    <s v="Staple remover"/>
    <n v="7.36"/>
    <n v="2"/>
    <n v="0"/>
    <n v="0.14719999999999978"/>
  </r>
  <r>
    <n v="610"/>
    <s v="US-2023-133753"/>
    <x v="126"/>
    <x v="129"/>
    <s v="Second Class"/>
    <s v="CW-11905"/>
    <x v="252"/>
    <x v="1"/>
    <x v="0"/>
    <s v="Huntsville"/>
    <x v="0"/>
    <n v="77340"/>
    <x v="0"/>
    <s v="TEC-AC-10000303"/>
    <x v="2"/>
    <x v="9"/>
    <s v="Logitech M510 Wireless Mouse"/>
    <n v="63.984000000000009"/>
    <n v="2"/>
    <n v="0.2"/>
    <n v="10.397399999999998"/>
  </r>
  <r>
    <n v="611"/>
    <s v="US-2023-133753"/>
    <x v="126"/>
    <x v="129"/>
    <s v="Second Class"/>
    <s v="CW-11905"/>
    <x v="252"/>
    <x v="1"/>
    <x v="0"/>
    <s v="Huntsville"/>
    <x v="0"/>
    <n v="77340"/>
    <x v="0"/>
    <s v="TEC-PH-10000376"/>
    <x v="2"/>
    <x v="7"/>
    <s v="Square Credit Card Reader"/>
    <n v="7.9920000000000009"/>
    <n v="1"/>
    <n v="0.2"/>
    <n v="0.59940000000000015"/>
  </r>
  <r>
    <n v="612"/>
    <s v="US-2023-115812"/>
    <x v="126"/>
    <x v="128"/>
    <s v="Standard Class"/>
    <s v="BH-11710"/>
    <x v="250"/>
    <x v="0"/>
    <x v="0"/>
    <s v="Los Angeles"/>
    <x v="5"/>
    <n v="90032"/>
    <x v="3"/>
    <s v="TEC-PH-10002033"/>
    <x v="2"/>
    <x v="7"/>
    <s v="Konftel 250 Conference phone - Charcoal black"/>
    <n v="911.42399999999998"/>
    <n v="4"/>
    <n v="0.2"/>
    <n v="68.356800000000021"/>
  </r>
  <r>
    <n v="613"/>
    <s v="US-2023-115812"/>
    <x v="126"/>
    <x v="128"/>
    <s v="Standard Class"/>
    <s v="BH-11710"/>
    <x v="250"/>
    <x v="0"/>
    <x v="0"/>
    <s v="Los Angeles"/>
    <x v="5"/>
    <n v="90032"/>
    <x v="3"/>
    <s v="TEC-PH-10002275"/>
    <x v="2"/>
    <x v="7"/>
    <s v="Mitel 5320 IP Phone VoIP phone"/>
    <n v="907.15200000000004"/>
    <n v="6"/>
    <n v="0.2"/>
    <n v="90.715200000000038"/>
  </r>
  <r>
    <n v="614"/>
    <s v="US-2023-144281"/>
    <x v="127"/>
    <x v="131"/>
    <s v="Second Class"/>
    <s v="HK-14890"/>
    <x v="254"/>
    <x v="2"/>
    <x v="0"/>
    <s v="Detroit"/>
    <x v="14"/>
    <n v="48234"/>
    <x v="0"/>
    <s v="OFF-LA-10003930"/>
    <x v="0"/>
    <x v="2"/>
    <s v="Dot Matrix Printer Tape Reel Labels, White, 5000/Box"/>
    <n v="491.55"/>
    <n v="5"/>
    <n v="0"/>
    <n v="240.8595"/>
  </r>
  <r>
    <n v="615"/>
    <s v="US-2023-114643"/>
    <x v="128"/>
    <x v="132"/>
    <s v="Standard Class"/>
    <s v="FM-14215"/>
    <x v="76"/>
    <x v="2"/>
    <x v="0"/>
    <s v="Los Angeles"/>
    <x v="5"/>
    <n v="90032"/>
    <x v="3"/>
    <s v="OFF-AR-10003631"/>
    <x v="0"/>
    <x v="4"/>
    <s v="Staples in misc. colors"/>
    <n v="14.52"/>
    <n v="3"/>
    <n v="0"/>
    <n v="4.7915999999999999"/>
  </r>
  <r>
    <n v="616"/>
    <s v="US-2023-140487"/>
    <x v="129"/>
    <x v="133"/>
    <s v="Standard Class"/>
    <s v="SR-20425"/>
    <x v="255"/>
    <x v="1"/>
    <x v="0"/>
    <s v="Detroit"/>
    <x v="14"/>
    <n v="48234"/>
    <x v="0"/>
    <s v="FUR-BO-10000711"/>
    <x v="1"/>
    <x v="10"/>
    <s v="Hon Metal Bookcases, Gray"/>
    <n v="212.94"/>
    <n v="3"/>
    <n v="0"/>
    <n v="57.4938"/>
  </r>
  <r>
    <n v="617"/>
    <s v="US-2023-141215"/>
    <x v="130"/>
    <x v="134"/>
    <s v="Standard Class"/>
    <s v="KL-16555"/>
    <x v="256"/>
    <x v="2"/>
    <x v="0"/>
    <s v="San Antonio"/>
    <x v="0"/>
    <n v="78207"/>
    <x v="0"/>
    <s v="FUR-CH-10003379"/>
    <x v="1"/>
    <x v="5"/>
    <s v="Global Commerce Series High-Back Swivel/Tilt Chairs"/>
    <n v="797.94399999999996"/>
    <n v="4"/>
    <n v="0.3"/>
    <n v="-56.995999999999981"/>
  </r>
  <r>
    <n v="618"/>
    <s v="US-2023-141215"/>
    <x v="130"/>
    <x v="134"/>
    <s v="Standard Class"/>
    <s v="KL-16555"/>
    <x v="256"/>
    <x v="2"/>
    <x v="0"/>
    <s v="San Antonio"/>
    <x v="0"/>
    <n v="78207"/>
    <x v="0"/>
    <s v="FUR-TA-10001520"/>
    <x v="1"/>
    <x v="13"/>
    <s v="Lesro Sheffield Collection Coffee Table, End Table, Center Table, Corner Table"/>
    <n v="99.918000000000006"/>
    <n v="2"/>
    <n v="0.3"/>
    <n v="-18.556200000000018"/>
  </r>
  <r>
    <n v="619"/>
    <s v="US-2023-141215"/>
    <x v="130"/>
    <x v="134"/>
    <s v="Standard Class"/>
    <s v="KL-16555"/>
    <x v="256"/>
    <x v="2"/>
    <x v="0"/>
    <s v="San Antonio"/>
    <x v="0"/>
    <n v="78207"/>
    <x v="0"/>
    <s v="OFF-BI-10002706"/>
    <x v="0"/>
    <x v="1"/>
    <s v="Avery Premier Heavy-Duty Binder with Round Locking Rings"/>
    <n v="8.5679999999999978"/>
    <n v="3"/>
    <n v="0.8"/>
    <n v="-14.5656"/>
  </r>
  <r>
    <n v="620"/>
    <s v="US-2023-126963"/>
    <x v="130"/>
    <x v="131"/>
    <s v="Same Day"/>
    <s v="PS-18760"/>
    <x v="257"/>
    <x v="0"/>
    <x v="0"/>
    <s v="El Paso"/>
    <x v="0"/>
    <n v="79907"/>
    <x v="0"/>
    <s v="OFF-PA-10001952"/>
    <x v="0"/>
    <x v="0"/>
    <s v="Xerox 1902"/>
    <n v="36.544000000000004"/>
    <n v="2"/>
    <n v="0.2"/>
    <n v="11.876799999999998"/>
  </r>
  <r>
    <n v="621"/>
    <s v="US-2023-136644"/>
    <x v="131"/>
    <x v="135"/>
    <s v="Standard Class"/>
    <s v="SC-20575"/>
    <x v="258"/>
    <x v="0"/>
    <x v="0"/>
    <s v="Mishawaka"/>
    <x v="18"/>
    <n v="46544"/>
    <x v="0"/>
    <s v="FUR-CH-10000225"/>
    <x v="1"/>
    <x v="5"/>
    <s v="Global Geo Office Task Chair, Gray"/>
    <n v="647.84"/>
    <n v="8"/>
    <n v="0"/>
    <n v="32.391999999999939"/>
  </r>
  <r>
    <n v="622"/>
    <s v="US-2023-113929"/>
    <x v="131"/>
    <x v="134"/>
    <s v="Standard Class"/>
    <s v="CK-12205"/>
    <x v="75"/>
    <x v="0"/>
    <x v="0"/>
    <s v="Hempstead"/>
    <x v="21"/>
    <n v="11550"/>
    <x v="1"/>
    <s v="OFF-AR-10003772"/>
    <x v="0"/>
    <x v="4"/>
    <s v="Boston 16750 Black Compact Battery Pencil Sharpener"/>
    <n v="35"/>
    <n v="4"/>
    <n v="0"/>
    <n v="10.499999999999996"/>
  </r>
  <r>
    <n v="623"/>
    <s v="US-2023-113929"/>
    <x v="131"/>
    <x v="134"/>
    <s v="Standard Class"/>
    <s v="CK-12205"/>
    <x v="75"/>
    <x v="0"/>
    <x v="0"/>
    <s v="Hempstead"/>
    <x v="21"/>
    <n v="11550"/>
    <x v="1"/>
    <s v="OFF-BI-10002852"/>
    <x v="0"/>
    <x v="1"/>
    <s v="Ibico Standard Transparent Covers"/>
    <n v="39.552000000000007"/>
    <n v="3"/>
    <n v="0.2"/>
    <n v="14.337599999999998"/>
  </r>
  <r>
    <n v="624"/>
    <s v="US-2023-113929"/>
    <x v="131"/>
    <x v="134"/>
    <s v="Standard Class"/>
    <s v="CK-12205"/>
    <x v="75"/>
    <x v="0"/>
    <x v="0"/>
    <s v="Hempstead"/>
    <x v="21"/>
    <n v="11550"/>
    <x v="1"/>
    <s v="OFF-EN-10003286"/>
    <x v="0"/>
    <x v="11"/>
    <s v="Staple envelope"/>
    <n v="41.4"/>
    <n v="5"/>
    <n v="0"/>
    <n v="19.457999999999998"/>
  </r>
  <r>
    <n v="625"/>
    <s v="US-2023-144414"/>
    <x v="132"/>
    <x v="134"/>
    <s v="Standard Class"/>
    <s v="GH-14425"/>
    <x v="259"/>
    <x v="0"/>
    <x v="0"/>
    <s v="Seattle"/>
    <x v="23"/>
    <n v="98105"/>
    <x v="3"/>
    <s v="FUR-FU-10003981"/>
    <x v="1"/>
    <x v="8"/>
    <s v="Eldon Wave Desk Accessories"/>
    <n v="6.24"/>
    <n v="3"/>
    <n v="0"/>
    <n v="2.6208000000000005"/>
  </r>
  <r>
    <n v="626"/>
    <s v="US-2023-144414"/>
    <x v="132"/>
    <x v="134"/>
    <s v="Standard Class"/>
    <s v="GH-14425"/>
    <x v="259"/>
    <x v="0"/>
    <x v="0"/>
    <s v="Seattle"/>
    <x v="23"/>
    <n v="98105"/>
    <x v="3"/>
    <s v="OFF-BI-10004995"/>
    <x v="0"/>
    <x v="1"/>
    <s v="GBC DocuBind P400 Electric Binding System"/>
    <n v="3266.3760000000002"/>
    <n v="3"/>
    <n v="0.2"/>
    <n v="1061.5721999999998"/>
  </r>
  <r>
    <n v="627"/>
    <s v="US-2023-144414"/>
    <x v="132"/>
    <x v="134"/>
    <s v="Standard Class"/>
    <s v="GH-14425"/>
    <x v="259"/>
    <x v="0"/>
    <x v="0"/>
    <s v="Seattle"/>
    <x v="23"/>
    <n v="98105"/>
    <x v="3"/>
    <s v="OFF-FA-10000624"/>
    <x v="0"/>
    <x v="6"/>
    <s v="OIC Binder Clips"/>
    <n v="17.899999999999999"/>
    <n v="5"/>
    <n v="0"/>
    <n v="8.9499999999999993"/>
  </r>
  <r>
    <n v="628"/>
    <s v="US-2023-156342"/>
    <x v="132"/>
    <x v="133"/>
    <s v="Second Class"/>
    <s v="JF-15415"/>
    <x v="260"/>
    <x v="0"/>
    <x v="0"/>
    <s v="Chicago"/>
    <x v="1"/>
    <n v="60653"/>
    <x v="0"/>
    <s v="OFF-PA-10001725"/>
    <x v="0"/>
    <x v="0"/>
    <s v="Xerox 1892"/>
    <n v="62.015999999999998"/>
    <n v="2"/>
    <n v="0.2"/>
    <n v="22.480800000000002"/>
  </r>
  <r>
    <n v="629"/>
    <s v="US-2023-104402"/>
    <x v="132"/>
    <x v="136"/>
    <s v="Standard Class"/>
    <s v="DB-13660"/>
    <x v="261"/>
    <x v="0"/>
    <x v="0"/>
    <s v="Newark"/>
    <x v="7"/>
    <n v="19711"/>
    <x v="1"/>
    <s v="TEC-MA-10000423"/>
    <x v="2"/>
    <x v="15"/>
    <s v="Texas Instruments TI-34 Scientific Calculator"/>
    <n v="65.97"/>
    <n v="3"/>
    <n v="0"/>
    <n v="31.005899999999997"/>
  </r>
  <r>
    <n v="630"/>
    <s v="US-2023-123855"/>
    <x v="133"/>
    <x v="136"/>
    <s v="Standard Class"/>
    <s v="MC-18100"/>
    <x v="262"/>
    <x v="0"/>
    <x v="0"/>
    <s v="Los Angeles"/>
    <x v="5"/>
    <n v="90036"/>
    <x v="3"/>
    <s v="TEC-PH-10000215"/>
    <x v="2"/>
    <x v="7"/>
    <s v="Plantronics Cordless Phone Headset with In-line Volume - M214C"/>
    <n v="139.80000000000001"/>
    <n v="5"/>
    <n v="0.2"/>
    <n v="12.232500000000009"/>
  </r>
  <r>
    <n v="631"/>
    <s v="CA-2023-184712"/>
    <x v="133"/>
    <x v="133"/>
    <s v="Second Class"/>
    <s v="NC-19470"/>
    <x v="263"/>
    <x v="1"/>
    <x v="1"/>
    <s v="Halifax"/>
    <x v="43"/>
    <s v="B3H"/>
    <x v="1"/>
    <s v="OFF-PA-10000167"/>
    <x v="0"/>
    <x v="0"/>
    <s v="Xerox 1925"/>
    <n v="74.352000000000004"/>
    <n v="3"/>
    <n v="0.2"/>
    <n v="23.234999999999992"/>
  </r>
  <r>
    <n v="632"/>
    <s v="US-2023-166863"/>
    <x v="134"/>
    <x v="137"/>
    <s v="Standard Class"/>
    <s v="SC-20020"/>
    <x v="66"/>
    <x v="0"/>
    <x v="0"/>
    <s v="Plano"/>
    <x v="0"/>
    <n v="75023"/>
    <x v="0"/>
    <s v="FUR-BO-10001608"/>
    <x v="1"/>
    <x v="10"/>
    <s v="Hon Metal Bookcases, Black"/>
    <n v="193.06559999999999"/>
    <n v="4"/>
    <n v="0.32"/>
    <n v="-19.874399999999994"/>
  </r>
  <r>
    <n v="633"/>
    <s v="US-2023-112949"/>
    <x v="134"/>
    <x v="138"/>
    <s v="Standard Class"/>
    <s v="Co-12640"/>
    <x v="264"/>
    <x v="0"/>
    <x v="0"/>
    <s v="Lawton"/>
    <x v="44"/>
    <n v="73505"/>
    <x v="0"/>
    <s v="OFF-AP-10001005"/>
    <x v="0"/>
    <x v="12"/>
    <s v="Honeywell Quietcare HEPA Air Cleaner"/>
    <n v="471.90000000000003"/>
    <n v="6"/>
    <n v="0"/>
    <n v="155.72699999999998"/>
  </r>
  <r>
    <n v="634"/>
    <s v="US-2023-112949"/>
    <x v="134"/>
    <x v="138"/>
    <s v="Standard Class"/>
    <s v="Co-12640"/>
    <x v="264"/>
    <x v="0"/>
    <x v="0"/>
    <s v="Lawton"/>
    <x v="44"/>
    <n v="73505"/>
    <x v="0"/>
    <s v="OFF-AR-10003469"/>
    <x v="0"/>
    <x v="4"/>
    <s v="Nontoxic Chalk"/>
    <n v="3.52"/>
    <n v="2"/>
    <n v="0"/>
    <n v="1.6896"/>
  </r>
  <r>
    <n v="635"/>
    <s v="US-2023-166863"/>
    <x v="134"/>
    <x v="137"/>
    <s v="Standard Class"/>
    <s v="SC-20020"/>
    <x v="66"/>
    <x v="0"/>
    <x v="0"/>
    <s v="Plano"/>
    <x v="0"/>
    <n v="75023"/>
    <x v="0"/>
    <s v="OFF-BI-10000756"/>
    <x v="0"/>
    <x v="1"/>
    <s v="Storex DuraTech Recycled Plastic Frosted Binders"/>
    <n v="3.3919999999999995"/>
    <n v="4"/>
    <n v="0.8"/>
    <n v="-5.088000000000001"/>
  </r>
  <r>
    <n v="636"/>
    <s v="US-2023-166863"/>
    <x v="134"/>
    <x v="137"/>
    <s v="Standard Class"/>
    <s v="SC-20020"/>
    <x v="66"/>
    <x v="0"/>
    <x v="0"/>
    <s v="Plano"/>
    <x v="0"/>
    <n v="75023"/>
    <x v="0"/>
    <s v="OFF-PA-10000587"/>
    <x v="0"/>
    <x v="0"/>
    <s v="Array Parchment Paper, Assorted Colors"/>
    <n v="11.648000000000001"/>
    <n v="2"/>
    <n v="0.2"/>
    <n v="4.0768000000000004"/>
  </r>
  <r>
    <n v="637"/>
    <s v="US-2023-166863"/>
    <x v="134"/>
    <x v="137"/>
    <s v="Standard Class"/>
    <s v="SC-20020"/>
    <x v="66"/>
    <x v="0"/>
    <x v="0"/>
    <s v="Plano"/>
    <x v="0"/>
    <n v="75023"/>
    <x v="0"/>
    <s v="OFF-PA-10001166"/>
    <x v="0"/>
    <x v="0"/>
    <s v="Xerox 2"/>
    <n v="15.552000000000003"/>
    <n v="3"/>
    <n v="0.2"/>
    <n v="5.4432"/>
  </r>
  <r>
    <n v="638"/>
    <s v="US-2023-166863"/>
    <x v="134"/>
    <x v="137"/>
    <s v="Standard Class"/>
    <s v="SC-20020"/>
    <x v="66"/>
    <x v="0"/>
    <x v="0"/>
    <s v="Plano"/>
    <x v="0"/>
    <n v="75023"/>
    <x v="0"/>
    <s v="OFF-ST-10004123"/>
    <x v="0"/>
    <x v="3"/>
    <s v="Safco Industrial Wire Shelving System"/>
    <n v="509.48800000000006"/>
    <n v="7"/>
    <n v="0.2"/>
    <n v="-127.37200000000001"/>
  </r>
  <r>
    <n v="639"/>
    <s v="US-2023-166863"/>
    <x v="134"/>
    <x v="137"/>
    <s v="Standard Class"/>
    <s v="SC-20020"/>
    <x v="66"/>
    <x v="0"/>
    <x v="0"/>
    <s v="Plano"/>
    <x v="0"/>
    <n v="75023"/>
    <x v="0"/>
    <s v="TEC-MA-10001972"/>
    <x v="2"/>
    <x v="15"/>
    <s v="Okidata C331dn Printer"/>
    <n v="418.8"/>
    <n v="2"/>
    <n v="0.4"/>
    <n v="-97.71999999999997"/>
  </r>
  <r>
    <n v="640"/>
    <s v="US-2023-166863"/>
    <x v="134"/>
    <x v="137"/>
    <s v="Standard Class"/>
    <s v="SC-20020"/>
    <x v="66"/>
    <x v="0"/>
    <x v="0"/>
    <s v="Plano"/>
    <x v="0"/>
    <n v="75023"/>
    <x v="0"/>
    <s v="TEC-PH-10000369"/>
    <x v="2"/>
    <x v="7"/>
    <s v="HTC One Mini"/>
    <n v="201.584"/>
    <n v="2"/>
    <n v="0.2"/>
    <n v="20.158400000000015"/>
  </r>
  <r>
    <n v="641"/>
    <s v="US-2023-138317"/>
    <x v="135"/>
    <x v="139"/>
    <s v="Standard Class"/>
    <s v="NW-18400"/>
    <x v="265"/>
    <x v="0"/>
    <x v="0"/>
    <s v="Philadelphia"/>
    <x v="2"/>
    <n v="19120"/>
    <x v="1"/>
    <s v="FUR-FU-10000550"/>
    <x v="1"/>
    <x v="8"/>
    <s v="Stacking Trays by OIC"/>
    <n v="3.9840000000000004"/>
    <n v="1"/>
    <n v="0.2"/>
    <n v="0.64739999999999964"/>
  </r>
  <r>
    <n v="642"/>
    <s v="US-2023-117135"/>
    <x v="135"/>
    <x v="136"/>
    <s v="Second Class"/>
    <s v="NP-18325"/>
    <x v="202"/>
    <x v="0"/>
    <x v="0"/>
    <s v="Waynesboro"/>
    <x v="6"/>
    <n v="22980"/>
    <x v="2"/>
    <s v="FUR-FU-10004071"/>
    <x v="1"/>
    <x v="8"/>
    <s v="Luxo Professional Magnifying Clamp-On Fluorescent Lamps"/>
    <n v="104.01"/>
    <n v="1"/>
    <n v="0"/>
    <n v="14.561400000000006"/>
  </r>
  <r>
    <n v="643"/>
    <s v="US-2023-130624"/>
    <x v="135"/>
    <x v="137"/>
    <s v="First Class"/>
    <s v="TB-21280"/>
    <x v="266"/>
    <x v="0"/>
    <x v="0"/>
    <s v="New York City"/>
    <x v="21"/>
    <n v="10024"/>
    <x v="1"/>
    <s v="OFF-AP-10001303"/>
    <x v="0"/>
    <x v="12"/>
    <s v="Holmes Cool Mist Humidifier for the Whole House with 8-Gallon Output per Day, Extended Life Filter"/>
    <n v="59.699999999999996"/>
    <n v="3"/>
    <n v="0"/>
    <n v="26.864999999999995"/>
  </r>
  <r>
    <n v="644"/>
    <s v="US-2023-138317"/>
    <x v="135"/>
    <x v="139"/>
    <s v="Standard Class"/>
    <s v="NW-18400"/>
    <x v="265"/>
    <x v="0"/>
    <x v="0"/>
    <s v="Philadelphia"/>
    <x v="2"/>
    <n v="19120"/>
    <x v="1"/>
    <s v="OFF-AP-10003860"/>
    <x v="0"/>
    <x v="12"/>
    <s v="Fellowes Advanced 8 Outlet Surge Suppressor with Phone/Fax Protection"/>
    <n v="44.416000000000004"/>
    <n v="2"/>
    <n v="0.2"/>
    <n v="3.8864000000000001"/>
  </r>
  <r>
    <n v="645"/>
    <s v="US-2023-128146"/>
    <x v="135"/>
    <x v="139"/>
    <s v="Standard Class"/>
    <s v="DB-13060"/>
    <x v="59"/>
    <x v="0"/>
    <x v="0"/>
    <s v="Lakewood"/>
    <x v="24"/>
    <n v="8701"/>
    <x v="1"/>
    <s v="OFF-AR-10001919"/>
    <x v="0"/>
    <x v="4"/>
    <s v="OIC #2 Pencils, Medium Soft"/>
    <n v="3.76"/>
    <n v="2"/>
    <n v="0"/>
    <n v="1.0903999999999998"/>
  </r>
  <r>
    <n v="646"/>
    <s v="US-2023-141278"/>
    <x v="135"/>
    <x v="137"/>
    <s v="First Class"/>
    <s v="RM-19375"/>
    <x v="199"/>
    <x v="0"/>
    <x v="0"/>
    <s v="Meriden"/>
    <x v="39"/>
    <n v="6450"/>
    <x v="1"/>
    <s v="OFF-AR-10003056"/>
    <x v="0"/>
    <x v="4"/>
    <s v="Newell 341"/>
    <n v="21.400000000000002"/>
    <n v="5"/>
    <n v="0"/>
    <n v="6.2059999999999977"/>
  </r>
  <r>
    <n v="647"/>
    <s v="US-2023-138317"/>
    <x v="135"/>
    <x v="139"/>
    <s v="Standard Class"/>
    <s v="NW-18400"/>
    <x v="265"/>
    <x v="0"/>
    <x v="0"/>
    <s v="Philadelphia"/>
    <x v="2"/>
    <n v="19120"/>
    <x v="1"/>
    <s v="OFF-BI-10000069"/>
    <x v="0"/>
    <x v="1"/>
    <s v="GBC Prepunched Paper, 19-Hole, for Binding Systems, 24-lb"/>
    <n v="9.006000000000002"/>
    <n v="2"/>
    <n v="0.7"/>
    <n v="-7.2048000000000023"/>
  </r>
  <r>
    <n v="648"/>
    <s v="US-2023-160780"/>
    <x v="135"/>
    <x v="134"/>
    <s v="Same Day"/>
    <s v="SV-20785"/>
    <x v="152"/>
    <x v="0"/>
    <x v="0"/>
    <s v="Pueblo"/>
    <x v="27"/>
    <n v="81001"/>
    <x v="3"/>
    <s v="OFF-BI-10001116"/>
    <x v="0"/>
    <x v="1"/>
    <s v="Wilson Jones 1&quot; Hanging DublLock Ring Binders"/>
    <n v="11.088000000000003"/>
    <n v="7"/>
    <n v="0.7"/>
    <n v="-8.1311999999999998"/>
  </r>
  <r>
    <n v="649"/>
    <s v="US-2023-160780"/>
    <x v="135"/>
    <x v="134"/>
    <s v="Same Day"/>
    <s v="SV-20785"/>
    <x v="152"/>
    <x v="0"/>
    <x v="0"/>
    <s v="Pueblo"/>
    <x v="27"/>
    <n v="81001"/>
    <x v="3"/>
    <s v="OFF-BI-10002931"/>
    <x v="0"/>
    <x v="1"/>
    <s v="Avery Trapezoid Extra Heavy Duty 4&quot; Binders"/>
    <n v="25.164000000000001"/>
    <n v="2"/>
    <n v="0.7"/>
    <n v="-16.775999999999996"/>
  </r>
  <r>
    <n v="650"/>
    <s v="US-2023-138317"/>
    <x v="135"/>
    <x v="139"/>
    <s v="Standard Class"/>
    <s v="NW-18400"/>
    <x v="265"/>
    <x v="0"/>
    <x v="0"/>
    <s v="Philadelphia"/>
    <x v="2"/>
    <n v="19120"/>
    <x v="1"/>
    <s v="OFF-EN-10001539"/>
    <x v="0"/>
    <x v="11"/>
    <s v="Staple envelope"/>
    <n v="24.896000000000001"/>
    <n v="4"/>
    <n v="0.2"/>
    <n v="8.4024000000000001"/>
  </r>
  <r>
    <n v="651"/>
    <s v="US-2023-130624"/>
    <x v="135"/>
    <x v="137"/>
    <s v="First Class"/>
    <s v="TB-21280"/>
    <x v="266"/>
    <x v="0"/>
    <x v="0"/>
    <s v="New York City"/>
    <x v="21"/>
    <n v="10024"/>
    <x v="1"/>
    <s v="OFF-PA-10003883"/>
    <x v="0"/>
    <x v="0"/>
    <s v="Message Book, Phone, Wirebound Standard Line Memo, 2 3/4&quot; X 5&quot;"/>
    <n v="19.649999999999999"/>
    <n v="3"/>
    <n v="0"/>
    <n v="9.0389999999999997"/>
  </r>
  <r>
    <n v="652"/>
    <s v="US-2023-117135"/>
    <x v="135"/>
    <x v="136"/>
    <s v="Second Class"/>
    <s v="NP-18325"/>
    <x v="202"/>
    <x v="0"/>
    <x v="0"/>
    <s v="Waynesboro"/>
    <x v="6"/>
    <n v="22980"/>
    <x v="2"/>
    <s v="OFF-ST-10002444"/>
    <x v="0"/>
    <x v="3"/>
    <s v="Recycled Eldon Regeneration Jumbo File"/>
    <n v="36.839999999999996"/>
    <n v="3"/>
    <n v="0"/>
    <n v="10.315199999999999"/>
  </r>
  <r>
    <n v="653"/>
    <s v="US-2023-138317"/>
    <x v="135"/>
    <x v="139"/>
    <s v="Standard Class"/>
    <s v="NW-18400"/>
    <x v="265"/>
    <x v="0"/>
    <x v="0"/>
    <s v="Philadelphia"/>
    <x v="2"/>
    <n v="19120"/>
    <x v="1"/>
    <s v="TEC-AC-10003628"/>
    <x v="2"/>
    <x v="9"/>
    <s v="Logitech 910-002974 M325 Wireless Mouse for Web Scrolling"/>
    <n v="95.968000000000004"/>
    <n v="4"/>
    <n v="0.2"/>
    <n v="28.790400000000009"/>
  </r>
  <r>
    <n v="654"/>
    <s v="US-2023-138317"/>
    <x v="135"/>
    <x v="139"/>
    <s v="Standard Class"/>
    <s v="NW-18400"/>
    <x v="265"/>
    <x v="0"/>
    <x v="0"/>
    <s v="Philadelphia"/>
    <x v="2"/>
    <n v="19120"/>
    <x v="1"/>
    <s v="TEC-MA-10004521"/>
    <x v="2"/>
    <x v="15"/>
    <s v="Epson Perfection V600 Photo Scanner"/>
    <n v="206.99100000000004"/>
    <n v="3"/>
    <n v="0.7"/>
    <n v="-172.49250000000001"/>
  </r>
  <r>
    <n v="655"/>
    <s v="US-2023-141796"/>
    <x v="135"/>
    <x v="134"/>
    <s v="Same Day"/>
    <s v="JG-15160"/>
    <x v="231"/>
    <x v="0"/>
    <x v="0"/>
    <s v="Long Beach"/>
    <x v="21"/>
    <n v="11561"/>
    <x v="1"/>
    <s v="TEC-PH-10001578"/>
    <x v="2"/>
    <x v="7"/>
    <s v="Polycom SoundStation2 EX Conference phone"/>
    <n v="1214.8499999999999"/>
    <n v="3"/>
    <n v="0"/>
    <n v="352.30649999999997"/>
  </r>
  <r>
    <n v="656"/>
    <s v="US-2023-117135"/>
    <x v="135"/>
    <x v="136"/>
    <s v="Second Class"/>
    <s v="NP-18325"/>
    <x v="202"/>
    <x v="0"/>
    <x v="0"/>
    <s v="Waynesboro"/>
    <x v="6"/>
    <n v="22980"/>
    <x v="2"/>
    <s v="TEC-PH-10002033"/>
    <x v="2"/>
    <x v="7"/>
    <s v="Konftel 250 Conference phone - Charcoal black"/>
    <n v="284.82"/>
    <n v="1"/>
    <n v="0"/>
    <n v="74.053200000000004"/>
  </r>
  <r>
    <n v="657"/>
    <s v="US-2023-130624"/>
    <x v="135"/>
    <x v="137"/>
    <s v="First Class"/>
    <s v="TB-21280"/>
    <x v="266"/>
    <x v="0"/>
    <x v="0"/>
    <s v="New York City"/>
    <x v="21"/>
    <n v="10024"/>
    <x v="1"/>
    <s v="TEC-PH-10003963"/>
    <x v="2"/>
    <x v="7"/>
    <s v="GE 2-Jack Phone Line Splitter"/>
    <n v="617.97"/>
    <n v="3"/>
    <n v="0"/>
    <n v="160.6722"/>
  </r>
  <r>
    <n v="658"/>
    <s v="US-2023-128146"/>
    <x v="135"/>
    <x v="139"/>
    <s v="Standard Class"/>
    <s v="DB-13060"/>
    <x v="59"/>
    <x v="0"/>
    <x v="0"/>
    <s v="Lakewood"/>
    <x v="24"/>
    <n v="8701"/>
    <x v="1"/>
    <s v="TEC-PH-10004539"/>
    <x v="2"/>
    <x v="7"/>
    <s v="Wireless Extenders zBoost YX545 SOHO Signal Booster"/>
    <n v="1322.93"/>
    <n v="7"/>
    <n v="0"/>
    <n v="357.19110000000001"/>
  </r>
  <r>
    <n v="659"/>
    <s v="US-2023-154963"/>
    <x v="136"/>
    <x v="138"/>
    <s v="Standard Class"/>
    <s v="AA-10645"/>
    <x v="267"/>
    <x v="0"/>
    <x v="0"/>
    <s v="Chester"/>
    <x v="2"/>
    <n v="19013"/>
    <x v="1"/>
    <s v="FUR-CH-10000454"/>
    <x v="1"/>
    <x v="5"/>
    <s v="Hon Deluxe Fabric Upholstered Stacking Chairs, Rounded Back"/>
    <n v="853.92999999999984"/>
    <n v="5"/>
    <n v="0.3"/>
    <n v="0"/>
  </r>
  <r>
    <n v="660"/>
    <s v="US-2023-154963"/>
    <x v="136"/>
    <x v="138"/>
    <s v="Standard Class"/>
    <s v="AA-10645"/>
    <x v="267"/>
    <x v="0"/>
    <x v="0"/>
    <s v="Chester"/>
    <x v="2"/>
    <n v="19013"/>
    <x v="1"/>
    <s v="FUR-CH-10004698"/>
    <x v="1"/>
    <x v="5"/>
    <s v="Padded Folding Chairs, Black, 4/Carton"/>
    <n v="170.05799999999999"/>
    <n v="3"/>
    <n v="0.3"/>
    <n v="-4.858799999999988"/>
  </r>
  <r>
    <n v="661"/>
    <s v="US-2023-133389"/>
    <x v="136"/>
    <x v="135"/>
    <s v="Same Day"/>
    <s v="TB-21280"/>
    <x v="266"/>
    <x v="0"/>
    <x v="0"/>
    <s v="Phoenix"/>
    <x v="12"/>
    <n v="85023"/>
    <x v="3"/>
    <s v="OFF-BI-10001553"/>
    <x v="0"/>
    <x v="1"/>
    <s v="SpineVue Locking Slant-D Ring Binders by Cardinal"/>
    <n v="8.2260000000000009"/>
    <n v="3"/>
    <n v="0.7"/>
    <n v="-6.0323999999999991"/>
  </r>
  <r>
    <n v="662"/>
    <s v="US-2023-124646"/>
    <x v="136"/>
    <x v="137"/>
    <s v="First Class"/>
    <s v="DV-13465"/>
    <x v="268"/>
    <x v="0"/>
    <x v="0"/>
    <s v="Minneapolis"/>
    <x v="30"/>
    <n v="55407"/>
    <x v="0"/>
    <s v="OFF-ST-10001097"/>
    <x v="0"/>
    <x v="3"/>
    <s v="Office Impressions Heavy Duty Welded Shelving &amp; Multimedia Storage Drawers"/>
    <n v="501.81000000000006"/>
    <n v="3"/>
    <n v="0"/>
    <n v="0"/>
  </r>
  <r>
    <n v="663"/>
    <s v="US-2023-124646"/>
    <x v="136"/>
    <x v="137"/>
    <s v="First Class"/>
    <s v="DV-13465"/>
    <x v="268"/>
    <x v="0"/>
    <x v="0"/>
    <s v="Minneapolis"/>
    <x v="30"/>
    <n v="55407"/>
    <x v="0"/>
    <s v="OFF-ST-10001469"/>
    <x v="0"/>
    <x v="3"/>
    <s v="Fellowes Bankers Box Recycled Super Stor/Drawer"/>
    <n v="161.94"/>
    <n v="3"/>
    <n v="0"/>
    <n v="9.716399999999993"/>
  </r>
  <r>
    <n v="664"/>
    <s v="US-2023-142048"/>
    <x v="136"/>
    <x v="139"/>
    <s v="First Class"/>
    <s v="JE-15745"/>
    <x v="269"/>
    <x v="0"/>
    <x v="0"/>
    <s v="Louisville"/>
    <x v="27"/>
    <n v="80027"/>
    <x v="3"/>
    <s v="TEC-AC-10004114"/>
    <x v="2"/>
    <x v="9"/>
    <s v="KeyTronic 6101 Series - Keyboard - Black"/>
    <n v="196.75200000000001"/>
    <n v="6"/>
    <n v="0.2"/>
    <n v="56.566200000000009"/>
  </r>
  <r>
    <n v="665"/>
    <s v="US-2023-154963"/>
    <x v="136"/>
    <x v="138"/>
    <s v="Standard Class"/>
    <s v="AA-10645"/>
    <x v="267"/>
    <x v="0"/>
    <x v="0"/>
    <s v="Chester"/>
    <x v="2"/>
    <n v="19013"/>
    <x v="1"/>
    <s v="TEC-PH-10004093"/>
    <x v="2"/>
    <x v="7"/>
    <s v="Panasonic Kx-TS550"/>
    <n v="82.782000000000011"/>
    <n v="3"/>
    <n v="0.4"/>
    <n v="-15.176700000000004"/>
  </r>
  <r>
    <n v="666"/>
    <s v="US-2023-130358"/>
    <x v="137"/>
    <x v="140"/>
    <s v="First Class"/>
    <s v="DL-13330"/>
    <x v="270"/>
    <x v="0"/>
    <x v="0"/>
    <s v="Concord"/>
    <x v="26"/>
    <n v="28027"/>
    <x v="2"/>
    <s v="OFF-AR-10002766"/>
    <x v="0"/>
    <x v="4"/>
    <s v="Prang Drawing Pencil Set"/>
    <n v="20.015999999999998"/>
    <n v="9"/>
    <n v="0.2"/>
    <n v="1.7514000000000003"/>
  </r>
  <r>
    <n v="667"/>
    <s v="US-2023-130358"/>
    <x v="137"/>
    <x v="140"/>
    <s v="First Class"/>
    <s v="DL-13330"/>
    <x v="270"/>
    <x v="0"/>
    <x v="0"/>
    <s v="Concord"/>
    <x v="26"/>
    <n v="28027"/>
    <x v="2"/>
    <s v="OFF-SU-10002522"/>
    <x v="0"/>
    <x v="14"/>
    <s v="Acme Kleen Earth Office Shears"/>
    <n v="3.1040000000000001"/>
    <n v="1"/>
    <n v="0.2"/>
    <n v="0.34919999999999951"/>
  </r>
  <r>
    <n v="668"/>
    <s v="US-2023-126032"/>
    <x v="137"/>
    <x v="141"/>
    <s v="Standard Class"/>
    <s v="BS-11665"/>
    <x v="271"/>
    <x v="0"/>
    <x v="0"/>
    <s v="Philadelphia"/>
    <x v="2"/>
    <n v="19143"/>
    <x v="1"/>
    <s v="TEC-AC-10000158"/>
    <x v="2"/>
    <x v="9"/>
    <s v="Sony 64GB Class 10 Micro SDHC R40 Memory Card"/>
    <n v="86.376000000000005"/>
    <n v="3"/>
    <n v="0.2"/>
    <n v="1.079699999999999"/>
  </r>
  <r>
    <n v="669"/>
    <s v="US-2023-159814"/>
    <x v="138"/>
    <x v="141"/>
    <s v="Standard Class"/>
    <s v="LP-17080"/>
    <x v="272"/>
    <x v="0"/>
    <x v="0"/>
    <s v="Tucson"/>
    <x v="12"/>
    <n v="85705"/>
    <x v="3"/>
    <s v="FUR-FU-10001731"/>
    <x v="1"/>
    <x v="8"/>
    <s v="Acrylic Self-Standing Desk Frames"/>
    <n v="4.2720000000000002"/>
    <n v="2"/>
    <n v="0.2"/>
    <n v="0.96119999999999983"/>
  </r>
  <r>
    <n v="670"/>
    <s v="US-2023-159338"/>
    <x v="139"/>
    <x v="141"/>
    <s v="First Class"/>
    <s v="NS-18640"/>
    <x v="273"/>
    <x v="2"/>
    <x v="0"/>
    <s v="Los Angeles"/>
    <x v="5"/>
    <n v="90049"/>
    <x v="3"/>
    <s v="FUR-TA-10004147"/>
    <x v="1"/>
    <x v="13"/>
    <s v="Hon 4060 Series Tables"/>
    <n v="447.84"/>
    <n v="5"/>
    <n v="0.2"/>
    <n v="11.19599999999997"/>
  </r>
  <r>
    <n v="671"/>
    <s v="US-2023-164469"/>
    <x v="139"/>
    <x v="138"/>
    <s v="Second Class"/>
    <s v="GK-14620"/>
    <x v="274"/>
    <x v="2"/>
    <x v="0"/>
    <s v="Salem"/>
    <x v="11"/>
    <n v="97301"/>
    <x v="3"/>
    <s v="OFF-AR-10000475"/>
    <x v="0"/>
    <x v="4"/>
    <s v="Hunt BOSTON Vista Battery-Operated Pencil Sharpener, Black"/>
    <n v="9.3280000000000012"/>
    <n v="1"/>
    <n v="0.2"/>
    <n v="0.8162000000000007"/>
  </r>
  <r>
    <n v="672"/>
    <s v="US-2023-164469"/>
    <x v="139"/>
    <x v="138"/>
    <s v="Second Class"/>
    <s v="GK-14620"/>
    <x v="274"/>
    <x v="2"/>
    <x v="0"/>
    <s v="Salem"/>
    <x v="11"/>
    <n v="97301"/>
    <x v="3"/>
    <s v="OFF-AR-10003478"/>
    <x v="0"/>
    <x v="4"/>
    <s v="Avery Hi-Liter EverBold Pen Style Fluorescent Highlighters, 4/Pack"/>
    <n v="71.632000000000005"/>
    <n v="11"/>
    <n v="0.2"/>
    <n v="17.908000000000001"/>
  </r>
  <r>
    <n v="673"/>
    <s v="US-2023-164469"/>
    <x v="139"/>
    <x v="138"/>
    <s v="Second Class"/>
    <s v="GK-14620"/>
    <x v="274"/>
    <x v="2"/>
    <x v="0"/>
    <s v="Salem"/>
    <x v="11"/>
    <n v="97301"/>
    <x v="3"/>
    <s v="TEC-PH-10002115"/>
    <x v="2"/>
    <x v="7"/>
    <s v="Plantronics 81402"/>
    <n v="263.96000000000004"/>
    <n v="5"/>
    <n v="0.2"/>
    <n v="19.796999999999997"/>
  </r>
  <r>
    <n v="674"/>
    <s v="US-2023-104283"/>
    <x v="140"/>
    <x v="142"/>
    <s v="Standard Class"/>
    <s v="LM-17065"/>
    <x v="275"/>
    <x v="0"/>
    <x v="0"/>
    <s v="Southaven"/>
    <x v="31"/>
    <n v="38671"/>
    <x v="2"/>
    <s v="FUR-TA-10001039"/>
    <x v="1"/>
    <x v="13"/>
    <s v="KI Adjustable-Height Table"/>
    <n v="85.98"/>
    <n v="1"/>
    <n v="0"/>
    <n v="22.354800000000004"/>
  </r>
  <r>
    <n v="675"/>
    <s v="US-2023-104283"/>
    <x v="140"/>
    <x v="142"/>
    <s v="Standard Class"/>
    <s v="LM-17065"/>
    <x v="275"/>
    <x v="0"/>
    <x v="0"/>
    <s v="Southaven"/>
    <x v="31"/>
    <n v="38671"/>
    <x v="2"/>
    <s v="OFF-ST-10004337"/>
    <x v="0"/>
    <x v="3"/>
    <s v="SAFCO Commercial Wire Shelving, 72h"/>
    <n v="306.2"/>
    <n v="5"/>
    <n v="0"/>
    <n v="0"/>
  </r>
  <r>
    <n v="676"/>
    <s v="US-2023-104283"/>
    <x v="140"/>
    <x v="142"/>
    <s v="Standard Class"/>
    <s v="LM-17065"/>
    <x v="275"/>
    <x v="0"/>
    <x v="0"/>
    <s v="Southaven"/>
    <x v="31"/>
    <n v="38671"/>
    <x v="2"/>
    <s v="TEC-AC-10000109"/>
    <x v="2"/>
    <x v="9"/>
    <s v="Sony Micro Vault Click 16 GB USB 2.0 Flash Drive"/>
    <n v="223.96"/>
    <n v="4"/>
    <n v="0"/>
    <n v="53.750400000000013"/>
  </r>
  <r>
    <n v="677"/>
    <s v="US-2023-140858"/>
    <x v="141"/>
    <x v="143"/>
    <s v="Standard Class"/>
    <s v="CA-12775"/>
    <x v="276"/>
    <x v="0"/>
    <x v="0"/>
    <s v="Philadelphia"/>
    <x v="2"/>
    <n v="19140"/>
    <x v="1"/>
    <s v="FUR-CH-10001394"/>
    <x v="1"/>
    <x v="5"/>
    <s v="Global Leather Executive Chair"/>
    <n v="1228.4649999999999"/>
    <n v="5"/>
    <n v="0.3"/>
    <n v="0"/>
  </r>
  <r>
    <n v="678"/>
    <s v="US-2023-140858"/>
    <x v="141"/>
    <x v="143"/>
    <s v="Standard Class"/>
    <s v="CA-12775"/>
    <x v="276"/>
    <x v="0"/>
    <x v="0"/>
    <s v="Philadelphia"/>
    <x v="2"/>
    <n v="19140"/>
    <x v="1"/>
    <s v="OFF-BI-10003094"/>
    <x v="0"/>
    <x v="1"/>
    <s v="Self-Adhesive Ring Binder Labels"/>
    <n v="3.168000000000001"/>
    <n v="3"/>
    <n v="0.7"/>
    <n v="-2.4287999999999998"/>
  </r>
  <r>
    <n v="679"/>
    <s v="US-2023-140858"/>
    <x v="141"/>
    <x v="143"/>
    <s v="Standard Class"/>
    <s v="CA-12775"/>
    <x v="276"/>
    <x v="0"/>
    <x v="0"/>
    <s v="Philadelphia"/>
    <x v="2"/>
    <n v="19140"/>
    <x v="1"/>
    <s v="OFF-BI-10004230"/>
    <x v="0"/>
    <x v="1"/>
    <s v="GBC Recycled Grain Textured Covers"/>
    <n v="31.086000000000006"/>
    <n v="3"/>
    <n v="0.7"/>
    <n v="-22.796399999999991"/>
  </r>
  <r>
    <n v="680"/>
    <s v="US-2023-156993"/>
    <x v="141"/>
    <x v="144"/>
    <s v="Standard Class"/>
    <s v="RW-19630"/>
    <x v="277"/>
    <x v="2"/>
    <x v="0"/>
    <s v="Detroit"/>
    <x v="14"/>
    <n v="48234"/>
    <x v="0"/>
    <s v="OFF-FA-10003495"/>
    <x v="0"/>
    <x v="6"/>
    <s v="Staples"/>
    <n v="6.08"/>
    <n v="1"/>
    <n v="0"/>
    <n v="3.04"/>
  </r>
  <r>
    <n v="681"/>
    <s v="US-2023-140858"/>
    <x v="141"/>
    <x v="143"/>
    <s v="Standard Class"/>
    <s v="CA-12775"/>
    <x v="276"/>
    <x v="0"/>
    <x v="0"/>
    <s v="Philadelphia"/>
    <x v="2"/>
    <n v="19140"/>
    <x v="1"/>
    <s v="OFF-PA-10000304"/>
    <x v="0"/>
    <x v="0"/>
    <s v="Xerox 1995"/>
    <n v="41.472000000000008"/>
    <n v="8"/>
    <n v="0.2"/>
    <n v="14.5152"/>
  </r>
  <r>
    <n v="682"/>
    <s v="US-2023-140858"/>
    <x v="141"/>
    <x v="143"/>
    <s v="Standard Class"/>
    <s v="CA-12775"/>
    <x v="276"/>
    <x v="0"/>
    <x v="0"/>
    <s v="Philadelphia"/>
    <x v="2"/>
    <n v="19140"/>
    <x v="1"/>
    <s v="OFF-PA-10003395"/>
    <x v="0"/>
    <x v="0"/>
    <s v="Xerox 1941"/>
    <n v="335.52"/>
    <n v="4"/>
    <n v="0.2"/>
    <n v="117.43199999999999"/>
  </r>
  <r>
    <n v="683"/>
    <s v="US-2023-165974"/>
    <x v="142"/>
    <x v="145"/>
    <s v="Standard Class"/>
    <s v="DL-12865"/>
    <x v="278"/>
    <x v="0"/>
    <x v="0"/>
    <s v="Cincinnati"/>
    <x v="9"/>
    <n v="45231"/>
    <x v="1"/>
    <s v="OFF-AR-10003405"/>
    <x v="0"/>
    <x v="4"/>
    <s v="Dixon My First Ticonderoga Pencil, #2"/>
    <n v="32.76"/>
    <n v="7"/>
    <n v="0.2"/>
    <n v="3.6854999999999958"/>
  </r>
  <r>
    <n v="684"/>
    <s v="US-2023-111773"/>
    <x v="142"/>
    <x v="146"/>
    <s v="Standard Class"/>
    <s v="JK-15625"/>
    <x v="234"/>
    <x v="0"/>
    <x v="0"/>
    <s v="New York City"/>
    <x v="21"/>
    <n v="10024"/>
    <x v="1"/>
    <s v="OFF-BI-10000174"/>
    <x v="0"/>
    <x v="1"/>
    <s v="Wilson Jones Clip &amp; Carry Folder Binder Tool for Ring Binders, Clear"/>
    <n v="13.919999999999998"/>
    <n v="3"/>
    <n v="0.2"/>
    <n v="4.8720000000000008"/>
  </r>
  <r>
    <n v="685"/>
    <s v="US-2023-121566"/>
    <x v="143"/>
    <x v="145"/>
    <s v="Standard Class"/>
    <s v="CS-11860"/>
    <x v="179"/>
    <x v="0"/>
    <x v="0"/>
    <s v="New York City"/>
    <x v="21"/>
    <n v="10011"/>
    <x v="1"/>
    <s v="OFF-AR-10001026"/>
    <x v="0"/>
    <x v="4"/>
    <s v="Sanford Uni-Blazer View Highlighters, Chisel Tip, Yellow"/>
    <n v="6.6000000000000005"/>
    <n v="3"/>
    <n v="0"/>
    <n v="2.9040000000000008"/>
  </r>
  <r>
    <n v="686"/>
    <s v="US-2023-109218"/>
    <x v="143"/>
    <x v="146"/>
    <s v="Second Class"/>
    <s v="AR-10825"/>
    <x v="279"/>
    <x v="2"/>
    <x v="0"/>
    <s v="Los Angeles"/>
    <x v="5"/>
    <n v="90004"/>
    <x v="3"/>
    <s v="OFF-AR-10001374"/>
    <x v="0"/>
    <x v="4"/>
    <s v="BIC Brite Liner Highlighters, Chisel Tip"/>
    <n v="32.400000000000006"/>
    <n v="5"/>
    <n v="0"/>
    <n v="10.367999999999999"/>
  </r>
  <r>
    <n v="687"/>
    <s v="US-2023-123064"/>
    <x v="143"/>
    <x v="143"/>
    <s v="First Class"/>
    <s v="RA-19915"/>
    <x v="280"/>
    <x v="0"/>
    <x v="0"/>
    <s v="Chicago"/>
    <x v="1"/>
    <n v="60653"/>
    <x v="0"/>
    <s v="OFF-AR-10004582"/>
    <x v="0"/>
    <x v="4"/>
    <s v="BIC Brite Liner Grip Highlighters"/>
    <n v="5.2480000000000002"/>
    <n v="4"/>
    <n v="0.2"/>
    <n v="1.6399999999999995"/>
  </r>
  <r>
    <n v="688"/>
    <s v="US-2023-146640"/>
    <x v="143"/>
    <x v="147"/>
    <s v="Standard Class"/>
    <s v="HA-14905"/>
    <x v="281"/>
    <x v="0"/>
    <x v="0"/>
    <s v="New York City"/>
    <x v="21"/>
    <n v="10024"/>
    <x v="1"/>
    <s v="OFF-BI-10002867"/>
    <x v="0"/>
    <x v="1"/>
    <s v="GBC Recycled Regency Composition Covers"/>
    <n v="334.76800000000003"/>
    <n v="7"/>
    <n v="0.2"/>
    <n v="108.79959999999997"/>
  </r>
  <r>
    <n v="689"/>
    <s v="US-2023-121566"/>
    <x v="143"/>
    <x v="145"/>
    <s v="Standard Class"/>
    <s v="CS-11860"/>
    <x v="179"/>
    <x v="0"/>
    <x v="0"/>
    <s v="New York City"/>
    <x v="21"/>
    <n v="10011"/>
    <x v="1"/>
    <s v="OFF-BI-10004528"/>
    <x v="0"/>
    <x v="1"/>
    <s v="Cardinal Poly Pocket Divider Pockets for Ring Binders"/>
    <n v="2.6880000000000002"/>
    <n v="1"/>
    <n v="0.2"/>
    <n v="0.83999999999999975"/>
  </r>
  <r>
    <n v="690"/>
    <s v="US-2023-116757"/>
    <x v="143"/>
    <x v="144"/>
    <s v="Standard Class"/>
    <s v="MS-17980"/>
    <x v="282"/>
    <x v="2"/>
    <x v="0"/>
    <s v="Houston"/>
    <x v="0"/>
    <n v="77095"/>
    <x v="0"/>
    <s v="OFF-FA-10002815"/>
    <x v="0"/>
    <x v="6"/>
    <s v="Staples"/>
    <n v="21.312000000000005"/>
    <n v="6"/>
    <n v="0.2"/>
    <n v="7.1928000000000001"/>
  </r>
  <r>
    <n v="691"/>
    <s v="US-2023-152254"/>
    <x v="143"/>
    <x v="148"/>
    <s v="Same Day"/>
    <s v="BD-11620"/>
    <x v="283"/>
    <x v="0"/>
    <x v="0"/>
    <s v="Wilmington"/>
    <x v="26"/>
    <n v="28403"/>
    <x v="2"/>
    <s v="OFF-PA-10001144"/>
    <x v="0"/>
    <x v="0"/>
    <s v="Xerox 1913"/>
    <n v="310.68799999999999"/>
    <n v="7"/>
    <n v="0.2"/>
    <n v="108.74079999999998"/>
  </r>
  <r>
    <n v="692"/>
    <s v="US-2023-116757"/>
    <x v="143"/>
    <x v="144"/>
    <s v="Standard Class"/>
    <s v="MS-17980"/>
    <x v="282"/>
    <x v="2"/>
    <x v="0"/>
    <s v="Houston"/>
    <x v="0"/>
    <n v="77095"/>
    <x v="0"/>
    <s v="OFF-PA-10002005"/>
    <x v="0"/>
    <x v="0"/>
    <s v="Xerox 225"/>
    <n v="25.920000000000005"/>
    <n v="5"/>
    <n v="0.2"/>
    <n v="9.0719999999999992"/>
  </r>
  <r>
    <n v="693"/>
    <s v="US-2023-160773"/>
    <x v="144"/>
    <x v="147"/>
    <s v="Standard Class"/>
    <s v="LW-16825"/>
    <x v="230"/>
    <x v="2"/>
    <x v="0"/>
    <s v="Deltona"/>
    <x v="16"/>
    <n v="32725"/>
    <x v="2"/>
    <s v="OFF-BI-10000546"/>
    <x v="0"/>
    <x v="1"/>
    <s v="Avery Durable Binders"/>
    <n v="5.1840000000000011"/>
    <n v="6"/>
    <n v="0.7"/>
    <n v="-3.6288"/>
  </r>
  <r>
    <n v="694"/>
    <s v="US-2023-153150"/>
    <x v="144"/>
    <x v="145"/>
    <s v="Second Class"/>
    <s v="Dl-13600"/>
    <x v="116"/>
    <x v="2"/>
    <x v="0"/>
    <s v="Seattle"/>
    <x v="23"/>
    <n v="98105"/>
    <x v="3"/>
    <s v="OFF-BI-10003355"/>
    <x v="0"/>
    <x v="1"/>
    <s v="Cardinal Holdit Business Card Pockets"/>
    <n v="19.920000000000002"/>
    <n v="5"/>
    <n v="0.2"/>
    <n v="6.9719999999999995"/>
  </r>
  <r>
    <n v="695"/>
    <s v="US-2023-160773"/>
    <x v="144"/>
    <x v="147"/>
    <s v="Standard Class"/>
    <s v="LW-16825"/>
    <x v="230"/>
    <x v="2"/>
    <x v="0"/>
    <s v="Deltona"/>
    <x v="16"/>
    <n v="32725"/>
    <x v="2"/>
    <s v="TEC-PH-10004586"/>
    <x v="2"/>
    <x v="7"/>
    <s v="Wilson SignalBoost 841262 DB PRO Amplifier Kit"/>
    <n v="575.91999999999996"/>
    <n v="2"/>
    <n v="0.2"/>
    <n v="71.989999999999981"/>
  </r>
  <r>
    <n v="696"/>
    <s v="US-2023-107594"/>
    <x v="145"/>
    <x v="145"/>
    <s v="Standard Class"/>
    <s v="EH-13945"/>
    <x v="284"/>
    <x v="0"/>
    <x v="0"/>
    <s v="Plainfield"/>
    <x v="24"/>
    <n v="7060"/>
    <x v="1"/>
    <s v="OFF-AR-10000716"/>
    <x v="0"/>
    <x v="4"/>
    <s v="DIXON Ticonderoga Erasable Checking Pencils"/>
    <n v="5.58"/>
    <n v="1"/>
    <n v="0"/>
    <n v="2.1762000000000001"/>
  </r>
  <r>
    <n v="697"/>
    <s v="US-2023-107594"/>
    <x v="145"/>
    <x v="145"/>
    <s v="Standard Class"/>
    <s v="EH-13945"/>
    <x v="284"/>
    <x v="0"/>
    <x v="0"/>
    <s v="Plainfield"/>
    <x v="24"/>
    <n v="7060"/>
    <x v="1"/>
    <s v="TEC-PH-10002923"/>
    <x v="2"/>
    <x v="7"/>
    <s v="Logitech B530 USB Headset - headset - Full size, Binaural"/>
    <n v="73.98"/>
    <n v="2"/>
    <n v="0"/>
    <n v="19.974600000000002"/>
  </r>
  <r>
    <n v="698"/>
    <s v="US-2023-120096"/>
    <x v="146"/>
    <x v="149"/>
    <s v="First Class"/>
    <s v="KE-16420"/>
    <x v="126"/>
    <x v="2"/>
    <x v="0"/>
    <s v="Aurora"/>
    <x v="27"/>
    <n v="80013"/>
    <x v="3"/>
    <s v="OFF-AP-10000692"/>
    <x v="0"/>
    <x v="12"/>
    <s v="Fellowes Mighty 8 Compact Surge Protector"/>
    <n v="32.432000000000002"/>
    <n v="2"/>
    <n v="0.2"/>
    <n v="3.2432000000000016"/>
  </r>
  <r>
    <n v="699"/>
    <s v="US-2023-138709"/>
    <x v="146"/>
    <x v="150"/>
    <s v="Standard Class"/>
    <s v="MS-17770"/>
    <x v="285"/>
    <x v="0"/>
    <x v="0"/>
    <s v="Richmond"/>
    <x v="6"/>
    <n v="23223"/>
    <x v="2"/>
    <s v="OFF-BI-10000145"/>
    <x v="0"/>
    <x v="1"/>
    <s v="Zipper Ring Binder Pockets"/>
    <n v="15.600000000000001"/>
    <n v="5"/>
    <n v="0"/>
    <n v="7.6440000000000001"/>
  </r>
  <r>
    <n v="700"/>
    <s v="US-2023-120096"/>
    <x v="146"/>
    <x v="149"/>
    <s v="First Class"/>
    <s v="KE-16420"/>
    <x v="126"/>
    <x v="2"/>
    <x v="0"/>
    <s v="Aurora"/>
    <x v="27"/>
    <n v="80013"/>
    <x v="3"/>
    <s v="OFF-PA-10001977"/>
    <x v="0"/>
    <x v="0"/>
    <s v="Xerox 194"/>
    <n v="177.536"/>
    <n v="4"/>
    <n v="0.2"/>
    <n v="62.137599999999992"/>
  </r>
  <r>
    <n v="701"/>
    <s v="US-2023-138709"/>
    <x v="146"/>
    <x v="150"/>
    <s v="Standard Class"/>
    <s v="MS-17770"/>
    <x v="285"/>
    <x v="0"/>
    <x v="0"/>
    <s v="Richmond"/>
    <x v="6"/>
    <n v="23223"/>
    <x v="2"/>
    <s v="OFF-PA-10004734"/>
    <x v="0"/>
    <x v="0"/>
    <s v="Southworth Structures Collection"/>
    <n v="21.84"/>
    <n v="3"/>
    <n v="0"/>
    <n v="10.92"/>
  </r>
  <r>
    <n v="702"/>
    <s v="US-2023-103317"/>
    <x v="147"/>
    <x v="151"/>
    <s v="First Class"/>
    <s v="DM-13525"/>
    <x v="286"/>
    <x v="2"/>
    <x v="0"/>
    <s v="Palm Coast"/>
    <x v="16"/>
    <n v="32137"/>
    <x v="2"/>
    <s v="FUR-FU-10001591"/>
    <x v="1"/>
    <x v="8"/>
    <s v="Advantus Panel Wall Certificate Holder - 8.5x11"/>
    <n v="19.52"/>
    <n v="2"/>
    <n v="0.2"/>
    <n v="5.3680000000000012"/>
  </r>
  <r>
    <n v="703"/>
    <s v="US-2023-103317"/>
    <x v="147"/>
    <x v="151"/>
    <s v="First Class"/>
    <s v="DM-13525"/>
    <x v="286"/>
    <x v="2"/>
    <x v="0"/>
    <s v="Palm Coast"/>
    <x v="16"/>
    <n v="32137"/>
    <x v="2"/>
    <s v="FUR-FU-10003192"/>
    <x v="1"/>
    <x v="8"/>
    <s v="Luxo Adjustable Task Clamp Lamp"/>
    <n v="213.21600000000001"/>
    <n v="3"/>
    <n v="0.2"/>
    <n v="15.991199999999992"/>
  </r>
  <r>
    <n v="704"/>
    <s v="US-2023-152849"/>
    <x v="147"/>
    <x v="152"/>
    <s v="Standard Class"/>
    <s v="DW-13195"/>
    <x v="17"/>
    <x v="2"/>
    <x v="0"/>
    <s v="Knoxville"/>
    <x v="15"/>
    <n v="37918"/>
    <x v="2"/>
    <s v="OFF-AR-10002833"/>
    <x v="0"/>
    <x v="4"/>
    <s v="Newell 322"/>
    <n v="4.3680000000000003"/>
    <n v="3"/>
    <n v="0.2"/>
    <n v="0.3822000000000001"/>
  </r>
  <r>
    <n v="705"/>
    <s v="US-2023-107139"/>
    <x v="147"/>
    <x v="153"/>
    <s v="Standard Class"/>
    <s v="DP-13390"/>
    <x v="287"/>
    <x v="1"/>
    <x v="0"/>
    <s v="Los Angeles"/>
    <x v="5"/>
    <n v="90004"/>
    <x v="3"/>
    <s v="OFF-BI-10001670"/>
    <x v="0"/>
    <x v="1"/>
    <s v="Vinyl Sectional Post Binders"/>
    <n v="180.96000000000004"/>
    <n v="6"/>
    <n v="0.2"/>
    <n v="67.86"/>
  </r>
  <r>
    <n v="706"/>
    <s v="US-2023-103317"/>
    <x v="147"/>
    <x v="151"/>
    <s v="First Class"/>
    <s v="DM-13525"/>
    <x v="286"/>
    <x v="2"/>
    <x v="0"/>
    <s v="Palm Coast"/>
    <x v="16"/>
    <n v="32137"/>
    <x v="2"/>
    <s v="OFF-BI-10001787"/>
    <x v="0"/>
    <x v="1"/>
    <s v="Wilson Jones Four-Pocket Poly Binders"/>
    <n v="9.8100000000000023"/>
    <n v="5"/>
    <n v="0.7"/>
    <n v="-6.8669999999999973"/>
  </r>
  <r>
    <n v="707"/>
    <s v="US-2023-157784"/>
    <x v="147"/>
    <x v="151"/>
    <s v="First Class"/>
    <s v="MC-17845"/>
    <x v="288"/>
    <x v="0"/>
    <x v="0"/>
    <s v="Jackson"/>
    <x v="31"/>
    <n v="39212"/>
    <x v="2"/>
    <s v="OFF-LA-10001934"/>
    <x v="0"/>
    <x v="2"/>
    <s v="Avery 516"/>
    <n v="14.62"/>
    <n v="2"/>
    <n v="0"/>
    <n v="6.8713999999999995"/>
  </r>
  <r>
    <n v="708"/>
    <s v="US-2023-157784"/>
    <x v="147"/>
    <x v="151"/>
    <s v="First Class"/>
    <s v="MC-17845"/>
    <x v="288"/>
    <x v="0"/>
    <x v="0"/>
    <s v="Jackson"/>
    <x v="31"/>
    <n v="39212"/>
    <x v="2"/>
    <s v="OFF-PA-10000304"/>
    <x v="0"/>
    <x v="0"/>
    <s v="Xerox 1995"/>
    <n v="19.440000000000001"/>
    <n v="3"/>
    <n v="0"/>
    <n v="9.3312000000000008"/>
  </r>
  <r>
    <n v="709"/>
    <s v="US-2023-160444"/>
    <x v="147"/>
    <x v="147"/>
    <s v="Same Day"/>
    <s v="DC-12850"/>
    <x v="289"/>
    <x v="0"/>
    <x v="0"/>
    <s v="Houston"/>
    <x v="0"/>
    <n v="77036"/>
    <x v="0"/>
    <s v="OFF-ST-10000563"/>
    <x v="0"/>
    <x v="3"/>
    <s v="Fellowes Bankers Box Stor/Drawer Steel Plus"/>
    <n v="281.42400000000004"/>
    <n v="11"/>
    <n v="0.2"/>
    <n v="-35.178000000000004"/>
  </r>
  <r>
    <n v="710"/>
    <s v="US-2023-160444"/>
    <x v="147"/>
    <x v="147"/>
    <s v="Same Day"/>
    <s v="DC-12850"/>
    <x v="289"/>
    <x v="0"/>
    <x v="0"/>
    <s v="Houston"/>
    <x v="0"/>
    <n v="77036"/>
    <x v="0"/>
    <s v="OFF-ST-10001522"/>
    <x v="0"/>
    <x v="3"/>
    <s v="Gould Plastics 18-Pocket Panel Bin, 34w x 5-1/4d x 20-1/2h"/>
    <n v="220.77600000000001"/>
    <n v="3"/>
    <n v="0.2"/>
    <n v="-44.155200000000022"/>
  </r>
  <r>
    <n v="711"/>
    <s v="US-2023-157784"/>
    <x v="147"/>
    <x v="151"/>
    <s v="First Class"/>
    <s v="MC-17845"/>
    <x v="288"/>
    <x v="0"/>
    <x v="0"/>
    <s v="Jackson"/>
    <x v="31"/>
    <n v="39212"/>
    <x v="2"/>
    <s v="TEC-AC-10003911"/>
    <x v="2"/>
    <x v="9"/>
    <s v="NETGEAR AC1750 Dual Band Gigabit Smart WiFi Router"/>
    <n v="479.97"/>
    <n v="3"/>
    <n v="0"/>
    <n v="163.18979999999999"/>
  </r>
  <r>
    <n v="712"/>
    <s v="US-2023-147543"/>
    <x v="148"/>
    <x v="152"/>
    <s v="Standard Class"/>
    <s v="BC-11125"/>
    <x v="290"/>
    <x v="1"/>
    <x v="0"/>
    <s v="El Cajon"/>
    <x v="5"/>
    <n v="92020"/>
    <x v="3"/>
    <s v="FUR-CH-10000155"/>
    <x v="1"/>
    <x v="5"/>
    <s v="Global Comet Stacking Armless Chair"/>
    <n v="478.48"/>
    <n v="2"/>
    <n v="0.2"/>
    <n v="47.848000000000013"/>
  </r>
  <r>
    <n v="713"/>
    <s v="US-2023-134278"/>
    <x v="148"/>
    <x v="151"/>
    <s v="First Class"/>
    <s v="EP-13915"/>
    <x v="291"/>
    <x v="0"/>
    <x v="0"/>
    <s v="New York City"/>
    <x v="21"/>
    <n v="10011"/>
    <x v="1"/>
    <s v="TEC-CO-10001046"/>
    <x v="2"/>
    <x v="16"/>
    <s v="Canon Imageclass D680 Copier / Fax"/>
    <n v="559.99200000000008"/>
    <n v="1"/>
    <n v="0.2"/>
    <n v="174.99749999999997"/>
  </r>
  <r>
    <n v="714"/>
    <s v="US-2023-138758"/>
    <x v="149"/>
    <x v="153"/>
    <s v="Standard Class"/>
    <s v="JL-15835"/>
    <x v="156"/>
    <x v="0"/>
    <x v="0"/>
    <s v="Philadelphia"/>
    <x v="2"/>
    <n v="19120"/>
    <x v="1"/>
    <s v="FUR-CH-10002880"/>
    <x v="1"/>
    <x v="5"/>
    <s v="Global High-Back Leather Tilter, Burgundy"/>
    <n v="172.18599999999998"/>
    <n v="2"/>
    <n v="0.3"/>
    <n v="-46.736200000000011"/>
  </r>
  <r>
    <n v="715"/>
    <s v="US-2023-138758"/>
    <x v="149"/>
    <x v="153"/>
    <s v="Standard Class"/>
    <s v="JL-15835"/>
    <x v="156"/>
    <x v="0"/>
    <x v="0"/>
    <s v="Philadelphia"/>
    <x v="2"/>
    <n v="19120"/>
    <x v="1"/>
    <s v="FUR-FU-10003039"/>
    <x v="1"/>
    <x v="8"/>
    <s v="Howard Miller 11-1/2&quot; Diameter Grantwood Wall Clock"/>
    <n v="69.00800000000001"/>
    <n v="2"/>
    <n v="0.2"/>
    <n v="12.0764"/>
  </r>
  <r>
    <n v="716"/>
    <s v="US-2023-150301"/>
    <x v="150"/>
    <x v="154"/>
    <s v="First Class"/>
    <s v="MH-18025"/>
    <x v="292"/>
    <x v="0"/>
    <x v="0"/>
    <s v="Buffalo"/>
    <x v="21"/>
    <n v="14215"/>
    <x v="1"/>
    <s v="FUR-CH-10002647"/>
    <x v="1"/>
    <x v="5"/>
    <s v="Situations Contoured Folding Chairs, 4/Set"/>
    <n v="63.882000000000005"/>
    <n v="1"/>
    <n v="0.1"/>
    <n v="10.647000000000004"/>
  </r>
  <r>
    <n v="717"/>
    <s v="US-2023-100090"/>
    <x v="150"/>
    <x v="152"/>
    <s v="Standard Class"/>
    <s v="EB-13705"/>
    <x v="293"/>
    <x v="2"/>
    <x v="0"/>
    <s v="San Francisco"/>
    <x v="5"/>
    <n v="94122"/>
    <x v="3"/>
    <s v="FUR-TA-10003715"/>
    <x v="1"/>
    <x v="13"/>
    <s v="Hon 2111 Invitation Series Corner Table"/>
    <n v="502.48800000000006"/>
    <n v="3"/>
    <n v="0.2"/>
    <n v="-87.935400000000044"/>
  </r>
  <r>
    <n v="718"/>
    <s v="US-2023-100090"/>
    <x v="150"/>
    <x v="152"/>
    <s v="Standard Class"/>
    <s v="EB-13705"/>
    <x v="293"/>
    <x v="2"/>
    <x v="0"/>
    <s v="San Francisco"/>
    <x v="5"/>
    <n v="94122"/>
    <x v="3"/>
    <s v="OFF-BI-10001597"/>
    <x v="0"/>
    <x v="1"/>
    <s v="Wilson Jones Ledger-Size, Piano-Hinge Binder, 2&quot;, Blue"/>
    <n v="196.70400000000001"/>
    <n v="6"/>
    <n v="0.2"/>
    <n v="68.846399999999974"/>
  </r>
  <r>
    <n v="719"/>
    <s v="US-2023-113271"/>
    <x v="151"/>
    <x v="155"/>
    <s v="Standard Class"/>
    <s v="DS-13030"/>
    <x v="294"/>
    <x v="1"/>
    <x v="0"/>
    <s v="San Francisco"/>
    <x v="5"/>
    <n v="94122"/>
    <x v="3"/>
    <s v="FUR-BO-10004218"/>
    <x v="1"/>
    <x v="10"/>
    <s v="Bush Heritage Pine Collection 5-Shelf Bookcase, Albany Pine Finish, *Special Order"/>
    <n v="119.83299999999998"/>
    <n v="1"/>
    <n v="0.15"/>
    <n v="7.0489999999999995"/>
  </r>
  <r>
    <n v="720"/>
    <s v="US-2023-113271"/>
    <x v="151"/>
    <x v="155"/>
    <s v="Standard Class"/>
    <s v="DS-13030"/>
    <x v="294"/>
    <x v="1"/>
    <x v="0"/>
    <s v="San Francisco"/>
    <x v="5"/>
    <n v="94122"/>
    <x v="3"/>
    <s v="OFF-AR-10003251"/>
    <x v="0"/>
    <x v="4"/>
    <s v="Prang Drawing Pencil Set"/>
    <n v="5.56"/>
    <n v="2"/>
    <n v="0"/>
    <n v="2.2239999999999998"/>
  </r>
  <r>
    <n v="721"/>
    <s v="US-2023-113271"/>
    <x v="151"/>
    <x v="155"/>
    <s v="Standard Class"/>
    <s v="DS-13030"/>
    <x v="294"/>
    <x v="1"/>
    <x v="0"/>
    <s v="San Francisco"/>
    <x v="5"/>
    <n v="94122"/>
    <x v="3"/>
    <s v="OFF-BI-10002609"/>
    <x v="0"/>
    <x v="1"/>
    <s v="Avery Hidden Tab Dividers for Binding Systems"/>
    <n v="14.303999999999998"/>
    <n v="6"/>
    <n v="0.2"/>
    <n v="4.6487999999999987"/>
  </r>
  <r>
    <n v="722"/>
    <s v="US-2023-114125"/>
    <x v="151"/>
    <x v="156"/>
    <s v="Standard Class"/>
    <s v="GH-14410"/>
    <x v="295"/>
    <x v="1"/>
    <x v="0"/>
    <s v="Los Angeles"/>
    <x v="5"/>
    <n v="90049"/>
    <x v="3"/>
    <s v="OFF-BI-10003291"/>
    <x v="0"/>
    <x v="1"/>
    <s v="Wilson Jones Leather-Like Binders with DublLock Round Rings"/>
    <n v="41.904000000000003"/>
    <n v="6"/>
    <n v="0.2"/>
    <n v="14.142599999999996"/>
  </r>
  <r>
    <n v="723"/>
    <s v="US-2023-114125"/>
    <x v="151"/>
    <x v="156"/>
    <s v="Standard Class"/>
    <s v="GH-14410"/>
    <x v="295"/>
    <x v="1"/>
    <x v="0"/>
    <s v="Los Angeles"/>
    <x v="5"/>
    <n v="90049"/>
    <x v="3"/>
    <s v="OFF-LA-10004559"/>
    <x v="0"/>
    <x v="2"/>
    <s v="Avery 49"/>
    <n v="2.88"/>
    <n v="1"/>
    <n v="0"/>
    <n v="1.4112"/>
  </r>
  <r>
    <n v="724"/>
    <s v="US-2023-165379"/>
    <x v="151"/>
    <x v="157"/>
    <s v="Standard Class"/>
    <s v="BM-11650"/>
    <x v="296"/>
    <x v="2"/>
    <x v="0"/>
    <s v="Dallas"/>
    <x v="0"/>
    <n v="75217"/>
    <x v="0"/>
    <s v="OFF-PA-10002245"/>
    <x v="0"/>
    <x v="0"/>
    <s v="Xerox 1895"/>
    <n v="14.352000000000002"/>
    <n v="3"/>
    <n v="0.2"/>
    <n v="4.4849999999999994"/>
  </r>
  <r>
    <n v="725"/>
    <s v="US-2023-113271"/>
    <x v="151"/>
    <x v="155"/>
    <s v="Standard Class"/>
    <s v="DS-13030"/>
    <x v="294"/>
    <x v="1"/>
    <x v="0"/>
    <s v="San Francisco"/>
    <x v="5"/>
    <n v="94122"/>
    <x v="3"/>
    <s v="OFF-PA-10002365"/>
    <x v="0"/>
    <x v="0"/>
    <s v="Xerox 1967"/>
    <n v="32.400000000000006"/>
    <n v="5"/>
    <n v="0"/>
    <n v="15.552000000000001"/>
  </r>
  <r>
    <n v="726"/>
    <s v="US-2023-165379"/>
    <x v="151"/>
    <x v="157"/>
    <s v="Standard Class"/>
    <s v="BM-11650"/>
    <x v="296"/>
    <x v="2"/>
    <x v="0"/>
    <s v="Dallas"/>
    <x v="0"/>
    <n v="75217"/>
    <x v="0"/>
    <s v="OFF-PA-10003072"/>
    <x v="0"/>
    <x v="0"/>
    <s v="Eureka Recycled Copy Paper 8 1/2&quot; x 11&quot;, Ream"/>
    <n v="10.368000000000002"/>
    <n v="2"/>
    <n v="0.2"/>
    <n v="3.6288"/>
  </r>
  <r>
    <n v="727"/>
    <s v="US-2023-114125"/>
    <x v="151"/>
    <x v="156"/>
    <s v="Standard Class"/>
    <s v="GH-14410"/>
    <x v="295"/>
    <x v="1"/>
    <x v="0"/>
    <s v="Los Angeles"/>
    <x v="5"/>
    <n v="90049"/>
    <x v="3"/>
    <s v="OFF-ST-10001505"/>
    <x v="0"/>
    <x v="3"/>
    <s v="Perma STOR-ALL Hanging File Box, 13 1/8&quot;W x 12 1/4&quot;D x 10 1/2&quot;H"/>
    <n v="23.92"/>
    <n v="4"/>
    <n v="0"/>
    <n v="4.066399999999998"/>
  </r>
  <r>
    <n v="728"/>
    <s v="US-2023-163552"/>
    <x v="152"/>
    <x v="157"/>
    <s v="Standard Class"/>
    <s v="LA-16780"/>
    <x v="173"/>
    <x v="2"/>
    <x v="0"/>
    <s v="Hackensack"/>
    <x v="24"/>
    <n v="7601"/>
    <x v="1"/>
    <s v="FUR-CH-10003379"/>
    <x v="1"/>
    <x v="5"/>
    <s v="Global Commerce Series High-Back Swivel/Tilt Chairs"/>
    <n v="854.94"/>
    <n v="3"/>
    <n v="0"/>
    <n v="213.73500000000001"/>
  </r>
  <r>
    <n v="729"/>
    <s v="US-2023-163552"/>
    <x v="152"/>
    <x v="157"/>
    <s v="Standard Class"/>
    <s v="LA-16780"/>
    <x v="173"/>
    <x v="2"/>
    <x v="0"/>
    <s v="Hackensack"/>
    <x v="24"/>
    <n v="7601"/>
    <x v="1"/>
    <s v="FUR-FU-10000629"/>
    <x v="1"/>
    <x v="8"/>
    <s v="9-3/4 Diameter Round Wall Clock"/>
    <n v="124.10999999999999"/>
    <n v="9"/>
    <n v="0"/>
    <n v="52.126200000000004"/>
  </r>
  <r>
    <n v="730"/>
    <s v="US-2023-133305"/>
    <x v="152"/>
    <x v="157"/>
    <s v="Standard Class"/>
    <s v="MH-17455"/>
    <x v="297"/>
    <x v="0"/>
    <x v="0"/>
    <s v="New York City"/>
    <x v="21"/>
    <n v="10011"/>
    <x v="1"/>
    <s v="OFF-BI-10002954"/>
    <x v="0"/>
    <x v="1"/>
    <s v="Newell 3-Hole Punched Plastic Slotted Magazine Holders for Binders"/>
    <n v="18.28"/>
    <n v="5"/>
    <n v="0.2"/>
    <n v="6.3979999999999997"/>
  </r>
  <r>
    <n v="731"/>
    <s v="US-2023-163552"/>
    <x v="152"/>
    <x v="157"/>
    <s v="Standard Class"/>
    <s v="LA-16780"/>
    <x v="173"/>
    <x v="2"/>
    <x v="0"/>
    <s v="Hackensack"/>
    <x v="24"/>
    <n v="7601"/>
    <x v="1"/>
    <s v="OFF-LA-10001175"/>
    <x v="0"/>
    <x v="2"/>
    <s v="Avery 514"/>
    <n v="14.399999999999999"/>
    <n v="5"/>
    <n v="0"/>
    <n v="7.056"/>
  </r>
  <r>
    <n v="732"/>
    <s v="US-2023-163552"/>
    <x v="152"/>
    <x v="157"/>
    <s v="Standard Class"/>
    <s v="LA-16780"/>
    <x v="173"/>
    <x v="2"/>
    <x v="0"/>
    <s v="Hackensack"/>
    <x v="24"/>
    <n v="7601"/>
    <x v="1"/>
    <s v="OFF-PA-10000474"/>
    <x v="0"/>
    <x v="0"/>
    <s v="Easy-staple paper"/>
    <n v="177.2"/>
    <n v="5"/>
    <n v="0"/>
    <n v="83.283999999999992"/>
  </r>
  <r>
    <n v="733"/>
    <s v="US-2023-123225"/>
    <x v="152"/>
    <x v="155"/>
    <s v="First Class"/>
    <s v="MN-17935"/>
    <x v="47"/>
    <x v="0"/>
    <x v="0"/>
    <s v="El Paso"/>
    <x v="0"/>
    <n v="79907"/>
    <x v="0"/>
    <s v="OFF-PA-10000552"/>
    <x v="0"/>
    <x v="0"/>
    <s v="Xerox 200"/>
    <n v="10.368000000000002"/>
    <n v="2"/>
    <n v="0.2"/>
    <n v="3.6288"/>
  </r>
  <r>
    <n v="734"/>
    <s v="US-2023-133305"/>
    <x v="152"/>
    <x v="157"/>
    <s v="Standard Class"/>
    <s v="MH-17455"/>
    <x v="297"/>
    <x v="0"/>
    <x v="0"/>
    <s v="New York City"/>
    <x v="21"/>
    <n v="10011"/>
    <x v="1"/>
    <s v="OFF-PA-10001970"/>
    <x v="0"/>
    <x v="0"/>
    <s v="Xerox 1881"/>
    <n v="49.12"/>
    <n v="4"/>
    <n v="0"/>
    <n v="23.086399999999998"/>
  </r>
  <r>
    <n v="735"/>
    <s v="US-2023-123225"/>
    <x v="152"/>
    <x v="155"/>
    <s v="First Class"/>
    <s v="MN-17935"/>
    <x v="47"/>
    <x v="0"/>
    <x v="0"/>
    <s v="El Paso"/>
    <x v="0"/>
    <n v="79907"/>
    <x v="0"/>
    <s v="TEC-PH-10000895"/>
    <x v="2"/>
    <x v="7"/>
    <s v="Polycom VVX 310 VoIP phone"/>
    <n v="575.96800000000007"/>
    <n v="4"/>
    <n v="0.2"/>
    <n v="43.197600000000023"/>
  </r>
  <r>
    <n v="736"/>
    <s v="US-2023-163552"/>
    <x v="152"/>
    <x v="157"/>
    <s v="Standard Class"/>
    <s v="LA-16780"/>
    <x v="173"/>
    <x v="2"/>
    <x v="0"/>
    <s v="Hackensack"/>
    <x v="24"/>
    <n v="7601"/>
    <x v="1"/>
    <s v="TEC-PH-10003885"/>
    <x v="2"/>
    <x v="7"/>
    <s v="Cisco SPA508G"/>
    <n v="197.96999999999997"/>
    <n v="3"/>
    <n v="0"/>
    <n v="57.41129999999999"/>
  </r>
  <r>
    <n v="737"/>
    <s v="US-2023-166555"/>
    <x v="152"/>
    <x v="155"/>
    <s v="First Class"/>
    <s v="JK-15205"/>
    <x v="298"/>
    <x v="0"/>
    <x v="0"/>
    <s v="Niagara Falls"/>
    <x v="21"/>
    <n v="14304"/>
    <x v="1"/>
    <s v="TEC-PH-10004912"/>
    <x v="2"/>
    <x v="7"/>
    <s v="Cisco SPA112 2 Port Phone Adapter"/>
    <n v="164.85000000000002"/>
    <n v="3"/>
    <n v="0"/>
    <n v="47.806499999999993"/>
  </r>
  <r>
    <n v="738"/>
    <s v="US-2023-131310"/>
    <x v="153"/>
    <x v="158"/>
    <s v="Standard Class"/>
    <s v="CL-12565"/>
    <x v="69"/>
    <x v="0"/>
    <x v="0"/>
    <s v="Seattle"/>
    <x v="23"/>
    <n v="98115"/>
    <x v="3"/>
    <s v="FUR-CH-10001797"/>
    <x v="1"/>
    <x v="5"/>
    <s v="Safco Chair Connectors, 6/Carton"/>
    <n v="123.136"/>
    <n v="4"/>
    <n v="0.2"/>
    <n v="13.852799999999981"/>
  </r>
  <r>
    <n v="739"/>
    <s v="US-2023-161508"/>
    <x v="153"/>
    <x v="159"/>
    <s v="Standard Class"/>
    <s v="PV-18985"/>
    <x v="299"/>
    <x v="1"/>
    <x v="0"/>
    <s v="League City"/>
    <x v="0"/>
    <n v="77573"/>
    <x v="0"/>
    <s v="FUR-CH-10002126"/>
    <x v="1"/>
    <x v="5"/>
    <s v="Hon Deluxe Fabric Upholstered Stacking Chairs"/>
    <n v="512.35799999999995"/>
    <n v="3"/>
    <n v="0.3"/>
    <n v="-14.638799999999947"/>
  </r>
  <r>
    <n v="740"/>
    <s v="US-2023-129924"/>
    <x v="153"/>
    <x v="160"/>
    <s v="Standard Class"/>
    <s v="AC-10420"/>
    <x v="300"/>
    <x v="2"/>
    <x v="0"/>
    <s v="San Francisco"/>
    <x v="5"/>
    <n v="94122"/>
    <x v="3"/>
    <s v="FUR-TA-10004575"/>
    <x v="1"/>
    <x v="13"/>
    <s v="Hon 5100 Series Wood Tables"/>
    <n v="698.35200000000009"/>
    <n v="3"/>
    <n v="0.2"/>
    <n v="-17.458800000000053"/>
  </r>
  <r>
    <n v="741"/>
    <s v="US-2023-161508"/>
    <x v="153"/>
    <x v="159"/>
    <s v="Standard Class"/>
    <s v="PV-18985"/>
    <x v="299"/>
    <x v="1"/>
    <x v="0"/>
    <s v="League City"/>
    <x v="0"/>
    <n v="77573"/>
    <x v="0"/>
    <s v="OFF-AR-10003158"/>
    <x v="0"/>
    <x v="4"/>
    <s v="Fluorescent Highlighters by Dixon"/>
    <n v="22.288"/>
    <n v="7"/>
    <n v="0.2"/>
    <n v="3.9003999999999985"/>
  </r>
  <r>
    <n v="742"/>
    <s v="US-2023-131310"/>
    <x v="153"/>
    <x v="158"/>
    <s v="Standard Class"/>
    <s v="CL-12565"/>
    <x v="69"/>
    <x v="0"/>
    <x v="0"/>
    <s v="Seattle"/>
    <x v="23"/>
    <n v="98115"/>
    <x v="3"/>
    <s v="OFF-BI-10003094"/>
    <x v="0"/>
    <x v="1"/>
    <s v="Self-Adhesive Ring Binder Labels"/>
    <n v="11.264000000000001"/>
    <n v="4"/>
    <n v="0.2"/>
    <n v="3.8015999999999992"/>
  </r>
  <r>
    <n v="743"/>
    <s v="US-2023-129924"/>
    <x v="153"/>
    <x v="160"/>
    <s v="Standard Class"/>
    <s v="AC-10420"/>
    <x v="300"/>
    <x v="2"/>
    <x v="0"/>
    <s v="San Francisco"/>
    <x v="5"/>
    <n v="94122"/>
    <x v="3"/>
    <s v="OFF-BI-10003314"/>
    <x v="0"/>
    <x v="1"/>
    <s v="Tuff Stuff Recycled Round Ring Binders"/>
    <n v="7.7120000000000006"/>
    <n v="2"/>
    <n v="0.2"/>
    <n v="2.7956000000000003"/>
  </r>
  <r>
    <n v="744"/>
    <s v="US-2023-161508"/>
    <x v="153"/>
    <x v="159"/>
    <s v="Standard Class"/>
    <s v="PV-18985"/>
    <x v="299"/>
    <x v="1"/>
    <x v="0"/>
    <s v="League City"/>
    <x v="0"/>
    <n v="77573"/>
    <x v="0"/>
    <s v="OFF-FA-10001561"/>
    <x v="0"/>
    <x v="6"/>
    <s v="Stockwell Push Pins"/>
    <n v="3.4880000000000004"/>
    <n v="2"/>
    <n v="0.2"/>
    <n v="0.56679999999999997"/>
  </r>
  <r>
    <n v="745"/>
    <s v="US-2023-124807"/>
    <x v="153"/>
    <x v="157"/>
    <s v="Second Class"/>
    <s v="ME-17725"/>
    <x v="301"/>
    <x v="0"/>
    <x v="0"/>
    <s v="Chicago"/>
    <x v="1"/>
    <n v="60610"/>
    <x v="0"/>
    <s v="OFF-PA-10001526"/>
    <x v="0"/>
    <x v="0"/>
    <s v="Xerox 1949"/>
    <n v="35.856000000000002"/>
    <n v="9"/>
    <n v="0.2"/>
    <n v="12.997800000000003"/>
  </r>
  <r>
    <n v="746"/>
    <s v="US-2023-161508"/>
    <x v="153"/>
    <x v="159"/>
    <s v="Standard Class"/>
    <s v="PV-18985"/>
    <x v="299"/>
    <x v="1"/>
    <x v="0"/>
    <s v="League City"/>
    <x v="0"/>
    <n v="77573"/>
    <x v="0"/>
    <s v="OFF-PA-10001804"/>
    <x v="0"/>
    <x v="0"/>
    <s v="Xerox 195"/>
    <n v="16.032"/>
    <n v="3"/>
    <n v="0.2"/>
    <n v="5.6111999999999993"/>
  </r>
  <r>
    <n v="747"/>
    <s v="US-2023-110184"/>
    <x v="153"/>
    <x v="159"/>
    <s v="Standard Class"/>
    <s v="BF-11170"/>
    <x v="153"/>
    <x v="1"/>
    <x v="0"/>
    <s v="Los Angeles"/>
    <x v="5"/>
    <n v="90036"/>
    <x v="3"/>
    <s v="OFF-ST-10000107"/>
    <x v="0"/>
    <x v="3"/>
    <s v="Fellowes Super Stor/Drawer"/>
    <n v="249.75"/>
    <n v="9"/>
    <n v="0"/>
    <n v="44.954999999999977"/>
  </r>
  <r>
    <n v="748"/>
    <s v="US-2023-124807"/>
    <x v="153"/>
    <x v="157"/>
    <s v="Second Class"/>
    <s v="ME-17725"/>
    <x v="301"/>
    <x v="0"/>
    <x v="0"/>
    <s v="Chicago"/>
    <x v="1"/>
    <n v="60610"/>
    <x v="0"/>
    <s v="TEC-AC-10002857"/>
    <x v="2"/>
    <x v="9"/>
    <s v="Verbatim 25 GB 6x Blu-ray Single Layer Recordable Disc, 1/Pack"/>
    <n v="23.840000000000003"/>
    <n v="4"/>
    <n v="0.2"/>
    <n v="3.2779999999999987"/>
  </r>
  <r>
    <n v="749"/>
    <s v="US-2023-110184"/>
    <x v="153"/>
    <x v="159"/>
    <s v="Standard Class"/>
    <s v="BF-11170"/>
    <x v="153"/>
    <x v="1"/>
    <x v="0"/>
    <s v="Los Angeles"/>
    <x v="5"/>
    <n v="90036"/>
    <x v="3"/>
    <s v="TEC-PH-10000439"/>
    <x v="2"/>
    <x v="7"/>
    <s v="GE DSL Phone Line Filter"/>
    <n v="255.93600000000004"/>
    <n v="8"/>
    <n v="0.2"/>
    <n v="28.792799999999971"/>
  </r>
  <r>
    <n v="750"/>
    <s v="US-2023-165862"/>
    <x v="154"/>
    <x v="160"/>
    <s v="Standard Class"/>
    <s v="GK-14620"/>
    <x v="274"/>
    <x v="2"/>
    <x v="0"/>
    <s v="Los Angeles"/>
    <x v="5"/>
    <n v="90049"/>
    <x v="3"/>
    <s v="FUR-TA-10002855"/>
    <x v="1"/>
    <x v="13"/>
    <s v="Bevis Round Conference Table Top &amp; Single Column Base"/>
    <n v="351.21600000000001"/>
    <n v="3"/>
    <n v="0.2"/>
    <n v="4.3901999999999788"/>
  </r>
  <r>
    <n v="751"/>
    <s v="US-2023-164182"/>
    <x v="155"/>
    <x v="158"/>
    <s v="Standard Class"/>
    <s v="ST-20530"/>
    <x v="45"/>
    <x v="0"/>
    <x v="0"/>
    <s v="Philadelphia"/>
    <x v="2"/>
    <n v="19140"/>
    <x v="1"/>
    <s v="FUR-FU-10001057"/>
    <x v="1"/>
    <x v="8"/>
    <s v="Tensor Track Tree Floor Lamp"/>
    <n v="31.983999999999998"/>
    <n v="2"/>
    <n v="0.2"/>
    <n v="1.1993999999999998"/>
  </r>
  <r>
    <n v="752"/>
    <s v="US-2023-124464"/>
    <x v="155"/>
    <x v="161"/>
    <s v="Standard Class"/>
    <s v="SS-20515"/>
    <x v="302"/>
    <x v="1"/>
    <x v="0"/>
    <s v="Newark"/>
    <x v="7"/>
    <n v="19711"/>
    <x v="1"/>
    <s v="OFF-AP-10000576"/>
    <x v="0"/>
    <x v="12"/>
    <s v="Belkin 7 Outlet SurgeMaster II"/>
    <n v="39.479999999999997"/>
    <n v="1"/>
    <n v="0"/>
    <n v="11.054400000000001"/>
  </r>
  <r>
    <n v="753"/>
    <s v="US-2023-164182"/>
    <x v="155"/>
    <x v="158"/>
    <s v="Standard Class"/>
    <s v="ST-20530"/>
    <x v="45"/>
    <x v="0"/>
    <x v="0"/>
    <s v="Philadelphia"/>
    <x v="2"/>
    <n v="19140"/>
    <x v="1"/>
    <s v="OFF-AR-10001044"/>
    <x v="0"/>
    <x v="4"/>
    <s v="BOSTON Ranger #55 Pencil Sharpener, Black"/>
    <n v="41.584000000000003"/>
    <n v="2"/>
    <n v="0.2"/>
    <n v="4.6781999999999968"/>
  </r>
  <r>
    <n v="754"/>
    <s v="US-2023-109904"/>
    <x v="155"/>
    <x v="160"/>
    <s v="Second Class"/>
    <s v="BF-10975"/>
    <x v="303"/>
    <x v="2"/>
    <x v="0"/>
    <s v="New York City"/>
    <x v="21"/>
    <n v="10009"/>
    <x v="1"/>
    <s v="OFF-AR-10004999"/>
    <x v="0"/>
    <x v="4"/>
    <s v="Newell 315"/>
    <n v="17.940000000000001"/>
    <n v="3"/>
    <n v="0"/>
    <n v="4.4850000000000003"/>
  </r>
  <r>
    <n v="755"/>
    <s v="US-2023-103905"/>
    <x v="155"/>
    <x v="161"/>
    <s v="Standard Class"/>
    <s v="AW-10930"/>
    <x v="304"/>
    <x v="1"/>
    <x v="0"/>
    <s v="Aurora"/>
    <x v="1"/>
    <n v="60505"/>
    <x v="0"/>
    <s v="OFF-BI-10001098"/>
    <x v="0"/>
    <x v="1"/>
    <s v="Acco D-Ring Binder w/DublLock"/>
    <n v="29.931999999999992"/>
    <n v="7"/>
    <n v="0.8"/>
    <n v="-46.394600000000011"/>
  </r>
  <r>
    <n v="756"/>
    <s v="US-2023-150532"/>
    <x v="155"/>
    <x v="162"/>
    <s v="Standard Class"/>
    <s v="PB-19150"/>
    <x v="305"/>
    <x v="0"/>
    <x v="0"/>
    <s v="Phoenix"/>
    <x v="12"/>
    <n v="85023"/>
    <x v="3"/>
    <s v="OFF-ST-10000760"/>
    <x v="0"/>
    <x v="3"/>
    <s v="Eldon Fold 'N Roll Cart System"/>
    <n v="55.92"/>
    <n v="5"/>
    <n v="0.2"/>
    <n v="6.2910000000000004"/>
  </r>
  <r>
    <n v="757"/>
    <s v="US-2023-103905"/>
    <x v="155"/>
    <x v="161"/>
    <s v="Standard Class"/>
    <s v="AW-10930"/>
    <x v="304"/>
    <x v="1"/>
    <x v="0"/>
    <s v="Aurora"/>
    <x v="1"/>
    <n v="60505"/>
    <x v="0"/>
    <s v="TEC-PH-10001552"/>
    <x v="2"/>
    <x v="7"/>
    <s v="I Need's 3d Hello Kitty Hybrid Silicone Case Cover for HTC One X 4g with 3d Hello Kitty Stylus Pen Green/pink"/>
    <n v="38.272000000000006"/>
    <n v="4"/>
    <n v="0.2"/>
    <n v="3.8272000000000013"/>
  </r>
  <r>
    <n v="758"/>
    <s v="US-2023-164182"/>
    <x v="155"/>
    <x v="158"/>
    <s v="Standard Class"/>
    <s v="ST-20530"/>
    <x v="45"/>
    <x v="0"/>
    <x v="0"/>
    <s v="Philadelphia"/>
    <x v="2"/>
    <n v="19140"/>
    <x v="1"/>
    <s v="TEC-PH-10002070"/>
    <x v="2"/>
    <x v="7"/>
    <s v="Griffin GC36547 PowerJolt SE Lightning Charger"/>
    <n v="13.493999999999998"/>
    <n v="1"/>
    <n v="0.4"/>
    <n v="-2.2490000000000023"/>
  </r>
  <r>
    <n v="759"/>
    <s v="US-2023-164182"/>
    <x v="155"/>
    <x v="158"/>
    <s v="Standard Class"/>
    <s v="ST-20530"/>
    <x v="45"/>
    <x v="0"/>
    <x v="0"/>
    <s v="Philadelphia"/>
    <x v="2"/>
    <n v="19140"/>
    <x v="1"/>
    <s v="TEC-PH-10002583"/>
    <x v="2"/>
    <x v="7"/>
    <s v="iOttie HLCRIO102 Car Mount"/>
    <n v="23.987999999999996"/>
    <n v="2"/>
    <n v="0.4"/>
    <n v="-13.993000000000004"/>
  </r>
  <r>
    <n v="760"/>
    <s v="US-2023-115980"/>
    <x v="156"/>
    <x v="163"/>
    <s v="Standard Class"/>
    <s v="VW-21775"/>
    <x v="195"/>
    <x v="2"/>
    <x v="0"/>
    <s v="Sioux Falls"/>
    <x v="20"/>
    <n v="57103"/>
    <x v="0"/>
    <s v="OFF-FA-10000304"/>
    <x v="0"/>
    <x v="6"/>
    <s v="Advantus Push Pins"/>
    <n v="6.5400000000000009"/>
    <n v="3"/>
    <n v="0"/>
    <n v="2.6814000000000004"/>
  </r>
  <r>
    <n v="761"/>
    <s v="US-2023-115980"/>
    <x v="156"/>
    <x v="163"/>
    <s v="Standard Class"/>
    <s v="VW-21775"/>
    <x v="195"/>
    <x v="2"/>
    <x v="0"/>
    <s v="Sioux Falls"/>
    <x v="20"/>
    <n v="57103"/>
    <x v="0"/>
    <s v="TEC-AC-10003709"/>
    <x v="2"/>
    <x v="9"/>
    <s v="Maxell 4.7GB DVD-R 5/Pack"/>
    <n v="2.9699999999999998"/>
    <n v="3"/>
    <n v="0"/>
    <n v="1.3068000000000004"/>
  </r>
  <r>
    <n v="762"/>
    <s v="US-2023-123295"/>
    <x v="157"/>
    <x v="158"/>
    <s v="Same Day"/>
    <s v="AH-10120"/>
    <x v="306"/>
    <x v="1"/>
    <x v="0"/>
    <s v="Tucson"/>
    <x v="12"/>
    <n v="85705"/>
    <x v="3"/>
    <s v="FUR-CH-10002372"/>
    <x v="1"/>
    <x v="5"/>
    <s v="Office Star - Ergonomically Designed Knee Chair"/>
    <n v="259.13600000000002"/>
    <n v="4"/>
    <n v="0.2"/>
    <n v="-25.913599999999988"/>
  </r>
  <r>
    <n v="763"/>
    <s v="US-2023-138198"/>
    <x v="157"/>
    <x v="164"/>
    <s v="Standard Class"/>
    <s v="JL-15130"/>
    <x v="307"/>
    <x v="0"/>
    <x v="0"/>
    <s v="New Rochelle"/>
    <x v="21"/>
    <n v="10801"/>
    <x v="1"/>
    <s v="OFF-BI-10002103"/>
    <x v="0"/>
    <x v="1"/>
    <s v="Cardinal Slant-D Ring Binder, Heavy Gauge Vinyl"/>
    <n v="13.904"/>
    <n v="2"/>
    <n v="0.2"/>
    <n v="4.5187999999999997"/>
  </r>
  <r>
    <n v="764"/>
    <s v="US-2023-150434"/>
    <x v="158"/>
    <x v="165"/>
    <s v="Standard Class"/>
    <s v="CA-12310"/>
    <x v="308"/>
    <x v="2"/>
    <x v="0"/>
    <s v="Bristol"/>
    <x v="39"/>
    <n v="6010"/>
    <x v="1"/>
    <s v="FUR-TA-10004152"/>
    <x v="1"/>
    <x v="13"/>
    <s v="Barricks 18&quot; x 48&quot; Non-Folding Utility Table with Bottom Storage Shelf"/>
    <n v="70.559999999999988"/>
    <n v="1"/>
    <n v="0.3"/>
    <n v="-4.032"/>
  </r>
  <r>
    <n v="765"/>
    <s v="US-2023-168158"/>
    <x v="158"/>
    <x v="165"/>
    <s v="Standard Class"/>
    <s v="EM-14140"/>
    <x v="309"/>
    <x v="1"/>
    <x v="0"/>
    <s v="Great Falls"/>
    <x v="37"/>
    <n v="59405"/>
    <x v="3"/>
    <s v="OFF-BI-10001759"/>
    <x v="0"/>
    <x v="1"/>
    <s v="Acco Pressboard Covers with Storage Hooks, 14 7/8&quot; x 11&quot;, Dark Blue"/>
    <n v="6.0960000000000001"/>
    <n v="2"/>
    <n v="0.2"/>
    <n v="2.2098"/>
  </r>
  <r>
    <n v="766"/>
    <s v="US-2023-150434"/>
    <x v="158"/>
    <x v="165"/>
    <s v="Standard Class"/>
    <s v="CA-12310"/>
    <x v="308"/>
    <x v="2"/>
    <x v="0"/>
    <s v="Bristol"/>
    <x v="39"/>
    <n v="6010"/>
    <x v="1"/>
    <s v="OFF-BI-10002160"/>
    <x v="0"/>
    <x v="1"/>
    <s v="Acco Hanging Data Binders"/>
    <n v="3.81"/>
    <n v="1"/>
    <n v="0"/>
    <n v="1.8288"/>
  </r>
  <r>
    <n v="767"/>
    <s v="US-2023-150434"/>
    <x v="158"/>
    <x v="165"/>
    <s v="Standard Class"/>
    <s v="CA-12310"/>
    <x v="308"/>
    <x v="2"/>
    <x v="0"/>
    <s v="Bristol"/>
    <x v="39"/>
    <n v="6010"/>
    <x v="1"/>
    <s v="OFF-BI-10003694"/>
    <x v="0"/>
    <x v="1"/>
    <s v="Avery 3 1/2&quot; Diskette Storage Pages, 10/Pack"/>
    <n v="20.88"/>
    <n v="2"/>
    <n v="0"/>
    <n v="9.6047999999999991"/>
  </r>
  <r>
    <n v="768"/>
    <s v="US-2023-150434"/>
    <x v="158"/>
    <x v="165"/>
    <s v="Standard Class"/>
    <s v="CA-12310"/>
    <x v="308"/>
    <x v="2"/>
    <x v="0"/>
    <s v="Bristol"/>
    <x v="39"/>
    <n v="6010"/>
    <x v="1"/>
    <s v="TEC-PH-10000895"/>
    <x v="2"/>
    <x v="7"/>
    <s v="Polycom VVX 310 VoIP phone"/>
    <n v="359.98"/>
    <n v="2"/>
    <n v="0"/>
    <n v="93.594800000000021"/>
  </r>
  <r>
    <n v="769"/>
    <s v="US-2023-143903"/>
    <x v="159"/>
    <x v="165"/>
    <s v="Standard Class"/>
    <s v="KM-16375"/>
    <x v="310"/>
    <x v="1"/>
    <x v="0"/>
    <s v="Dallas"/>
    <x v="0"/>
    <n v="75217"/>
    <x v="0"/>
    <s v="FUR-CH-10002024"/>
    <x v="1"/>
    <x v="5"/>
    <s v="HON 5400 Series Task Chairs for Big and Tall"/>
    <n v="981.37199999999996"/>
    <n v="2"/>
    <n v="0.3"/>
    <n v="-140.19599999999997"/>
  </r>
  <r>
    <n v="770"/>
    <s v="US-2023-141726"/>
    <x v="159"/>
    <x v="166"/>
    <s v="First Class"/>
    <s v="CC-12145"/>
    <x v="311"/>
    <x v="0"/>
    <x v="0"/>
    <s v="San Diego"/>
    <x v="5"/>
    <n v="92105"/>
    <x v="3"/>
    <s v="FUR-FU-10003577"/>
    <x v="1"/>
    <x v="8"/>
    <s v="Nu-Dell Leatherette Frames"/>
    <n v="43.019999999999996"/>
    <n v="3"/>
    <n v="0"/>
    <n v="15.4872"/>
  </r>
  <r>
    <n v="771"/>
    <s v="US-2023-143903"/>
    <x v="159"/>
    <x v="165"/>
    <s v="Standard Class"/>
    <s v="KM-16375"/>
    <x v="310"/>
    <x v="1"/>
    <x v="0"/>
    <s v="Dallas"/>
    <x v="0"/>
    <n v="75217"/>
    <x v="0"/>
    <s v="FUR-FU-10003724"/>
    <x v="1"/>
    <x v="8"/>
    <s v="Westinghouse Clip-On Gooseneck Lamps"/>
    <n v="16.739999999999998"/>
    <n v="5"/>
    <n v="0.6"/>
    <n v="-14.228999999999997"/>
  </r>
  <r>
    <n v="772"/>
    <s v="US-2023-127866"/>
    <x v="159"/>
    <x v="164"/>
    <s v="First Class"/>
    <s v="JD-15895"/>
    <x v="108"/>
    <x v="2"/>
    <x v="0"/>
    <s v="Riverside"/>
    <x v="5"/>
    <n v="92503"/>
    <x v="3"/>
    <s v="OFF-AR-10003481"/>
    <x v="0"/>
    <x v="4"/>
    <s v="Newell 348"/>
    <n v="13.12"/>
    <n v="4"/>
    <n v="0"/>
    <n v="3.8047999999999984"/>
  </r>
  <r>
    <n v="773"/>
    <s v="US-2023-142965"/>
    <x v="159"/>
    <x v="161"/>
    <s v="Same Day"/>
    <s v="SW-20245"/>
    <x v="312"/>
    <x v="0"/>
    <x v="0"/>
    <s v="Springfield"/>
    <x v="9"/>
    <n v="45503"/>
    <x v="1"/>
    <s v="OFF-BI-10000977"/>
    <x v="0"/>
    <x v="1"/>
    <s v="Ibico Plastic Spiral Binding Combs"/>
    <n v="27.360000000000003"/>
    <n v="3"/>
    <n v="0.7"/>
    <n v="-21.887999999999991"/>
  </r>
  <r>
    <n v="774"/>
    <s v="US-2023-141726"/>
    <x v="159"/>
    <x v="166"/>
    <s v="First Class"/>
    <s v="CC-12145"/>
    <x v="311"/>
    <x v="0"/>
    <x v="0"/>
    <s v="San Diego"/>
    <x v="5"/>
    <n v="92105"/>
    <x v="3"/>
    <s v="OFF-BI-10001982"/>
    <x v="0"/>
    <x v="1"/>
    <s v="Wilson Jones Custom Binder Spines &amp; Labels"/>
    <n v="8.7040000000000006"/>
    <n v="2"/>
    <n v="0.2"/>
    <n v="3.1551999999999998"/>
  </r>
  <r>
    <n v="775"/>
    <s v="US-2023-157546"/>
    <x v="159"/>
    <x v="166"/>
    <s v="First Class"/>
    <s v="RD-19720"/>
    <x v="313"/>
    <x v="0"/>
    <x v="0"/>
    <s v="San Francisco"/>
    <x v="5"/>
    <n v="94122"/>
    <x v="3"/>
    <s v="OFF-BI-10002498"/>
    <x v="0"/>
    <x v="1"/>
    <s v="Clear Mylar Reinforcing Strips"/>
    <n v="89.712000000000018"/>
    <n v="6"/>
    <n v="0.2"/>
    <n v="30.277799999999992"/>
  </r>
  <r>
    <n v="776"/>
    <s v="US-2023-141726"/>
    <x v="159"/>
    <x v="166"/>
    <s v="First Class"/>
    <s v="CC-12145"/>
    <x v="311"/>
    <x v="0"/>
    <x v="0"/>
    <s v="San Diego"/>
    <x v="5"/>
    <n v="92105"/>
    <x v="3"/>
    <s v="OFF-PA-10000418"/>
    <x v="0"/>
    <x v="0"/>
    <s v="Xerox 189"/>
    <n v="104.85"/>
    <n v="1"/>
    <n v="0"/>
    <n v="50.327999999999996"/>
  </r>
  <r>
    <n v="777"/>
    <s v="US-2023-141726"/>
    <x v="159"/>
    <x v="166"/>
    <s v="First Class"/>
    <s v="CC-12145"/>
    <x v="311"/>
    <x v="0"/>
    <x v="0"/>
    <s v="San Diego"/>
    <x v="5"/>
    <n v="92105"/>
    <x v="3"/>
    <s v="OFF-PA-10002230"/>
    <x v="0"/>
    <x v="0"/>
    <s v="Xerox 1897"/>
    <n v="19.920000000000002"/>
    <n v="4"/>
    <n v="0"/>
    <n v="9.7608000000000015"/>
  </r>
  <r>
    <n v="778"/>
    <s v="US-2023-127866"/>
    <x v="159"/>
    <x v="164"/>
    <s v="First Class"/>
    <s v="JD-15895"/>
    <x v="108"/>
    <x v="2"/>
    <x v="0"/>
    <s v="Riverside"/>
    <x v="5"/>
    <n v="92503"/>
    <x v="3"/>
    <s v="OFF-PA-10003971"/>
    <x v="0"/>
    <x v="0"/>
    <s v="Xerox 1965"/>
    <n v="11.96"/>
    <n v="2"/>
    <n v="0"/>
    <n v="5.8604000000000003"/>
  </r>
  <r>
    <n v="779"/>
    <s v="US-2023-157546"/>
    <x v="159"/>
    <x v="166"/>
    <s v="First Class"/>
    <s v="RD-19720"/>
    <x v="313"/>
    <x v="0"/>
    <x v="0"/>
    <s v="San Francisco"/>
    <x v="5"/>
    <n v="94122"/>
    <x v="3"/>
    <s v="OFF-PA-10004569"/>
    <x v="0"/>
    <x v="0"/>
    <s v="Wirebound Message Books, Two 4 1/4&quot; x 5&quot; Forms per Page"/>
    <n v="22.830000000000002"/>
    <n v="3"/>
    <n v="0"/>
    <n v="10.7301"/>
  </r>
  <r>
    <n v="780"/>
    <s v="US-2023-127866"/>
    <x v="159"/>
    <x v="164"/>
    <s v="First Class"/>
    <s v="JD-15895"/>
    <x v="108"/>
    <x v="2"/>
    <x v="0"/>
    <s v="Riverside"/>
    <x v="5"/>
    <n v="92503"/>
    <x v="3"/>
    <s v="OFF-ST-10001490"/>
    <x v="0"/>
    <x v="3"/>
    <s v="Hot File 7-Pocket, Floor Stand"/>
    <n v="535.41"/>
    <n v="3"/>
    <n v="0"/>
    <n v="160.62299999999993"/>
  </r>
  <r>
    <n v="781"/>
    <s v="US-2023-142965"/>
    <x v="159"/>
    <x v="161"/>
    <s v="Same Day"/>
    <s v="SW-20245"/>
    <x v="312"/>
    <x v="0"/>
    <x v="0"/>
    <s v="Springfield"/>
    <x v="9"/>
    <n v="45503"/>
    <x v="1"/>
    <s v="OFF-ST-10002583"/>
    <x v="0"/>
    <x v="3"/>
    <s v="Fellowes Neat Ideas Storage Cubes"/>
    <n v="25.983999999999998"/>
    <n v="1"/>
    <n v="0.2"/>
    <n v="-5.1968000000000005"/>
  </r>
  <r>
    <n v="782"/>
    <s v="US-2023-143903"/>
    <x v="159"/>
    <x v="165"/>
    <s v="Standard Class"/>
    <s v="KM-16375"/>
    <x v="310"/>
    <x v="1"/>
    <x v="0"/>
    <s v="Dallas"/>
    <x v="0"/>
    <n v="75217"/>
    <x v="0"/>
    <s v="OFF-ST-10003306"/>
    <x v="0"/>
    <x v="3"/>
    <s v="Letter Size Cart"/>
    <n v="342.86400000000003"/>
    <n v="3"/>
    <n v="0.2"/>
    <n v="38.572199999999953"/>
  </r>
  <r>
    <n v="783"/>
    <s v="US-2023-127866"/>
    <x v="159"/>
    <x v="164"/>
    <s v="First Class"/>
    <s v="JD-15895"/>
    <x v="108"/>
    <x v="2"/>
    <x v="0"/>
    <s v="Riverside"/>
    <x v="5"/>
    <n v="92503"/>
    <x v="3"/>
    <s v="TEC-AC-10000023"/>
    <x v="2"/>
    <x v="9"/>
    <s v="Maxell 74 Minute CD-R Spindle, 50/Pack"/>
    <n v="41.94"/>
    <n v="2"/>
    <n v="0"/>
    <n v="15.098399999999998"/>
  </r>
  <r>
    <n v="784"/>
    <s v="US-2023-116932"/>
    <x v="160"/>
    <x v="167"/>
    <s v="Standard Class"/>
    <s v="ME-18010"/>
    <x v="314"/>
    <x v="2"/>
    <x v="0"/>
    <s v="San Francisco"/>
    <x v="5"/>
    <n v="94122"/>
    <x v="3"/>
    <s v="FUR-CH-10001215"/>
    <x v="1"/>
    <x v="5"/>
    <s v="Global Troy Executive Leather Low-Back Tilter"/>
    <n v="801.5680000000001"/>
    <n v="2"/>
    <n v="0.2"/>
    <n v="50.097999999999985"/>
  </r>
  <r>
    <n v="785"/>
    <s v="US-2023-129189"/>
    <x v="160"/>
    <x v="167"/>
    <s v="Standard Class"/>
    <s v="HM-14860"/>
    <x v="315"/>
    <x v="2"/>
    <x v="0"/>
    <s v="Dallas"/>
    <x v="0"/>
    <n v="75217"/>
    <x v="0"/>
    <s v="FUR-CH-10004997"/>
    <x v="1"/>
    <x v="5"/>
    <s v="Hon Every-Day Series Multi-Task Chairs"/>
    <n v="657.93"/>
    <n v="5"/>
    <n v="0.3"/>
    <n v="-93.989999999999952"/>
  </r>
  <r>
    <n v="786"/>
    <s v="US-2023-116932"/>
    <x v="160"/>
    <x v="167"/>
    <s v="Standard Class"/>
    <s v="ME-18010"/>
    <x v="314"/>
    <x v="2"/>
    <x v="0"/>
    <s v="San Francisco"/>
    <x v="5"/>
    <n v="94122"/>
    <x v="3"/>
    <s v="FUR-TA-10004175"/>
    <x v="1"/>
    <x v="13"/>
    <s v="Hon 30&quot; x 60&quot; Table with Locking Drawer"/>
    <n v="272.84800000000001"/>
    <n v="1"/>
    <n v="0.2"/>
    <n v="27.284800000000004"/>
  </r>
  <r>
    <n v="787"/>
    <s v="US-2023-129189"/>
    <x v="160"/>
    <x v="167"/>
    <s v="Standard Class"/>
    <s v="HM-14860"/>
    <x v="315"/>
    <x v="2"/>
    <x v="0"/>
    <s v="Dallas"/>
    <x v="0"/>
    <n v="75217"/>
    <x v="0"/>
    <s v="OFF-AP-10000124"/>
    <x v="0"/>
    <x v="12"/>
    <s v="Acco 6 Outlet Guardian Basic Surge Suppressor"/>
    <n v="4.9919999999999991"/>
    <n v="3"/>
    <n v="0.8"/>
    <n v="-12.979200000000002"/>
  </r>
  <r>
    <n v="788"/>
    <s v="US-2023-116932"/>
    <x v="160"/>
    <x v="167"/>
    <s v="Standard Class"/>
    <s v="ME-18010"/>
    <x v="314"/>
    <x v="2"/>
    <x v="0"/>
    <s v="San Francisco"/>
    <x v="5"/>
    <n v="94122"/>
    <x v="3"/>
    <s v="OFF-AR-10002067"/>
    <x v="0"/>
    <x v="4"/>
    <s v="Newell 334"/>
    <n v="99.2"/>
    <n v="5"/>
    <n v="0"/>
    <n v="25.792000000000002"/>
  </r>
  <r>
    <n v="789"/>
    <s v="US-2023-129189"/>
    <x v="160"/>
    <x v="167"/>
    <s v="Standard Class"/>
    <s v="HM-14860"/>
    <x v="315"/>
    <x v="2"/>
    <x v="0"/>
    <s v="Dallas"/>
    <x v="0"/>
    <n v="75217"/>
    <x v="0"/>
    <s v="OFF-BI-10000494"/>
    <x v="0"/>
    <x v="1"/>
    <s v="Acco Economy Flexible Poly Round Ring Binder"/>
    <n v="1.0439999999999998"/>
    <n v="1"/>
    <n v="0.8"/>
    <n v="-1.8270000000000004"/>
  </r>
  <r>
    <n v="790"/>
    <s v="US-2023-129189"/>
    <x v="160"/>
    <x v="167"/>
    <s v="Standard Class"/>
    <s v="HM-14860"/>
    <x v="315"/>
    <x v="2"/>
    <x v="0"/>
    <s v="Dallas"/>
    <x v="0"/>
    <n v="75217"/>
    <x v="0"/>
    <s v="OFF-EN-10003567"/>
    <x v="0"/>
    <x v="11"/>
    <s v="Inter-Office Recycled Envelopes, Brown Kraft, Button-String,10&quot; x 13&quot; , 100/Box"/>
    <n v="87.92"/>
    <n v="5"/>
    <n v="0.2"/>
    <n v="29.673000000000005"/>
  </r>
  <r>
    <n v="791"/>
    <s v="US-2023-109890"/>
    <x v="160"/>
    <x v="168"/>
    <s v="Standard Class"/>
    <s v="PG-18820"/>
    <x v="192"/>
    <x v="0"/>
    <x v="0"/>
    <s v="Omaha"/>
    <x v="45"/>
    <n v="68104"/>
    <x v="0"/>
    <s v="TEC-PH-10004100"/>
    <x v="2"/>
    <x v="7"/>
    <s v="Griffin GC17055 Auxiliary Audio Cable"/>
    <n v="35.979999999999997"/>
    <n v="2"/>
    <n v="0"/>
    <n v="10.074400000000001"/>
  </r>
  <r>
    <n v="792"/>
    <s v="US-2023-117464"/>
    <x v="161"/>
    <x v="165"/>
    <s v="Second Class"/>
    <s v="NP-18325"/>
    <x v="202"/>
    <x v="0"/>
    <x v="0"/>
    <s v="San Francisco"/>
    <x v="5"/>
    <n v="94122"/>
    <x v="3"/>
    <s v="FUR-CH-10000155"/>
    <x v="1"/>
    <x v="5"/>
    <s v="Global Comet Stacking Armless Chair"/>
    <n v="717.72"/>
    <n v="3"/>
    <n v="0.2"/>
    <n v="71.77200000000002"/>
  </r>
  <r>
    <n v="793"/>
    <s v="US-2023-117464"/>
    <x v="161"/>
    <x v="165"/>
    <s v="Second Class"/>
    <s v="NP-18325"/>
    <x v="202"/>
    <x v="0"/>
    <x v="0"/>
    <s v="San Francisco"/>
    <x v="5"/>
    <n v="94122"/>
    <x v="3"/>
    <s v="FUR-TA-10004767"/>
    <x v="1"/>
    <x v="13"/>
    <s v="Safco Drafting Table"/>
    <n v="170.35200000000003"/>
    <n v="3"/>
    <n v="0.2"/>
    <n v="19.164599999999979"/>
  </r>
  <r>
    <n v="794"/>
    <s v="US-2023-127691"/>
    <x v="161"/>
    <x v="168"/>
    <s v="Standard Class"/>
    <s v="EM-14065"/>
    <x v="316"/>
    <x v="0"/>
    <x v="0"/>
    <s v="New York City"/>
    <x v="21"/>
    <n v="10024"/>
    <x v="1"/>
    <s v="OFF-AR-10002053"/>
    <x v="0"/>
    <x v="4"/>
    <s v="Premium Writing Pencils, Soft, #2 by Central Association for the Blind"/>
    <n v="5.96"/>
    <n v="2"/>
    <n v="0"/>
    <n v="1.6688000000000001"/>
  </r>
  <r>
    <n v="795"/>
    <s v="US-2023-117464"/>
    <x v="161"/>
    <x v="165"/>
    <s v="Second Class"/>
    <s v="NP-18325"/>
    <x v="202"/>
    <x v="0"/>
    <x v="0"/>
    <s v="San Francisco"/>
    <x v="5"/>
    <n v="94122"/>
    <x v="3"/>
    <s v="OFF-AR-10003190"/>
    <x v="0"/>
    <x v="4"/>
    <s v="Newell 32"/>
    <n v="11.52"/>
    <n v="4"/>
    <n v="0"/>
    <n v="3.2256"/>
  </r>
  <r>
    <n v="796"/>
    <s v="US-2023-122679"/>
    <x v="161"/>
    <x v="169"/>
    <s v="Standard Class"/>
    <s v="AB-10255"/>
    <x v="317"/>
    <x v="1"/>
    <x v="0"/>
    <s v="Los Angeles"/>
    <x v="5"/>
    <n v="90008"/>
    <x v="3"/>
    <s v="OFF-AR-10004757"/>
    <x v="0"/>
    <x v="4"/>
    <s v="Crayola Colored Pencils"/>
    <n v="19.68"/>
    <n v="6"/>
    <n v="0"/>
    <n v="6.4943999999999988"/>
  </r>
  <r>
    <n v="797"/>
    <s v="US-2023-117464"/>
    <x v="161"/>
    <x v="165"/>
    <s v="Second Class"/>
    <s v="NP-18325"/>
    <x v="202"/>
    <x v="0"/>
    <x v="0"/>
    <s v="San Francisco"/>
    <x v="5"/>
    <n v="94122"/>
    <x v="3"/>
    <s v="OFF-ST-10003058"/>
    <x v="0"/>
    <x v="3"/>
    <s v="Eldon Mobile Mega Data Cart  Mega Stackable  Add-On Trays"/>
    <n v="236.5"/>
    <n v="10"/>
    <n v="0"/>
    <n v="68.584999999999994"/>
  </r>
  <r>
    <n v="798"/>
    <s v="US-2023-164644"/>
    <x v="161"/>
    <x v="165"/>
    <s v="Second Class"/>
    <s v="JL-15850"/>
    <x v="318"/>
    <x v="0"/>
    <x v="0"/>
    <s v="Houston"/>
    <x v="0"/>
    <n v="77095"/>
    <x v="0"/>
    <s v="OFF-ST-10003123"/>
    <x v="0"/>
    <x v="3"/>
    <s v="Fellowes Bases and Tops For Staxonsteel/High-Stak Systems"/>
    <n v="26.632000000000001"/>
    <n v="1"/>
    <n v="0.2"/>
    <n v="1.331599999999999"/>
  </r>
  <r>
    <n v="799"/>
    <s v="US-2023-127691"/>
    <x v="161"/>
    <x v="168"/>
    <s v="Standard Class"/>
    <s v="EM-14065"/>
    <x v="316"/>
    <x v="0"/>
    <x v="0"/>
    <s v="New York City"/>
    <x v="21"/>
    <n v="10024"/>
    <x v="1"/>
    <s v="TEC-AC-10002567"/>
    <x v="2"/>
    <x v="9"/>
    <s v="Logitech G602 Wireless Gaming Mouse"/>
    <n v="159.97999999999999"/>
    <n v="2"/>
    <n v="0"/>
    <n v="57.592799999999997"/>
  </r>
  <r>
    <n v="800"/>
    <s v="US-2023-119137"/>
    <x v="162"/>
    <x v="168"/>
    <s v="Standard Class"/>
    <s v="AG-10900"/>
    <x v="319"/>
    <x v="0"/>
    <x v="0"/>
    <s v="Tucson"/>
    <x v="12"/>
    <n v="85705"/>
    <x v="3"/>
    <s v="OFF-AR-10000658"/>
    <x v="0"/>
    <x v="4"/>
    <s v="Newell 324"/>
    <n v="9.24"/>
    <n v="1"/>
    <n v="0.2"/>
    <n v="0.92399999999999993"/>
  </r>
  <r>
    <n v="801"/>
    <s v="US-2023-119137"/>
    <x v="162"/>
    <x v="168"/>
    <s v="Standard Class"/>
    <s v="AG-10900"/>
    <x v="319"/>
    <x v="0"/>
    <x v="0"/>
    <s v="Tucson"/>
    <x v="12"/>
    <n v="85705"/>
    <x v="3"/>
    <s v="OFF-BI-10001982"/>
    <x v="0"/>
    <x v="1"/>
    <s v="Wilson Jones Custom Binder Spines &amp; Labels"/>
    <n v="8.1600000000000019"/>
    <n v="5"/>
    <n v="0.7"/>
    <n v="-5.7119999999999997"/>
  </r>
  <r>
    <n v="802"/>
    <s v="US-2023-145254"/>
    <x v="162"/>
    <x v="168"/>
    <s v="Standard Class"/>
    <s v="NC-18535"/>
    <x v="320"/>
    <x v="2"/>
    <x v="0"/>
    <s v="San Francisco"/>
    <x v="5"/>
    <n v="94122"/>
    <x v="3"/>
    <s v="OFF-SU-10004664"/>
    <x v="0"/>
    <x v="14"/>
    <s v="Acme Softgrip Scissors"/>
    <n v="40.700000000000003"/>
    <n v="5"/>
    <n v="0"/>
    <n v="11.802999999999999"/>
  </r>
  <r>
    <n v="803"/>
    <s v="US-2023-103058"/>
    <x v="162"/>
    <x v="165"/>
    <s v="First Class"/>
    <s v="AG-10270"/>
    <x v="201"/>
    <x v="0"/>
    <x v="0"/>
    <s v="New York City"/>
    <x v="21"/>
    <n v="10011"/>
    <x v="1"/>
    <s v="TEC-AC-10001314"/>
    <x v="2"/>
    <x v="9"/>
    <s v="Case Logic 2.4GHz Wireless Keyboard"/>
    <n v="99.98"/>
    <n v="2"/>
    <n v="0"/>
    <n v="7.9983999999999895"/>
  </r>
  <r>
    <n v="804"/>
    <s v="US-2023-119137"/>
    <x v="162"/>
    <x v="168"/>
    <s v="Standard Class"/>
    <s v="AG-10900"/>
    <x v="319"/>
    <x v="0"/>
    <x v="0"/>
    <s v="Tucson"/>
    <x v="12"/>
    <n v="85705"/>
    <x v="3"/>
    <s v="TEC-AC-10002076"/>
    <x v="2"/>
    <x v="9"/>
    <s v="Microsoft Natural Keyboard Elite"/>
    <n v="479.04"/>
    <n v="10"/>
    <n v="0.2"/>
    <n v="-29.940000000000012"/>
  </r>
  <r>
    <n v="805"/>
    <s v="US-2023-145254"/>
    <x v="162"/>
    <x v="168"/>
    <s v="Standard Class"/>
    <s v="NC-18535"/>
    <x v="320"/>
    <x v="2"/>
    <x v="0"/>
    <s v="San Francisco"/>
    <x v="5"/>
    <n v="94122"/>
    <x v="3"/>
    <s v="TEC-AC-10002167"/>
    <x v="2"/>
    <x v="9"/>
    <s v="Imation 8gb Micro Traveldrive Usb 2.0 Flash Drive"/>
    <n v="45"/>
    <n v="3"/>
    <n v="0"/>
    <n v="4.9500000000000011"/>
  </r>
  <r>
    <n v="806"/>
    <s v="US-2023-119137"/>
    <x v="162"/>
    <x v="168"/>
    <s v="Standard Class"/>
    <s v="AG-10900"/>
    <x v="319"/>
    <x v="0"/>
    <x v="0"/>
    <s v="Tucson"/>
    <x v="12"/>
    <n v="85705"/>
    <x v="3"/>
    <s v="TEC-AC-10003911"/>
    <x v="2"/>
    <x v="9"/>
    <s v="NETGEAR AC1750 Dual Band Gigabit Smart WiFi Router"/>
    <n v="1023.9360000000001"/>
    <n v="8"/>
    <n v="0.2"/>
    <n v="179.1887999999999"/>
  </r>
  <r>
    <n v="807"/>
    <s v="US-2023-145254"/>
    <x v="162"/>
    <x v="168"/>
    <s v="Standard Class"/>
    <s v="NC-18535"/>
    <x v="320"/>
    <x v="2"/>
    <x v="0"/>
    <s v="San Francisco"/>
    <x v="5"/>
    <n v="94122"/>
    <x v="3"/>
    <s v="TEC-PH-10000441"/>
    <x v="2"/>
    <x v="7"/>
    <s v="VTech DS6151"/>
    <n v="604.75199999999995"/>
    <n v="6"/>
    <n v="0.2"/>
    <n v="60.475200000000058"/>
  </r>
  <r>
    <n v="808"/>
    <s v="US-2023-145254"/>
    <x v="162"/>
    <x v="168"/>
    <s v="Standard Class"/>
    <s v="NC-18535"/>
    <x v="320"/>
    <x v="2"/>
    <x v="0"/>
    <s v="San Francisco"/>
    <x v="5"/>
    <n v="94122"/>
    <x v="3"/>
    <s v="TEC-PH-10004531"/>
    <x v="2"/>
    <x v="7"/>
    <s v="AT&amp;T CL2909"/>
    <n v="302.37599999999998"/>
    <n v="3"/>
    <n v="0.2"/>
    <n v="37.796999999999997"/>
  </r>
  <r>
    <n v="809"/>
    <s v="US-2023-143917"/>
    <x v="163"/>
    <x v="168"/>
    <s v="Second Class"/>
    <s v="KL-16645"/>
    <x v="321"/>
    <x v="0"/>
    <x v="0"/>
    <s v="San Francisco"/>
    <x v="5"/>
    <n v="94122"/>
    <x v="3"/>
    <s v="FUR-FU-10004351"/>
    <x v="1"/>
    <x v="8"/>
    <s v="Staple-based wall hangings"/>
    <n v="77.92"/>
    <n v="8"/>
    <n v="0"/>
    <n v="34.284800000000004"/>
  </r>
  <r>
    <n v="810"/>
    <s v="US-2023-146528"/>
    <x v="163"/>
    <x v="168"/>
    <s v="Second Class"/>
    <s v="VF-21715"/>
    <x v="57"/>
    <x v="1"/>
    <x v="0"/>
    <s v="Los Angeles"/>
    <x v="5"/>
    <n v="90045"/>
    <x v="3"/>
    <s v="OFF-PA-10002195"/>
    <x v="0"/>
    <x v="0"/>
    <s v="Xerox 1966"/>
    <n v="6.48"/>
    <n v="1"/>
    <n v="0"/>
    <n v="3.1752000000000002"/>
  </r>
  <r>
    <n v="811"/>
    <s v="US-2023-143917"/>
    <x v="163"/>
    <x v="168"/>
    <s v="Second Class"/>
    <s v="KL-16645"/>
    <x v="321"/>
    <x v="0"/>
    <x v="0"/>
    <s v="San Francisco"/>
    <x v="5"/>
    <n v="94122"/>
    <x v="3"/>
    <s v="OFF-ST-10001228"/>
    <x v="0"/>
    <x v="3"/>
    <s v="Fellowes Personal Hanging Folder Files, Navy"/>
    <n v="53.72"/>
    <n v="4"/>
    <n v="0"/>
    <n v="15.041600000000003"/>
  </r>
  <r>
    <n v="812"/>
    <s v="US-2023-143917"/>
    <x v="163"/>
    <x v="168"/>
    <s v="Second Class"/>
    <s v="KL-16645"/>
    <x v="321"/>
    <x v="0"/>
    <x v="0"/>
    <s v="San Francisco"/>
    <x v="5"/>
    <n v="94122"/>
    <x v="3"/>
    <s v="OFF-SU-10000151"/>
    <x v="0"/>
    <x v="14"/>
    <s v="High Speed Automatic Electric Letter Opener"/>
    <n v="8187.65"/>
    <n v="5"/>
    <n v="0"/>
    <n v="327.50599999999963"/>
  </r>
  <r>
    <n v="813"/>
    <s v="US-2023-146528"/>
    <x v="163"/>
    <x v="168"/>
    <s v="Second Class"/>
    <s v="VF-21715"/>
    <x v="57"/>
    <x v="1"/>
    <x v="0"/>
    <s v="Los Angeles"/>
    <x v="5"/>
    <n v="90045"/>
    <x v="3"/>
    <s v="OFF-SU-10002522"/>
    <x v="0"/>
    <x v="14"/>
    <s v="Acme Kleen Earth Office Shears"/>
    <n v="15.52"/>
    <n v="4"/>
    <n v="0"/>
    <n v="4.5007999999999981"/>
  </r>
  <r>
    <n v="814"/>
    <s v="US-2023-116190"/>
    <x v="164"/>
    <x v="170"/>
    <s v="Standard Class"/>
    <s v="SG-20470"/>
    <x v="322"/>
    <x v="0"/>
    <x v="0"/>
    <s v="Atlanta"/>
    <x v="4"/>
    <n v="30318"/>
    <x v="2"/>
    <s v="FUR-CH-10000553"/>
    <x v="1"/>
    <x v="5"/>
    <s v="Metal Folding Chairs, Beige, 4/Carton"/>
    <n v="67.88"/>
    <n v="2"/>
    <n v="0"/>
    <n v="18.327599999999997"/>
  </r>
  <r>
    <n v="815"/>
    <s v="US-2023-126760"/>
    <x v="164"/>
    <x v="171"/>
    <s v="Standard Class"/>
    <s v="KM-16720"/>
    <x v="115"/>
    <x v="0"/>
    <x v="0"/>
    <s v="North Las Vegas"/>
    <x v="19"/>
    <n v="89031"/>
    <x v="3"/>
    <s v="FUR-CH-10003312"/>
    <x v="1"/>
    <x v="5"/>
    <s v="Hon 2090 “Pillow Soft” Series Mid Back Swivel/Tilt Chairs"/>
    <n v="674.35200000000009"/>
    <n v="3"/>
    <n v="0.2"/>
    <n v="-109.58220000000011"/>
  </r>
  <r>
    <n v="816"/>
    <s v="US-2023-116190"/>
    <x v="164"/>
    <x v="170"/>
    <s v="Standard Class"/>
    <s v="SG-20470"/>
    <x v="322"/>
    <x v="0"/>
    <x v="0"/>
    <s v="Atlanta"/>
    <x v="4"/>
    <n v="30318"/>
    <x v="2"/>
    <s v="FUR-FU-10000719"/>
    <x v="1"/>
    <x v="8"/>
    <s v="DAX Cubicle Frames, 8-1/2 x 11"/>
    <n v="25.71"/>
    <n v="3"/>
    <n v="0"/>
    <n v="9.2556000000000012"/>
  </r>
  <r>
    <n v="817"/>
    <s v="US-2023-126760"/>
    <x v="164"/>
    <x v="171"/>
    <s v="Standard Class"/>
    <s v="KM-16720"/>
    <x v="115"/>
    <x v="0"/>
    <x v="0"/>
    <s v="North Las Vegas"/>
    <x v="19"/>
    <n v="89031"/>
    <x v="3"/>
    <s v="FUR-FU-10004018"/>
    <x v="1"/>
    <x v="8"/>
    <s v="Tensor Computer Mounted Lamp"/>
    <n v="134.01"/>
    <n v="9"/>
    <n v="0"/>
    <n v="36.182700000000004"/>
  </r>
  <r>
    <n v="818"/>
    <s v="US-2023-169019"/>
    <x v="164"/>
    <x v="172"/>
    <s v="Standard Class"/>
    <s v="LF-17185"/>
    <x v="323"/>
    <x v="0"/>
    <x v="0"/>
    <s v="San Antonio"/>
    <x v="0"/>
    <n v="78207"/>
    <x v="0"/>
    <s v="FUR-FU-10004666"/>
    <x v="1"/>
    <x v="8"/>
    <s v="DAX Clear Channel Poster Frame"/>
    <n v="17.496000000000002"/>
    <n v="3"/>
    <n v="0.6"/>
    <n v="-10.060199999999998"/>
  </r>
  <r>
    <n v="819"/>
    <s v="US-2023-169019"/>
    <x v="164"/>
    <x v="172"/>
    <s v="Standard Class"/>
    <s v="LF-17185"/>
    <x v="323"/>
    <x v="0"/>
    <x v="0"/>
    <s v="San Antonio"/>
    <x v="0"/>
    <n v="78207"/>
    <x v="0"/>
    <s v="OFF-AP-10003281"/>
    <x v="0"/>
    <x v="12"/>
    <s v="Acco 6 Outlet Guardian Standard Surge Suppressor"/>
    <n v="4.8359999999999985"/>
    <n v="2"/>
    <n v="0.8"/>
    <n v="-12.090000000000003"/>
  </r>
  <r>
    <n v="820"/>
    <s v="US-2023-169019"/>
    <x v="164"/>
    <x v="172"/>
    <s v="Standard Class"/>
    <s v="LF-17185"/>
    <x v="323"/>
    <x v="0"/>
    <x v="0"/>
    <s v="San Antonio"/>
    <x v="0"/>
    <n v="78207"/>
    <x v="0"/>
    <s v="OFF-BI-10001524"/>
    <x v="0"/>
    <x v="1"/>
    <s v="GBC Premium Transparent Covers with Diagonal Lined Pattern"/>
    <n v="16.783999999999995"/>
    <n v="4"/>
    <n v="0.8"/>
    <n v="-26.854400000000012"/>
  </r>
  <r>
    <n v="821"/>
    <s v="US-2023-169019"/>
    <x v="164"/>
    <x v="172"/>
    <s v="Standard Class"/>
    <s v="LF-17185"/>
    <x v="323"/>
    <x v="0"/>
    <x v="0"/>
    <s v="San Antonio"/>
    <x v="0"/>
    <n v="78207"/>
    <x v="0"/>
    <s v="OFF-BI-10001679"/>
    <x v="0"/>
    <x v="1"/>
    <s v="GBC Instant Index System for Binding Systems"/>
    <n v="8.879999999999999"/>
    <n v="5"/>
    <n v="0.8"/>
    <n v="-13.32"/>
  </r>
  <r>
    <n v="822"/>
    <s v="US-2023-169019"/>
    <x v="164"/>
    <x v="172"/>
    <s v="Standard Class"/>
    <s v="LF-17185"/>
    <x v="323"/>
    <x v="0"/>
    <x v="0"/>
    <s v="San Antonio"/>
    <x v="0"/>
    <n v="78207"/>
    <x v="0"/>
    <s v="OFF-BI-10004995"/>
    <x v="0"/>
    <x v="1"/>
    <s v="GBC DocuBind P400 Electric Binding System"/>
    <n v="2177.5839999999994"/>
    <n v="8"/>
    <n v="0.8"/>
    <n v="-3701.8928000000014"/>
  </r>
  <r>
    <n v="823"/>
    <s v="US-2023-116190"/>
    <x v="164"/>
    <x v="170"/>
    <s v="Standard Class"/>
    <s v="SG-20470"/>
    <x v="322"/>
    <x v="0"/>
    <x v="0"/>
    <s v="Atlanta"/>
    <x v="4"/>
    <n v="30318"/>
    <x v="2"/>
    <s v="OFF-LA-10002762"/>
    <x v="0"/>
    <x v="2"/>
    <s v="Avery 485"/>
    <n v="162.88999999999999"/>
    <n v="13"/>
    <n v="0"/>
    <n v="76.558299999999988"/>
  </r>
  <r>
    <n v="824"/>
    <s v="US-2023-155894"/>
    <x v="164"/>
    <x v="172"/>
    <s v="Second Class"/>
    <s v="CL-11890"/>
    <x v="324"/>
    <x v="0"/>
    <x v="0"/>
    <s v="Chicago"/>
    <x v="1"/>
    <n v="60623"/>
    <x v="0"/>
    <s v="OFF-ST-10004804"/>
    <x v="0"/>
    <x v="3"/>
    <s v="Belkin 19&quot; Vented Equipment Shelf, Black"/>
    <n v="123.55199999999999"/>
    <n v="3"/>
    <n v="0.2"/>
    <n v="-29.343599999999995"/>
  </r>
  <r>
    <n v="825"/>
    <s v="US-2023-159121"/>
    <x v="164"/>
    <x v="170"/>
    <s v="Standard Class"/>
    <s v="JO-15145"/>
    <x v="4"/>
    <x v="2"/>
    <x v="0"/>
    <s v="Draper"/>
    <x v="29"/>
    <n v="84020"/>
    <x v="3"/>
    <s v="TEC-AC-10002006"/>
    <x v="2"/>
    <x v="9"/>
    <s v="Memorex Micro Travel Drive 16 GB"/>
    <n v="111.93"/>
    <n v="7"/>
    <n v="0"/>
    <n v="34.698299999999996"/>
  </r>
  <r>
    <n v="826"/>
    <s v="US-2023-169019"/>
    <x v="164"/>
    <x v="172"/>
    <s v="Standard Class"/>
    <s v="LF-17185"/>
    <x v="323"/>
    <x v="0"/>
    <x v="0"/>
    <s v="San Antonio"/>
    <x v="0"/>
    <n v="78207"/>
    <x v="0"/>
    <s v="TEC-AC-10002076"/>
    <x v="2"/>
    <x v="9"/>
    <s v="Microsoft Natural Keyboard Elite"/>
    <n v="431.13600000000002"/>
    <n v="9"/>
    <n v="0.2"/>
    <n v="-26.946000000000012"/>
  </r>
  <r>
    <n v="827"/>
    <s v="US-2023-126760"/>
    <x v="164"/>
    <x v="171"/>
    <s v="Standard Class"/>
    <s v="KM-16720"/>
    <x v="115"/>
    <x v="0"/>
    <x v="0"/>
    <s v="North Las Vegas"/>
    <x v="19"/>
    <n v="89031"/>
    <x v="3"/>
    <s v="TEC-AC-10004814"/>
    <x v="2"/>
    <x v="9"/>
    <s v="Logitech Illuminated Ultrathin Keyboard with Backlighting"/>
    <n v="170.97"/>
    <n v="3"/>
    <n v="0"/>
    <n v="70.097700000000003"/>
  </r>
  <r>
    <n v="828"/>
    <s v="US-2023-126760"/>
    <x v="164"/>
    <x v="171"/>
    <s v="Standard Class"/>
    <s v="KM-16720"/>
    <x v="115"/>
    <x v="0"/>
    <x v="0"/>
    <s v="North Las Vegas"/>
    <x v="19"/>
    <n v="89031"/>
    <x v="3"/>
    <s v="TEC-PH-10001363"/>
    <x v="2"/>
    <x v="7"/>
    <s v="Apple iPhone 5S"/>
    <n v="911.98400000000004"/>
    <n v="2"/>
    <n v="0.2"/>
    <n v="113.99799999999991"/>
  </r>
  <r>
    <n v="829"/>
    <s v="US-2023-150126"/>
    <x v="165"/>
    <x v="171"/>
    <s v="Standard Class"/>
    <s v="AS-10045"/>
    <x v="325"/>
    <x v="2"/>
    <x v="0"/>
    <s v="New York City"/>
    <x v="21"/>
    <n v="10035"/>
    <x v="1"/>
    <s v="OFF-PA-10002709"/>
    <x v="0"/>
    <x v="0"/>
    <s v="Xerox 1956"/>
    <n v="65.78"/>
    <n v="11"/>
    <n v="0"/>
    <n v="32.232199999999999"/>
  </r>
  <r>
    <n v="830"/>
    <s v="US-2023-169642"/>
    <x v="165"/>
    <x v="172"/>
    <s v="Second Class"/>
    <s v="BB-10990"/>
    <x v="326"/>
    <x v="2"/>
    <x v="0"/>
    <s v="Los Angeles"/>
    <x v="5"/>
    <n v="90036"/>
    <x v="3"/>
    <s v="OFF-ST-10002574"/>
    <x v="0"/>
    <x v="3"/>
    <s v="SAFCO Commercial Wire Shelving, Black"/>
    <n v="276.27999999999997"/>
    <n v="2"/>
    <n v="0"/>
    <n v="0"/>
  </r>
  <r>
    <n v="831"/>
    <s v="US-2023-124709"/>
    <x v="165"/>
    <x v="173"/>
    <s v="Second Class"/>
    <s v="GW-14605"/>
    <x v="60"/>
    <x v="0"/>
    <x v="0"/>
    <s v="San Francisco"/>
    <x v="5"/>
    <n v="94122"/>
    <x v="3"/>
    <s v="TEC-AC-10002842"/>
    <x v="2"/>
    <x v="9"/>
    <s v="WD My Passport Ultra 2TB Portable External Hard Drive"/>
    <n v="238"/>
    <n v="2"/>
    <n v="0"/>
    <n v="38.080000000000013"/>
  </r>
  <r>
    <n v="832"/>
    <s v="US-2023-131541"/>
    <x v="166"/>
    <x v="169"/>
    <s v="Same Day"/>
    <s v="CK-12205"/>
    <x v="75"/>
    <x v="0"/>
    <x v="0"/>
    <s v="Apopka"/>
    <x v="16"/>
    <n v="32712"/>
    <x v="2"/>
    <s v="FUR-FU-10003623"/>
    <x v="1"/>
    <x v="8"/>
    <s v="DataProducts Ampli Magnifier Task Lamp, Black,"/>
    <n v="129.88800000000001"/>
    <n v="6"/>
    <n v="0.2"/>
    <n v="12.988799999999991"/>
  </r>
  <r>
    <n v="833"/>
    <s v="US-2023-131541"/>
    <x v="166"/>
    <x v="169"/>
    <s v="Same Day"/>
    <s v="CK-12205"/>
    <x v="75"/>
    <x v="0"/>
    <x v="0"/>
    <s v="Apopka"/>
    <x v="16"/>
    <n v="32712"/>
    <x v="2"/>
    <s v="OFF-EN-10000781"/>
    <x v="0"/>
    <x v="11"/>
    <s v="#10- 4 1/8&quot; x 9 1/2&quot; Recycled Envelopes"/>
    <n v="48.944000000000003"/>
    <n v="7"/>
    <n v="0.2"/>
    <n v="16.518599999999999"/>
  </r>
  <r>
    <n v="834"/>
    <s v="US-2023-131541"/>
    <x v="166"/>
    <x v="169"/>
    <s v="Same Day"/>
    <s v="CK-12205"/>
    <x v="75"/>
    <x v="0"/>
    <x v="0"/>
    <s v="Apopka"/>
    <x v="16"/>
    <n v="32712"/>
    <x v="2"/>
    <s v="OFF-FA-10000621"/>
    <x v="0"/>
    <x v="6"/>
    <s v="OIC Colored Binder Clips, Assorted Sizes"/>
    <n v="14.320000000000002"/>
    <n v="5"/>
    <n v="0.2"/>
    <n v="5.1910000000000007"/>
  </r>
  <r>
    <n v="835"/>
    <s v="US-2023-111192"/>
    <x v="167"/>
    <x v="174"/>
    <s v="Standard Class"/>
    <s v="TS-21430"/>
    <x v="327"/>
    <x v="2"/>
    <x v="0"/>
    <s v="Seattle"/>
    <x v="23"/>
    <n v="98103"/>
    <x v="3"/>
    <s v="FUR-BO-10002916"/>
    <x v="1"/>
    <x v="10"/>
    <s v="Rush Hierlooms Collection 1&quot; Thick Stackable Bookcases"/>
    <n v="1367.84"/>
    <n v="8"/>
    <n v="0"/>
    <n v="259.88959999999997"/>
  </r>
  <r>
    <n v="836"/>
    <s v="US-2023-117345"/>
    <x v="168"/>
    <x v="174"/>
    <s v="Standard Class"/>
    <s v="BF-10975"/>
    <x v="303"/>
    <x v="2"/>
    <x v="0"/>
    <s v="Charlotte"/>
    <x v="26"/>
    <n v="28205"/>
    <x v="2"/>
    <s v="FUR-FU-10000629"/>
    <x v="1"/>
    <x v="8"/>
    <s v="9-3/4 Diameter Round Wall Clock"/>
    <n v="44.128"/>
    <n v="4"/>
    <n v="0.2"/>
    <n v="12.135200000000001"/>
  </r>
  <r>
    <n v="837"/>
    <s v="US-2023-117345"/>
    <x v="168"/>
    <x v="174"/>
    <s v="Standard Class"/>
    <s v="BF-10975"/>
    <x v="303"/>
    <x v="2"/>
    <x v="0"/>
    <s v="Charlotte"/>
    <x v="26"/>
    <n v="28205"/>
    <x v="2"/>
    <s v="OFF-AP-10001005"/>
    <x v="0"/>
    <x v="12"/>
    <s v="Honeywell Quietcare HEPA Air Cleaner"/>
    <n v="62.920000000000009"/>
    <n v="1"/>
    <n v="0.2"/>
    <n v="10.224499999999994"/>
  </r>
  <r>
    <n v="838"/>
    <s v="US-2023-152296"/>
    <x v="168"/>
    <x v="175"/>
    <s v="First Class"/>
    <s v="IL-15100"/>
    <x v="328"/>
    <x v="0"/>
    <x v="0"/>
    <s v="San Francisco"/>
    <x v="5"/>
    <n v="94122"/>
    <x v="3"/>
    <s v="OFF-BI-10004506"/>
    <x v="0"/>
    <x v="1"/>
    <s v="Wilson Jones data.warehouse D-Ring Binders with DublLock"/>
    <n v="19.752000000000002"/>
    <n v="3"/>
    <n v="0.2"/>
    <n v="6.9131999999999998"/>
  </r>
  <r>
    <n v="839"/>
    <s v="US-2023-162684"/>
    <x v="168"/>
    <x v="176"/>
    <s v="Standard Class"/>
    <s v="AS-10630"/>
    <x v="329"/>
    <x v="1"/>
    <x v="0"/>
    <s v="Philadelphia"/>
    <x v="2"/>
    <n v="19120"/>
    <x v="1"/>
    <s v="OFF-FA-10000992"/>
    <x v="0"/>
    <x v="6"/>
    <s v="Acco Clips to Go Binder Clips, 24 Clips in Two Sizes"/>
    <n v="5.68"/>
    <n v="2"/>
    <n v="0.2"/>
    <n v="1.9169999999999998"/>
  </r>
  <r>
    <n v="840"/>
    <s v="US-2023-117345"/>
    <x v="168"/>
    <x v="174"/>
    <s v="Standard Class"/>
    <s v="BF-10975"/>
    <x v="303"/>
    <x v="2"/>
    <x v="0"/>
    <s v="Charlotte"/>
    <x v="26"/>
    <n v="28205"/>
    <x v="2"/>
    <s v="OFF-LA-10000240"/>
    <x v="0"/>
    <x v="2"/>
    <s v="Self-Adhesive Address Labels for Typewriters by Universal"/>
    <n v="17.544"/>
    <n v="3"/>
    <n v="0.2"/>
    <n v="5.9210999999999983"/>
  </r>
  <r>
    <n v="841"/>
    <s v="US-2023-117345"/>
    <x v="168"/>
    <x v="174"/>
    <s v="Standard Class"/>
    <s v="BF-10975"/>
    <x v="303"/>
    <x v="2"/>
    <x v="0"/>
    <s v="Charlotte"/>
    <x v="26"/>
    <n v="28205"/>
    <x v="2"/>
    <s v="OFF-PA-10002377"/>
    <x v="0"/>
    <x v="0"/>
    <s v="Xerox 1916"/>
    <n v="78.304000000000002"/>
    <n v="2"/>
    <n v="0.2"/>
    <n v="29.363999999999997"/>
  </r>
  <r>
    <n v="842"/>
    <s v="US-2023-106299"/>
    <x v="169"/>
    <x v="177"/>
    <s v="Standard Class"/>
    <s v="NZ-18565"/>
    <x v="330"/>
    <x v="1"/>
    <x v="0"/>
    <s v="Springfield"/>
    <x v="25"/>
    <n v="65807"/>
    <x v="0"/>
    <s v="OFF-BI-10001758"/>
    <x v="0"/>
    <x v="1"/>
    <s v="Wilson Jones 14 Line Acrylic Coated Pressboard Data Binders"/>
    <n v="26.7"/>
    <n v="5"/>
    <n v="0"/>
    <n v="12.548999999999999"/>
  </r>
  <r>
    <n v="843"/>
    <s v="US-2023-106299"/>
    <x v="169"/>
    <x v="177"/>
    <s v="Standard Class"/>
    <s v="NZ-18565"/>
    <x v="330"/>
    <x v="1"/>
    <x v="0"/>
    <s v="Springfield"/>
    <x v="25"/>
    <n v="65807"/>
    <x v="0"/>
    <s v="OFF-ST-10002011"/>
    <x v="0"/>
    <x v="3"/>
    <s v="Smead Adjustable Mobile File Trolley with Lockable Top"/>
    <n v="838.38"/>
    <n v="2"/>
    <n v="0"/>
    <n v="226.36260000000004"/>
  </r>
  <r>
    <n v="844"/>
    <s v="US-2023-106299"/>
    <x v="169"/>
    <x v="177"/>
    <s v="Standard Class"/>
    <s v="NZ-18565"/>
    <x v="330"/>
    <x v="1"/>
    <x v="0"/>
    <s v="Springfield"/>
    <x v="25"/>
    <n v="65807"/>
    <x v="0"/>
    <s v="TEC-AC-10003237"/>
    <x v="2"/>
    <x v="9"/>
    <s v="Memorex Micro Travel Drive 4 GB"/>
    <n v="21.2"/>
    <n v="2"/>
    <n v="0"/>
    <n v="9.1160000000000014"/>
  </r>
  <r>
    <n v="845"/>
    <s v="US-2023-133690"/>
    <x v="170"/>
    <x v="174"/>
    <s v="First Class"/>
    <s v="BS-11755"/>
    <x v="209"/>
    <x v="0"/>
    <x v="0"/>
    <s v="Denver"/>
    <x v="27"/>
    <n v="80219"/>
    <x v="3"/>
    <s v="FUR-TA-10004289"/>
    <x v="1"/>
    <x v="13"/>
    <s v="BoxOffice By Design Rectangular and Half-Moon Meeting Room Tables"/>
    <n v="218.75"/>
    <n v="2"/>
    <n v="0.5"/>
    <n v="-161.875"/>
  </r>
  <r>
    <n v="846"/>
    <s v="US-2023-133690"/>
    <x v="170"/>
    <x v="174"/>
    <s v="First Class"/>
    <s v="BS-11755"/>
    <x v="209"/>
    <x v="0"/>
    <x v="0"/>
    <s v="Denver"/>
    <x v="27"/>
    <n v="80219"/>
    <x v="3"/>
    <s v="OFF-AP-10003622"/>
    <x v="0"/>
    <x v="12"/>
    <s v="Bravo II Megaboss 12-Amp Hard Body Upright, Replacement Belts, 2 Belts per Pack"/>
    <n v="2.6"/>
    <n v="1"/>
    <n v="0.2"/>
    <n v="0.29249999999999987"/>
  </r>
  <r>
    <n v="847"/>
    <s v="US-2023-125612"/>
    <x v="170"/>
    <x v="177"/>
    <s v="Standard Class"/>
    <s v="BK-11260"/>
    <x v="331"/>
    <x v="0"/>
    <x v="0"/>
    <s v="New York City"/>
    <x v="21"/>
    <n v="10035"/>
    <x v="1"/>
    <s v="OFF-PA-10001019"/>
    <x v="0"/>
    <x v="0"/>
    <s v="Xerox 1884"/>
    <n v="39.96"/>
    <n v="2"/>
    <n v="0"/>
    <n v="18.781199999999998"/>
  </r>
  <r>
    <n v="848"/>
    <s v="US-2023-128986"/>
    <x v="170"/>
    <x v="174"/>
    <s v="Second Class"/>
    <s v="GH-14410"/>
    <x v="295"/>
    <x v="1"/>
    <x v="0"/>
    <s v="Glendale"/>
    <x v="12"/>
    <n v="85301"/>
    <x v="3"/>
    <s v="OFF-PA-10001289"/>
    <x v="0"/>
    <x v="0"/>
    <s v="White Computer Printout Paper by Universal"/>
    <n v="93.024000000000001"/>
    <n v="3"/>
    <n v="0.2"/>
    <n v="33.721199999999996"/>
  </r>
  <r>
    <n v="849"/>
    <s v="US-2023-125612"/>
    <x v="170"/>
    <x v="177"/>
    <s v="Standard Class"/>
    <s v="BK-11260"/>
    <x v="331"/>
    <x v="0"/>
    <x v="0"/>
    <s v="New York City"/>
    <x v="21"/>
    <n v="10035"/>
    <x v="1"/>
    <s v="OFF-ST-10003221"/>
    <x v="0"/>
    <x v="3"/>
    <s v="Staple magnet"/>
    <n v="21.36"/>
    <n v="2"/>
    <n v="0"/>
    <n v="5.7672000000000008"/>
  </r>
  <r>
    <n v="850"/>
    <s v="US-2023-125612"/>
    <x v="170"/>
    <x v="177"/>
    <s v="Standard Class"/>
    <s v="BK-11260"/>
    <x v="331"/>
    <x v="0"/>
    <x v="0"/>
    <s v="New York City"/>
    <x v="21"/>
    <n v="10035"/>
    <x v="1"/>
    <s v="OFF-SU-10002537"/>
    <x v="0"/>
    <x v="14"/>
    <s v="Acme Box Cutter Scissors"/>
    <n v="102.30000000000001"/>
    <n v="10"/>
    <n v="0"/>
    <n v="26.598000000000006"/>
  </r>
  <r>
    <n v="851"/>
    <s v="US-2023-134215"/>
    <x v="171"/>
    <x v="177"/>
    <s v="Standard Class"/>
    <s v="ML-17395"/>
    <x v="44"/>
    <x v="2"/>
    <x v="0"/>
    <s v="Bangor"/>
    <x v="46"/>
    <n v="4401"/>
    <x v="1"/>
    <s v="OFF-AP-10001271"/>
    <x v="0"/>
    <x v="12"/>
    <s v="Eureka The Boss Cordless Rechargeable Stick Vac"/>
    <n v="101.96"/>
    <n v="2"/>
    <n v="0"/>
    <n v="27.529200000000003"/>
  </r>
  <r>
    <n v="852"/>
    <s v="US-2023-126361"/>
    <x v="171"/>
    <x v="178"/>
    <s v="Second Class"/>
    <s v="VD-21670"/>
    <x v="332"/>
    <x v="0"/>
    <x v="0"/>
    <s v="Pleasant Grove"/>
    <x v="29"/>
    <n v="84062"/>
    <x v="3"/>
    <s v="OFF-AP-10003590"/>
    <x v="0"/>
    <x v="12"/>
    <s v="Hoover WindTunnel Plus Canister Vacuum"/>
    <n v="1089.75"/>
    <n v="3"/>
    <n v="0"/>
    <n v="305.13000000000011"/>
  </r>
  <r>
    <n v="853"/>
    <s v="US-2023-126361"/>
    <x v="171"/>
    <x v="178"/>
    <s v="Second Class"/>
    <s v="VD-21670"/>
    <x v="332"/>
    <x v="0"/>
    <x v="0"/>
    <s v="Pleasant Grove"/>
    <x v="29"/>
    <n v="84062"/>
    <x v="3"/>
    <s v="OFF-AR-10000896"/>
    <x v="0"/>
    <x v="4"/>
    <s v="Newell 329"/>
    <n v="16.399999999999999"/>
    <n v="5"/>
    <n v="0"/>
    <n v="4.2639999999999993"/>
  </r>
  <r>
    <n v="854"/>
    <s v="US-2023-126361"/>
    <x v="171"/>
    <x v="178"/>
    <s v="Second Class"/>
    <s v="VD-21670"/>
    <x v="332"/>
    <x v="0"/>
    <x v="0"/>
    <s v="Pleasant Grove"/>
    <x v="29"/>
    <n v="84062"/>
    <x v="3"/>
    <s v="OFF-BI-10002852"/>
    <x v="0"/>
    <x v="1"/>
    <s v="Ibico Standard Transparent Covers"/>
    <n v="13.184000000000001"/>
    <n v="1"/>
    <n v="0.2"/>
    <n v="4.7792000000000003"/>
  </r>
  <r>
    <n v="855"/>
    <s v="US-2023-126361"/>
    <x v="171"/>
    <x v="178"/>
    <s v="Second Class"/>
    <s v="VD-21670"/>
    <x v="332"/>
    <x v="0"/>
    <x v="0"/>
    <s v="Pleasant Grove"/>
    <x v="29"/>
    <n v="84062"/>
    <x v="3"/>
    <s v="OFF-PA-10000806"/>
    <x v="0"/>
    <x v="0"/>
    <s v="Xerox 1934"/>
    <n v="447.84"/>
    <n v="8"/>
    <n v="0"/>
    <n v="219.44159999999999"/>
  </r>
  <r>
    <n v="856"/>
    <s v="US-2023-134215"/>
    <x v="171"/>
    <x v="177"/>
    <s v="Standard Class"/>
    <s v="ML-17395"/>
    <x v="44"/>
    <x v="2"/>
    <x v="0"/>
    <s v="Bangor"/>
    <x v="46"/>
    <n v="4401"/>
    <x v="1"/>
    <s v="OFF-PA-10004353"/>
    <x v="0"/>
    <x v="0"/>
    <s v="Southworth 25% Cotton Premium Laser Paper and Envelopes"/>
    <n v="259.74"/>
    <n v="13"/>
    <n v="0"/>
    <n v="124.6752"/>
  </r>
  <r>
    <n v="857"/>
    <s v="US-2023-126361"/>
    <x v="171"/>
    <x v="178"/>
    <s v="Second Class"/>
    <s v="VD-21670"/>
    <x v="332"/>
    <x v="0"/>
    <x v="0"/>
    <s v="Pleasant Grove"/>
    <x v="29"/>
    <n v="84062"/>
    <x v="3"/>
    <s v="OFF-ST-10002289"/>
    <x v="0"/>
    <x v="3"/>
    <s v="Safco Wire Cube Shelving System, For Use as 4 or 5 14&quot; Cubes, Black"/>
    <n v="158.9"/>
    <n v="5"/>
    <n v="0"/>
    <n v="7.9449999999999932"/>
  </r>
  <r>
    <n v="858"/>
    <s v="US-2023-134215"/>
    <x v="171"/>
    <x v="177"/>
    <s v="Standard Class"/>
    <s v="ML-17395"/>
    <x v="44"/>
    <x v="2"/>
    <x v="0"/>
    <s v="Bangor"/>
    <x v="46"/>
    <n v="4401"/>
    <x v="1"/>
    <s v="TEC-AC-10002473"/>
    <x v="2"/>
    <x v="9"/>
    <s v="Maxell 4.7GB DVD-R"/>
    <n v="255.42"/>
    <n v="9"/>
    <n v="0"/>
    <n v="104.7222"/>
  </r>
  <r>
    <n v="859"/>
    <s v="US-2023-126361"/>
    <x v="171"/>
    <x v="178"/>
    <s v="Second Class"/>
    <s v="VD-21670"/>
    <x v="332"/>
    <x v="0"/>
    <x v="0"/>
    <s v="Pleasant Grove"/>
    <x v="29"/>
    <n v="84062"/>
    <x v="3"/>
    <s v="TEC-PH-10002310"/>
    <x v="2"/>
    <x v="7"/>
    <s v="Panasonic KX T7731-B Digital phone"/>
    <n v="399.96000000000004"/>
    <n v="5"/>
    <n v="0.2"/>
    <n v="34.996499999999969"/>
  </r>
  <r>
    <n v="860"/>
    <s v="US-2023-117968"/>
    <x v="172"/>
    <x v="179"/>
    <s v="Second Class"/>
    <s v="RS-19420"/>
    <x v="333"/>
    <x v="2"/>
    <x v="0"/>
    <s v="Meriden"/>
    <x v="39"/>
    <n v="6450"/>
    <x v="1"/>
    <s v="FUR-CH-10002335"/>
    <x v="1"/>
    <x v="5"/>
    <s v="Hon GuestStacker Chair"/>
    <n v="1133.3499999999999"/>
    <n v="5"/>
    <n v="0"/>
    <n v="294.67100000000005"/>
  </r>
  <r>
    <n v="861"/>
    <s v="US-2023-118962"/>
    <x v="172"/>
    <x v="178"/>
    <s v="Standard Class"/>
    <s v="CS-12130"/>
    <x v="334"/>
    <x v="0"/>
    <x v="0"/>
    <s v="Los Angeles"/>
    <x v="5"/>
    <n v="90004"/>
    <x v="3"/>
    <s v="FUR-CH-10003817"/>
    <x v="1"/>
    <x v="5"/>
    <s v="Global Value Steno Chair, Gray"/>
    <n v="340.14400000000006"/>
    <n v="7"/>
    <n v="0.2"/>
    <n v="21.259"/>
  </r>
  <r>
    <n v="862"/>
    <s v="US-2023-124723"/>
    <x v="172"/>
    <x v="180"/>
    <s v="Standard Class"/>
    <s v="GZ-14470"/>
    <x v="335"/>
    <x v="0"/>
    <x v="0"/>
    <s v="Texas City"/>
    <x v="0"/>
    <n v="77590"/>
    <x v="0"/>
    <s v="FUR-TA-10001307"/>
    <x v="1"/>
    <x v="13"/>
    <s v="SAFCO PlanMaster Heigh-Adjustable Drafting Table Base, 43w x 30d x 30-37h, Black"/>
    <n v="489.22999999999996"/>
    <n v="2"/>
    <n v="0.3"/>
    <n v="41.933999999999997"/>
  </r>
  <r>
    <n v="863"/>
    <s v="US-2023-117968"/>
    <x v="172"/>
    <x v="179"/>
    <s v="Second Class"/>
    <s v="RS-19420"/>
    <x v="333"/>
    <x v="2"/>
    <x v="0"/>
    <s v="Meriden"/>
    <x v="39"/>
    <n v="6450"/>
    <x v="1"/>
    <s v="OFF-AP-10002765"/>
    <x v="0"/>
    <x v="12"/>
    <s v="Fellowes Advanced Computer Series Surge Protectors"/>
    <n v="79.47"/>
    <n v="3"/>
    <n v="0"/>
    <n v="22.251600000000003"/>
  </r>
  <r>
    <n v="864"/>
    <s v="US-2023-117968"/>
    <x v="172"/>
    <x v="179"/>
    <s v="Second Class"/>
    <s v="RS-19420"/>
    <x v="333"/>
    <x v="2"/>
    <x v="0"/>
    <s v="Meriden"/>
    <x v="39"/>
    <n v="6450"/>
    <x v="1"/>
    <s v="OFF-AR-10004165"/>
    <x v="0"/>
    <x v="4"/>
    <s v="Binney &amp; Smith inkTank Erasable Pocket Highlighter, Chisel Tip, Yellow"/>
    <n v="4.5599999999999996"/>
    <n v="2"/>
    <n v="0"/>
    <n v="2.0064000000000002"/>
  </r>
  <r>
    <n v="865"/>
    <s v="US-2023-110065"/>
    <x v="172"/>
    <x v="181"/>
    <s v="Standard Class"/>
    <s v="SP-20650"/>
    <x v="155"/>
    <x v="2"/>
    <x v="0"/>
    <s v="New York City"/>
    <x v="21"/>
    <n v="10009"/>
    <x v="1"/>
    <s v="OFF-AR-10004165"/>
    <x v="0"/>
    <x v="4"/>
    <s v="Binney &amp; Smith inkTank Erasable Pocket Highlighter, Chisel Tip, Yellow"/>
    <n v="15.959999999999999"/>
    <n v="7"/>
    <n v="0"/>
    <n v="7.0224000000000011"/>
  </r>
  <r>
    <n v="866"/>
    <s v="US-2023-150490"/>
    <x v="172"/>
    <x v="181"/>
    <s v="Standard Class"/>
    <s v="SS-20590"/>
    <x v="336"/>
    <x v="0"/>
    <x v="0"/>
    <s v="San Francisco"/>
    <x v="5"/>
    <n v="94122"/>
    <x v="3"/>
    <s v="OFF-AR-10004602"/>
    <x v="0"/>
    <x v="4"/>
    <s v="Boston KS Multi-Size Manual Pencil Sharpener"/>
    <n v="45.98"/>
    <n v="2"/>
    <n v="0"/>
    <n v="12.874400000000001"/>
  </r>
  <r>
    <n v="867"/>
    <s v="US-2023-118962"/>
    <x v="172"/>
    <x v="178"/>
    <s v="Standard Class"/>
    <s v="CS-12130"/>
    <x v="334"/>
    <x v="0"/>
    <x v="0"/>
    <s v="Los Angeles"/>
    <x v="5"/>
    <n v="90004"/>
    <x v="3"/>
    <s v="OFF-PA-10000659"/>
    <x v="0"/>
    <x v="0"/>
    <s v="Adams Phone Message Book, Professional, 400 Message Capacity, 5 3/6” x 11”"/>
    <n v="20.94"/>
    <n v="3"/>
    <n v="0"/>
    <n v="9.841800000000001"/>
  </r>
  <r>
    <n v="868"/>
    <s v="US-2023-118962"/>
    <x v="172"/>
    <x v="178"/>
    <s v="Standard Class"/>
    <s v="CS-12130"/>
    <x v="334"/>
    <x v="0"/>
    <x v="0"/>
    <s v="Los Angeles"/>
    <x v="5"/>
    <n v="90004"/>
    <x v="3"/>
    <s v="OFF-PA-10001144"/>
    <x v="0"/>
    <x v="0"/>
    <s v="Xerox 1913"/>
    <n v="110.96"/>
    <n v="2"/>
    <n v="0"/>
    <n v="53.260799999999996"/>
  </r>
  <r>
    <n v="869"/>
    <s v="US-2023-150490"/>
    <x v="172"/>
    <x v="181"/>
    <s v="Standard Class"/>
    <s v="SS-20590"/>
    <x v="336"/>
    <x v="0"/>
    <x v="0"/>
    <s v="San Francisco"/>
    <x v="5"/>
    <n v="94122"/>
    <x v="3"/>
    <s v="OFF-ST-10000321"/>
    <x v="0"/>
    <x v="3"/>
    <s v="Akro Stacking Bins"/>
    <n v="15.78"/>
    <n v="2"/>
    <n v="0"/>
    <n v="0.63119999999999798"/>
  </r>
  <r>
    <n v="870"/>
    <s v="US-2023-150490"/>
    <x v="172"/>
    <x v="181"/>
    <s v="Standard Class"/>
    <s v="SS-20590"/>
    <x v="336"/>
    <x v="0"/>
    <x v="0"/>
    <s v="San Francisco"/>
    <x v="5"/>
    <n v="94122"/>
    <x v="3"/>
    <s v="TEC-AC-10004510"/>
    <x v="2"/>
    <x v="9"/>
    <s v="Logitech Desktop MK120 Mouse and keyboard Combo"/>
    <n v="16.36"/>
    <n v="1"/>
    <n v="0"/>
    <n v="1.6359999999999992"/>
  </r>
  <r>
    <n v="871"/>
    <s v="US-2023-110065"/>
    <x v="172"/>
    <x v="181"/>
    <s v="Standard Class"/>
    <s v="SP-20650"/>
    <x v="155"/>
    <x v="2"/>
    <x v="0"/>
    <s v="New York City"/>
    <x v="21"/>
    <n v="10009"/>
    <x v="1"/>
    <s v="TEC-PH-10002468"/>
    <x v="2"/>
    <x v="7"/>
    <s v="Plantronics CS 50-USB - headset - Convertible, Monaural"/>
    <n v="135.99"/>
    <n v="1"/>
    <n v="0"/>
    <n v="36.717300000000009"/>
  </r>
  <r>
    <n v="872"/>
    <s v="US-2023-115357"/>
    <x v="173"/>
    <x v="181"/>
    <s v="Second Class"/>
    <s v="RF-19735"/>
    <x v="337"/>
    <x v="0"/>
    <x v="0"/>
    <s v="Columbia"/>
    <x v="8"/>
    <n v="29203"/>
    <x v="2"/>
    <s v="TEC-AC-10000023"/>
    <x v="2"/>
    <x v="9"/>
    <s v="Maxell 74 Minute CD-R Spindle, 50/Pack"/>
    <n v="62.91"/>
    <n v="3"/>
    <n v="0"/>
    <n v="22.647599999999997"/>
  </r>
  <r>
    <n v="873"/>
    <s v="US-2023-137575"/>
    <x v="173"/>
    <x v="181"/>
    <s v="Standard Class"/>
    <s v="TB-21625"/>
    <x v="338"/>
    <x v="0"/>
    <x v="0"/>
    <s v="New York City"/>
    <x v="21"/>
    <n v="10035"/>
    <x v="1"/>
    <s v="TEC-AC-10004571"/>
    <x v="2"/>
    <x v="9"/>
    <s v="Logitech G700s Rechargeable Gaming Mouse"/>
    <n v="199.98"/>
    <n v="2"/>
    <n v="0"/>
    <n v="83.991600000000005"/>
  </r>
  <r>
    <n v="874"/>
    <s v="US-2023-156790"/>
    <x v="174"/>
    <x v="182"/>
    <s v="Second Class"/>
    <s v="VG-21790"/>
    <x v="339"/>
    <x v="0"/>
    <x v="0"/>
    <s v="Jacksonville"/>
    <x v="16"/>
    <n v="32216"/>
    <x v="2"/>
    <s v="FUR-BO-10000468"/>
    <x v="1"/>
    <x v="10"/>
    <s v="O'Sullivan 2-Shelf Heavy-Duty Bookcases"/>
    <n v="155.45600000000002"/>
    <n v="4"/>
    <n v="0.2"/>
    <n v="-7.7727999999999895"/>
  </r>
  <r>
    <n v="875"/>
    <s v="US-2023-151708"/>
    <x v="174"/>
    <x v="183"/>
    <s v="Standard Class"/>
    <s v="MB-17305"/>
    <x v="340"/>
    <x v="0"/>
    <x v="0"/>
    <s v="Glendale"/>
    <x v="12"/>
    <n v="85301"/>
    <x v="3"/>
    <s v="FUR-FU-10001602"/>
    <x v="1"/>
    <x v="8"/>
    <s v="Eldon Delta Triangular Chair Mat, 52&quot; x 58&quot;, Clear"/>
    <n v="121.376"/>
    <n v="4"/>
    <n v="0.2"/>
    <n v="-3.0344000000000122"/>
  </r>
  <r>
    <n v="876"/>
    <s v="US-2023-131450"/>
    <x v="174"/>
    <x v="184"/>
    <s v="Standard Class"/>
    <s v="LR-16915"/>
    <x v="341"/>
    <x v="0"/>
    <x v="0"/>
    <s v="San Diego"/>
    <x v="5"/>
    <n v="92024"/>
    <x v="3"/>
    <s v="FUR-FU-10001979"/>
    <x v="1"/>
    <x v="8"/>
    <s v="Dana Halogen Swing-Arm Architect Lamp"/>
    <n v="327.76"/>
    <n v="8"/>
    <n v="0"/>
    <n v="91.772800000000018"/>
  </r>
  <r>
    <n v="877"/>
    <s v="US-2023-124478"/>
    <x v="174"/>
    <x v="180"/>
    <s v="Standard Class"/>
    <s v="MA-17560"/>
    <x v="342"/>
    <x v="1"/>
    <x v="0"/>
    <s v="Trenton"/>
    <x v="14"/>
    <n v="48183"/>
    <x v="0"/>
    <s v="FUR-FU-10002088"/>
    <x v="1"/>
    <x v="8"/>
    <s v="Nu-Dell Float Frame 11 x 14 1/2"/>
    <n v="53.88"/>
    <n v="6"/>
    <n v="0"/>
    <n v="22.629600000000003"/>
  </r>
  <r>
    <n v="878"/>
    <s v="US-2023-124478"/>
    <x v="174"/>
    <x v="180"/>
    <s v="Standard Class"/>
    <s v="MA-17560"/>
    <x v="342"/>
    <x v="1"/>
    <x v="0"/>
    <s v="Trenton"/>
    <x v="14"/>
    <n v="48183"/>
    <x v="0"/>
    <s v="OFF-AP-10002495"/>
    <x v="0"/>
    <x v="12"/>
    <s v="Acco Smartsocket Table Surge Protector, 6 Color-Coded Adapter Outlets"/>
    <n v="167.535"/>
    <n v="3"/>
    <n v="0.1"/>
    <n v="37.229999999999983"/>
  </r>
  <r>
    <n v="879"/>
    <s v="US-2023-131450"/>
    <x v="174"/>
    <x v="184"/>
    <s v="Standard Class"/>
    <s v="LR-16915"/>
    <x v="341"/>
    <x v="0"/>
    <x v="0"/>
    <s v="San Diego"/>
    <x v="5"/>
    <n v="92024"/>
    <x v="3"/>
    <s v="OFF-AP-10004708"/>
    <x v="0"/>
    <x v="12"/>
    <s v="Fellowes Superior 10 Outlet Split Surge Protector"/>
    <n v="76.12"/>
    <n v="2"/>
    <n v="0"/>
    <n v="22.074799999999996"/>
  </r>
  <r>
    <n v="880"/>
    <s v="US-2023-124478"/>
    <x v="174"/>
    <x v="180"/>
    <s v="Standard Class"/>
    <s v="MA-17560"/>
    <x v="342"/>
    <x v="1"/>
    <x v="0"/>
    <s v="Trenton"/>
    <x v="14"/>
    <n v="48183"/>
    <x v="0"/>
    <s v="OFF-EN-10002500"/>
    <x v="0"/>
    <x v="11"/>
    <s v="Globe Weis Peel &amp; Seel First Class Envelopes"/>
    <n v="38.339999999999996"/>
    <n v="3"/>
    <n v="0"/>
    <n v="17.253"/>
  </r>
  <r>
    <n v="881"/>
    <s v="US-2023-154669"/>
    <x v="174"/>
    <x v="181"/>
    <s v="Second Class"/>
    <s v="TM-21010"/>
    <x v="52"/>
    <x v="0"/>
    <x v="0"/>
    <s v="Vacaville"/>
    <x v="5"/>
    <n v="95687"/>
    <x v="3"/>
    <s v="OFF-ST-10000532"/>
    <x v="0"/>
    <x v="3"/>
    <s v="Advantus Rolling Drawer Organizers"/>
    <n v="423.28"/>
    <n v="11"/>
    <n v="0"/>
    <n v="110.05279999999999"/>
  </r>
  <r>
    <n v="882"/>
    <s v="US-2023-151708"/>
    <x v="174"/>
    <x v="183"/>
    <s v="Standard Class"/>
    <s v="MB-17305"/>
    <x v="340"/>
    <x v="0"/>
    <x v="0"/>
    <s v="Glendale"/>
    <x v="12"/>
    <n v="85301"/>
    <x v="3"/>
    <s v="TEC-AC-10001767"/>
    <x v="2"/>
    <x v="9"/>
    <s v="SanDisk Ultra 64 GB MicroSDHC Class 10 Memory Card"/>
    <n v="95.976000000000013"/>
    <n v="3"/>
    <n v="0.2"/>
    <n v="-10.797300000000011"/>
  </r>
  <r>
    <n v="883"/>
    <s v="US-2023-124478"/>
    <x v="174"/>
    <x v="180"/>
    <s v="Standard Class"/>
    <s v="MA-17560"/>
    <x v="342"/>
    <x v="1"/>
    <x v="0"/>
    <s v="Trenton"/>
    <x v="14"/>
    <n v="48183"/>
    <x v="0"/>
    <s v="TEC-CO-10001571"/>
    <x v="2"/>
    <x v="16"/>
    <s v="Sharp 1540cs Digital Laser Copier"/>
    <n v="549.99"/>
    <n v="1"/>
    <n v="0"/>
    <n v="274.995"/>
  </r>
  <r>
    <n v="884"/>
    <s v="US-2023-131450"/>
    <x v="174"/>
    <x v="184"/>
    <s v="Standard Class"/>
    <s v="LR-16915"/>
    <x v="341"/>
    <x v="0"/>
    <x v="0"/>
    <s v="San Diego"/>
    <x v="5"/>
    <n v="92024"/>
    <x v="3"/>
    <s v="TEC-CO-10004115"/>
    <x v="2"/>
    <x v="16"/>
    <s v="Sharp AL-1530CS Digital Copier"/>
    <n v="1199.9760000000001"/>
    <n v="3"/>
    <n v="0.2"/>
    <n v="434.99130000000002"/>
  </r>
  <r>
    <n v="885"/>
    <s v="US-2023-124478"/>
    <x v="174"/>
    <x v="180"/>
    <s v="Standard Class"/>
    <s v="MA-17560"/>
    <x v="342"/>
    <x v="1"/>
    <x v="0"/>
    <s v="Trenton"/>
    <x v="14"/>
    <n v="48183"/>
    <x v="0"/>
    <s v="TEC-PH-10001128"/>
    <x v="2"/>
    <x v="7"/>
    <s v="Motorola Droid Maxx"/>
    <n v="299.98"/>
    <n v="2"/>
    <n v="0"/>
    <n v="83.994400000000013"/>
  </r>
  <r>
    <n v="886"/>
    <s v="US-2023-131450"/>
    <x v="174"/>
    <x v="184"/>
    <s v="Standard Class"/>
    <s v="LR-16915"/>
    <x v="341"/>
    <x v="0"/>
    <x v="0"/>
    <s v="San Diego"/>
    <x v="5"/>
    <n v="92024"/>
    <x v="3"/>
    <s v="TEC-PH-10002398"/>
    <x v="2"/>
    <x v="7"/>
    <s v="AT&amp;T 1070 Corded Phone"/>
    <n v="445.96000000000004"/>
    <n v="5"/>
    <n v="0.2"/>
    <n v="55.744999999999948"/>
  </r>
  <r>
    <n v="887"/>
    <s v="CA-2023-129322"/>
    <x v="174"/>
    <x v="182"/>
    <s v="Second Class"/>
    <s v="DB-13405"/>
    <x v="343"/>
    <x v="0"/>
    <x v="1"/>
    <s v="Toronto"/>
    <x v="17"/>
    <s v="M5H"/>
    <x v="1"/>
    <s v="OFF-AP-10004336"/>
    <x v="0"/>
    <x v="12"/>
    <s v="Conquest 14 Commercial Heavy-Duty Upright Vacuum, Collection System, Accessory Kit"/>
    <n v="113.92"/>
    <n v="2"/>
    <n v="0"/>
    <n v="33.04"/>
  </r>
  <r>
    <n v="888"/>
    <s v="CA-2023-129322"/>
    <x v="174"/>
    <x v="182"/>
    <s v="Second Class"/>
    <s v="DB-13405"/>
    <x v="343"/>
    <x v="0"/>
    <x v="1"/>
    <s v="Toronto"/>
    <x v="17"/>
    <s v="M5H"/>
    <x v="1"/>
    <s v="OFF-AR-10004587"/>
    <x v="0"/>
    <x v="4"/>
    <s v="Boston 1827 Commercial Additional Cutter, Drive Gear &amp; Gear Rack for 1606"/>
    <n v="39.659999999999997"/>
    <n v="2"/>
    <n v="0"/>
    <n v="11.9"/>
  </r>
  <r>
    <n v="889"/>
    <s v="CA-2023-129322"/>
    <x v="174"/>
    <x v="182"/>
    <s v="Second Class"/>
    <s v="DB-13405"/>
    <x v="343"/>
    <x v="0"/>
    <x v="1"/>
    <s v="Toronto"/>
    <x v="17"/>
    <s v="M5H"/>
    <x v="1"/>
    <s v="OFF-BI-10001718"/>
    <x v="0"/>
    <x v="1"/>
    <s v="GBC DocuBind P50 Personal Binding Machine"/>
    <n v="447.86"/>
    <n v="7"/>
    <n v="0"/>
    <n v="210.49"/>
  </r>
  <r>
    <n v="890"/>
    <s v="US-2023-161249"/>
    <x v="175"/>
    <x v="185"/>
    <s v="Standard Class"/>
    <s v="RD-19720"/>
    <x v="313"/>
    <x v="0"/>
    <x v="0"/>
    <s v="Phoenix"/>
    <x v="12"/>
    <n v="85023"/>
    <x v="3"/>
    <s v="OFF-BI-10001097"/>
    <x v="0"/>
    <x v="1"/>
    <s v="Avery Hole Reinforcements"/>
    <n v="9.3450000000000024"/>
    <n v="5"/>
    <n v="0.7"/>
    <n v="-6.5414999999999992"/>
  </r>
  <r>
    <n v="891"/>
    <s v="US-2023-169726"/>
    <x v="175"/>
    <x v="185"/>
    <s v="Standard Class"/>
    <s v="JH-15985"/>
    <x v="344"/>
    <x v="0"/>
    <x v="0"/>
    <s v="Seattle"/>
    <x v="23"/>
    <n v="98103"/>
    <x v="3"/>
    <s v="OFF-BI-10004600"/>
    <x v="0"/>
    <x v="1"/>
    <s v="Ibico Ibimaster 300 Manual Binding System"/>
    <n v="2060.7440000000001"/>
    <n v="7"/>
    <n v="0.2"/>
    <n v="643.98249999999996"/>
  </r>
  <r>
    <n v="892"/>
    <s v="US-2023-161249"/>
    <x v="175"/>
    <x v="185"/>
    <s v="Standard Class"/>
    <s v="RD-19720"/>
    <x v="313"/>
    <x v="0"/>
    <x v="0"/>
    <s v="Phoenix"/>
    <x v="12"/>
    <n v="85023"/>
    <x v="3"/>
    <s v="OFF-FA-10004838"/>
    <x v="0"/>
    <x v="6"/>
    <s v="Super Bands, 12/Pack"/>
    <n v="4.4640000000000004"/>
    <n v="3"/>
    <n v="0.2"/>
    <n v="-0.94859999999999989"/>
  </r>
  <r>
    <n v="893"/>
    <s v="US-2023-110527"/>
    <x v="175"/>
    <x v="186"/>
    <s v="Standard Class"/>
    <s v="ED-13885"/>
    <x v="345"/>
    <x v="1"/>
    <x v="0"/>
    <s v="San Diego"/>
    <x v="5"/>
    <n v="92037"/>
    <x v="3"/>
    <s v="OFF-LA-10000262"/>
    <x v="0"/>
    <x v="2"/>
    <s v="Avery 494"/>
    <n v="20.88"/>
    <n v="8"/>
    <n v="0"/>
    <n v="9.6047999999999991"/>
  </r>
  <r>
    <n v="894"/>
    <s v="US-2023-141901"/>
    <x v="175"/>
    <x v="183"/>
    <s v="Standard Class"/>
    <s v="GM-14500"/>
    <x v="346"/>
    <x v="0"/>
    <x v="0"/>
    <s v="Fresno"/>
    <x v="5"/>
    <n v="93727"/>
    <x v="3"/>
    <s v="OFF-PA-10001667"/>
    <x v="0"/>
    <x v="0"/>
    <s v="Great White Multi-Use Recycled Paper (20Lb. and 84 Bright)"/>
    <n v="5.98"/>
    <n v="1"/>
    <n v="0"/>
    <n v="2.6909999999999998"/>
  </r>
  <r>
    <n v="895"/>
    <s v="US-2023-167850"/>
    <x v="175"/>
    <x v="186"/>
    <s v="Standard Class"/>
    <s v="AG-10525"/>
    <x v="347"/>
    <x v="2"/>
    <x v="0"/>
    <s v="Saint Petersburg"/>
    <x v="16"/>
    <n v="33710"/>
    <x v="2"/>
    <s v="OFF-PA-10001937"/>
    <x v="0"/>
    <x v="0"/>
    <s v="Xerox 21"/>
    <n v="15.552000000000003"/>
    <n v="3"/>
    <n v="0.2"/>
    <n v="5.4432"/>
  </r>
  <r>
    <n v="896"/>
    <s v="US-2023-166471"/>
    <x v="175"/>
    <x v="185"/>
    <s v="Standard Class"/>
    <s v="MG-17650"/>
    <x v="348"/>
    <x v="1"/>
    <x v="0"/>
    <s v="Seattle"/>
    <x v="23"/>
    <n v="98103"/>
    <x v="3"/>
    <s v="TEC-PH-10000038"/>
    <x v="2"/>
    <x v="7"/>
    <s v="Jawbone MINI JAMBOX Wireless Bluetooth Speaker"/>
    <n v="219.16800000000001"/>
    <n v="2"/>
    <n v="0.2"/>
    <n v="-43.833600000000018"/>
  </r>
  <r>
    <n v="897"/>
    <s v="US-2023-166471"/>
    <x v="175"/>
    <x v="185"/>
    <s v="Standard Class"/>
    <s v="MG-17650"/>
    <x v="348"/>
    <x v="1"/>
    <x v="0"/>
    <s v="Seattle"/>
    <x v="23"/>
    <n v="98103"/>
    <x v="3"/>
    <s v="TEC-PH-10001530"/>
    <x v="2"/>
    <x v="7"/>
    <s v="Cisco Unified IP Phone 7945G VoIP phone"/>
    <n v="1091.1680000000001"/>
    <n v="4"/>
    <n v="0.2"/>
    <n v="68.197999999999979"/>
  </r>
  <r>
    <n v="898"/>
    <s v="US-2023-167850"/>
    <x v="175"/>
    <x v="186"/>
    <s v="Standard Class"/>
    <s v="AG-10525"/>
    <x v="347"/>
    <x v="2"/>
    <x v="0"/>
    <s v="Saint Petersburg"/>
    <x v="16"/>
    <n v="33710"/>
    <x v="2"/>
    <s v="TEC-PH-10002398"/>
    <x v="2"/>
    <x v="7"/>
    <s v="AT&amp;T 1070 Corded Phone"/>
    <n v="178.38400000000001"/>
    <n v="2"/>
    <n v="0.2"/>
    <n v="22.297999999999973"/>
  </r>
  <r>
    <n v="899"/>
    <s v="US-2023-127012"/>
    <x v="176"/>
    <x v="184"/>
    <s v="Standard Class"/>
    <s v="GM-14680"/>
    <x v="194"/>
    <x v="0"/>
    <x v="0"/>
    <s v="Seattle"/>
    <x v="23"/>
    <n v="98105"/>
    <x v="3"/>
    <s v="FUR-FU-10003691"/>
    <x v="1"/>
    <x v="8"/>
    <s v="Eldon Image Series Desk Accessories, Ebony"/>
    <n v="12.35"/>
    <n v="1"/>
    <n v="0"/>
    <n v="5.4340000000000002"/>
  </r>
  <r>
    <n v="900"/>
    <s v="US-2023-127012"/>
    <x v="176"/>
    <x v="184"/>
    <s v="Standard Class"/>
    <s v="GM-14680"/>
    <x v="194"/>
    <x v="0"/>
    <x v="0"/>
    <s v="Seattle"/>
    <x v="23"/>
    <n v="98105"/>
    <x v="3"/>
    <s v="OFF-AR-10003903"/>
    <x v="0"/>
    <x v="4"/>
    <s v="Sanford 52201 APSCO Electric Pencil Sharpener"/>
    <n v="40.97"/>
    <n v="1"/>
    <n v="0"/>
    <n v="10.652200000000001"/>
  </r>
  <r>
    <n v="901"/>
    <s v="US-2023-127012"/>
    <x v="176"/>
    <x v="184"/>
    <s v="Standard Class"/>
    <s v="GM-14680"/>
    <x v="194"/>
    <x v="0"/>
    <x v="0"/>
    <s v="Seattle"/>
    <x v="23"/>
    <n v="98105"/>
    <x v="3"/>
    <s v="OFF-FA-10004854"/>
    <x v="0"/>
    <x v="6"/>
    <s v="Vinyl Coated Wire Paper Clips in Organizer Box, 800/Box"/>
    <n v="22.96"/>
    <n v="2"/>
    <n v="0"/>
    <n v="10.7912"/>
  </r>
  <r>
    <n v="902"/>
    <s v="US-2023-154641"/>
    <x v="176"/>
    <x v="186"/>
    <s v="Standard Class"/>
    <s v="KL-16645"/>
    <x v="321"/>
    <x v="0"/>
    <x v="0"/>
    <s v="New York City"/>
    <x v="21"/>
    <n v="10035"/>
    <x v="1"/>
    <s v="OFF-ST-10004459"/>
    <x v="0"/>
    <x v="3"/>
    <s v="Tennsco Single-Tier Lockers"/>
    <n v="375.34"/>
    <n v="1"/>
    <n v="0"/>
    <n v="18.766999999999996"/>
  </r>
  <r>
    <n v="903"/>
    <s v="US-2023-109897"/>
    <x v="177"/>
    <x v="186"/>
    <s v="Standard Class"/>
    <s v="BW-11200"/>
    <x v="349"/>
    <x v="0"/>
    <x v="0"/>
    <s v="San Francisco"/>
    <x v="5"/>
    <n v="94122"/>
    <x v="3"/>
    <s v="FUR-FU-10002878"/>
    <x v="1"/>
    <x v="8"/>
    <s v="Seth Thomas 14&quot; Day/Date Wall Clock"/>
    <n v="85.44"/>
    <n v="3"/>
    <n v="0"/>
    <n v="31.612800000000004"/>
  </r>
  <r>
    <n v="904"/>
    <s v="US-2023-156244"/>
    <x v="177"/>
    <x v="186"/>
    <s v="Standard Class"/>
    <s v="DH-13675"/>
    <x v="350"/>
    <x v="1"/>
    <x v="0"/>
    <s v="Miami"/>
    <x v="16"/>
    <n v="33180"/>
    <x v="2"/>
    <s v="OFF-AP-10002403"/>
    <x v="0"/>
    <x v="12"/>
    <s v="Acco Smartsocket Color-Coded Six-Outlet AC Adapter Model Surge Protectors"/>
    <n v="211.24799999999999"/>
    <n v="6"/>
    <n v="0.2"/>
    <n v="15.843599999999995"/>
  </r>
  <r>
    <n v="905"/>
    <s v="US-2023-156244"/>
    <x v="177"/>
    <x v="186"/>
    <s v="Standard Class"/>
    <s v="DH-13675"/>
    <x v="350"/>
    <x v="1"/>
    <x v="0"/>
    <s v="Miami"/>
    <x v="16"/>
    <n v="33180"/>
    <x v="2"/>
    <s v="OFF-AR-10004344"/>
    <x v="0"/>
    <x v="4"/>
    <s v="Bulldog Vacuum Base Pencil Sharpener"/>
    <n v="47.96"/>
    <n v="5"/>
    <n v="0.2"/>
    <n v="4.196499999999995"/>
  </r>
  <r>
    <n v="906"/>
    <s v="US-2023-153927"/>
    <x v="177"/>
    <x v="185"/>
    <s v="First Class"/>
    <s v="LL-16840"/>
    <x v="175"/>
    <x v="0"/>
    <x v="0"/>
    <s v="Woodstock"/>
    <x v="4"/>
    <n v="30188"/>
    <x v="2"/>
    <s v="OFF-BI-10000138"/>
    <x v="0"/>
    <x v="1"/>
    <s v="Acco Translucent Poly Ring Binders"/>
    <n v="14.04"/>
    <n v="3"/>
    <n v="0"/>
    <n v="6.7392000000000003"/>
  </r>
  <r>
    <n v="907"/>
    <s v="US-2023-109302"/>
    <x v="177"/>
    <x v="186"/>
    <s v="Standard Class"/>
    <s v="CS-12175"/>
    <x v="351"/>
    <x v="2"/>
    <x v="0"/>
    <s v="Lakewood"/>
    <x v="24"/>
    <n v="8701"/>
    <x v="1"/>
    <s v="OFF-BI-10002854"/>
    <x v="0"/>
    <x v="1"/>
    <s v="Performers Binder/Pad Holder, Black"/>
    <n v="196.21"/>
    <n v="7"/>
    <n v="0"/>
    <n v="98.105000000000004"/>
  </r>
  <r>
    <n v="908"/>
    <s v="US-2023-156244"/>
    <x v="177"/>
    <x v="186"/>
    <s v="Standard Class"/>
    <s v="DH-13675"/>
    <x v="350"/>
    <x v="1"/>
    <x v="0"/>
    <s v="Miami"/>
    <x v="16"/>
    <n v="33180"/>
    <x v="2"/>
    <s v="OFF-LA-10000443"/>
    <x v="0"/>
    <x v="2"/>
    <s v="Avery 501"/>
    <n v="2.952"/>
    <n v="1"/>
    <n v="0.2"/>
    <n v="0.99629999999999996"/>
  </r>
  <r>
    <n v="909"/>
    <s v="US-2023-156244"/>
    <x v="177"/>
    <x v="186"/>
    <s v="Standard Class"/>
    <s v="DH-13675"/>
    <x v="350"/>
    <x v="1"/>
    <x v="0"/>
    <s v="Miami"/>
    <x v="16"/>
    <n v="33180"/>
    <x v="2"/>
    <s v="OFF-PA-10000295"/>
    <x v="0"/>
    <x v="0"/>
    <s v="Xerox 229"/>
    <n v="31.104000000000006"/>
    <n v="6"/>
    <n v="0.2"/>
    <n v="10.8864"/>
  </r>
  <r>
    <n v="910"/>
    <s v="US-2023-156244"/>
    <x v="177"/>
    <x v="186"/>
    <s v="Standard Class"/>
    <s v="DH-13675"/>
    <x v="350"/>
    <x v="1"/>
    <x v="0"/>
    <s v="Miami"/>
    <x v="16"/>
    <n v="33180"/>
    <x v="2"/>
    <s v="OFF-SU-10000432"/>
    <x v="0"/>
    <x v="14"/>
    <s v="Acco Side-Punched Conventional Columnar Pads"/>
    <n v="5.5520000000000005"/>
    <n v="2"/>
    <n v="0.2"/>
    <n v="-1.0410000000000006"/>
  </r>
  <r>
    <n v="911"/>
    <s v="US-2023-153927"/>
    <x v="177"/>
    <x v="185"/>
    <s v="First Class"/>
    <s v="LL-16840"/>
    <x v="175"/>
    <x v="0"/>
    <x v="0"/>
    <s v="Woodstock"/>
    <x v="4"/>
    <n v="30188"/>
    <x v="2"/>
    <s v="TEC-AC-10000023"/>
    <x v="2"/>
    <x v="9"/>
    <s v="Maxell 74 Minute CD-R Spindle, 50/Pack"/>
    <n v="272.61"/>
    <n v="13"/>
    <n v="0"/>
    <n v="98.139599999999987"/>
  </r>
  <r>
    <n v="912"/>
    <s v="US-2023-156244"/>
    <x v="177"/>
    <x v="186"/>
    <s v="Standard Class"/>
    <s v="DH-13675"/>
    <x v="350"/>
    <x v="1"/>
    <x v="0"/>
    <s v="Miami"/>
    <x v="16"/>
    <n v="33180"/>
    <x v="2"/>
    <s v="TEC-AC-10002473"/>
    <x v="2"/>
    <x v="9"/>
    <s v="Maxell 4.7GB DVD-R"/>
    <n v="158.928"/>
    <n v="7"/>
    <n v="0.2"/>
    <n v="41.718599999999995"/>
  </r>
  <r>
    <n v="913"/>
    <s v="US-2023-109897"/>
    <x v="177"/>
    <x v="186"/>
    <s v="Standard Class"/>
    <s v="BW-11200"/>
    <x v="349"/>
    <x v="0"/>
    <x v="0"/>
    <s v="San Francisco"/>
    <x v="5"/>
    <n v="94122"/>
    <x v="3"/>
    <s v="TEC-PH-10003691"/>
    <x v="2"/>
    <x v="7"/>
    <s v="BlackBerry Q10"/>
    <n v="806.33600000000001"/>
    <n v="8"/>
    <n v="0.2"/>
    <n v="50.396000000000015"/>
  </r>
  <r>
    <n v="914"/>
    <s v="US-2023-164406"/>
    <x v="178"/>
    <x v="187"/>
    <s v="Standard Class"/>
    <s v="BD-11605"/>
    <x v="10"/>
    <x v="0"/>
    <x v="0"/>
    <s v="San Francisco"/>
    <x v="5"/>
    <n v="94122"/>
    <x v="3"/>
    <s v="FUR-CH-10003833"/>
    <x v="1"/>
    <x v="5"/>
    <s v="Novimex Fabric Task Chair"/>
    <n v="195.136"/>
    <n v="4"/>
    <n v="0.2"/>
    <n v="-12.196000000000005"/>
  </r>
  <r>
    <n v="915"/>
    <s v="US-2023-164406"/>
    <x v="178"/>
    <x v="187"/>
    <s v="Standard Class"/>
    <s v="BD-11605"/>
    <x v="10"/>
    <x v="0"/>
    <x v="0"/>
    <s v="San Francisco"/>
    <x v="5"/>
    <n v="94122"/>
    <x v="3"/>
    <s v="OFF-AP-10003287"/>
    <x v="0"/>
    <x v="12"/>
    <s v="Tripp Lite TLP810NET Broadband Surge for Modem/Fax"/>
    <n v="152.91"/>
    <n v="3"/>
    <n v="0"/>
    <n v="42.814799999999998"/>
  </r>
  <r>
    <n v="916"/>
    <s v="US-2023-109043"/>
    <x v="178"/>
    <x v="188"/>
    <s v="First Class"/>
    <s v="CS-12355"/>
    <x v="352"/>
    <x v="0"/>
    <x v="0"/>
    <s v="Hollywood"/>
    <x v="16"/>
    <n v="33021"/>
    <x v="2"/>
    <s v="OFF-AP-10004708"/>
    <x v="0"/>
    <x v="12"/>
    <s v="Fellowes Superior 10 Outlet Split Surge Protector"/>
    <n v="152.24"/>
    <n v="5"/>
    <n v="0.2"/>
    <n v="17.126999999999988"/>
  </r>
  <r>
    <n v="917"/>
    <s v="US-2023-141005"/>
    <x v="178"/>
    <x v="189"/>
    <s v="First Class"/>
    <s v="CS-12355"/>
    <x v="352"/>
    <x v="0"/>
    <x v="0"/>
    <s v="Fairfield"/>
    <x v="39"/>
    <n v="6824"/>
    <x v="1"/>
    <s v="OFF-BI-10001989"/>
    <x v="0"/>
    <x v="1"/>
    <s v="Premium Transparent Presentation Covers by GBC"/>
    <n v="62.94"/>
    <n v="3"/>
    <n v="0"/>
    <n v="30.211199999999998"/>
  </r>
  <r>
    <n v="918"/>
    <s v="US-2023-164406"/>
    <x v="178"/>
    <x v="187"/>
    <s v="Standard Class"/>
    <s v="BD-11605"/>
    <x v="10"/>
    <x v="0"/>
    <x v="0"/>
    <s v="San Francisco"/>
    <x v="5"/>
    <n v="94122"/>
    <x v="3"/>
    <s v="OFF-BI-10002309"/>
    <x v="0"/>
    <x v="1"/>
    <s v="Avery Heavy-Duty EZD  Binder With Locking Rings"/>
    <n v="17.856000000000002"/>
    <n v="4"/>
    <n v="0.2"/>
    <n v="6.2495999999999992"/>
  </r>
  <r>
    <n v="919"/>
    <s v="US-2023-138023"/>
    <x v="178"/>
    <x v="189"/>
    <s v="First Class"/>
    <s v="KH-16510"/>
    <x v="353"/>
    <x v="0"/>
    <x v="0"/>
    <s v="Dallas"/>
    <x v="0"/>
    <n v="75081"/>
    <x v="0"/>
    <s v="OFF-BI-10003638"/>
    <x v="0"/>
    <x v="1"/>
    <s v="GBC Durable Plastic Covers"/>
    <n v="30.959999999999994"/>
    <n v="8"/>
    <n v="0.8"/>
    <n v="-52.632000000000019"/>
  </r>
  <r>
    <n v="920"/>
    <s v="US-2023-164406"/>
    <x v="178"/>
    <x v="187"/>
    <s v="Standard Class"/>
    <s v="BD-11605"/>
    <x v="10"/>
    <x v="0"/>
    <x v="0"/>
    <s v="San Francisco"/>
    <x v="5"/>
    <n v="94122"/>
    <x v="3"/>
    <s v="OFF-BI-10003638"/>
    <x v="0"/>
    <x v="1"/>
    <s v="GBC Durable Plastic Covers"/>
    <n v="46.440000000000005"/>
    <n v="3"/>
    <n v="0.2"/>
    <n v="15.092999999999998"/>
  </r>
  <r>
    <n v="921"/>
    <s v="US-2023-164406"/>
    <x v="178"/>
    <x v="187"/>
    <s v="Standard Class"/>
    <s v="BD-11605"/>
    <x v="10"/>
    <x v="0"/>
    <x v="0"/>
    <s v="San Francisco"/>
    <x v="5"/>
    <n v="94122"/>
    <x v="3"/>
    <s v="OFF-PA-10000167"/>
    <x v="0"/>
    <x v="0"/>
    <s v="Xerox 1925"/>
    <n v="92.94"/>
    <n v="3"/>
    <n v="0"/>
    <n v="41.822999999999993"/>
  </r>
  <r>
    <n v="922"/>
    <s v="US-2023-109043"/>
    <x v="178"/>
    <x v="188"/>
    <s v="First Class"/>
    <s v="CS-12355"/>
    <x v="352"/>
    <x v="0"/>
    <x v="0"/>
    <s v="Hollywood"/>
    <x v="16"/>
    <n v="33021"/>
    <x v="2"/>
    <s v="OFF-PA-10000312"/>
    <x v="0"/>
    <x v="0"/>
    <s v="Xerox 1955"/>
    <n v="91.360000000000014"/>
    <n v="5"/>
    <n v="0.2"/>
    <n v="29.691999999999993"/>
  </r>
  <r>
    <n v="923"/>
    <s v="US-2023-142839"/>
    <x v="179"/>
    <x v="190"/>
    <s v="Standard Class"/>
    <s v="TS-21610"/>
    <x v="354"/>
    <x v="0"/>
    <x v="0"/>
    <s v="Philadelphia"/>
    <x v="2"/>
    <n v="19143"/>
    <x v="1"/>
    <s v="FUR-TA-10001539"/>
    <x v="1"/>
    <x v="13"/>
    <s v="Chromcraft Rectangular Conference Tables"/>
    <n v="853.09199999999987"/>
    <n v="6"/>
    <n v="0.4"/>
    <n v="-227.49120000000016"/>
  </r>
  <r>
    <n v="924"/>
    <s v="US-2023-111500"/>
    <x v="180"/>
    <x v="191"/>
    <s v="Standard Class"/>
    <s v="DJ-13510"/>
    <x v="355"/>
    <x v="2"/>
    <x v="0"/>
    <s v="Little Rock"/>
    <x v="13"/>
    <n v="72209"/>
    <x v="2"/>
    <s v="OFF-BI-10000829"/>
    <x v="0"/>
    <x v="1"/>
    <s v="Avery Non-Stick Binders"/>
    <n v="17.96"/>
    <n v="4"/>
    <n v="0"/>
    <n v="8.2615999999999996"/>
  </r>
  <r>
    <n v="925"/>
    <s v="US-2023-111500"/>
    <x v="180"/>
    <x v="191"/>
    <s v="Standard Class"/>
    <s v="DJ-13510"/>
    <x v="355"/>
    <x v="2"/>
    <x v="0"/>
    <s v="Little Rock"/>
    <x v="13"/>
    <n v="72209"/>
    <x v="2"/>
    <s v="OFF-FA-10002676"/>
    <x v="0"/>
    <x v="6"/>
    <s v="Colored Push Pins"/>
    <n v="12.67"/>
    <n v="7"/>
    <n v="0"/>
    <n v="4.5611999999999995"/>
  </r>
  <r>
    <n v="926"/>
    <s v="US-2023-111500"/>
    <x v="180"/>
    <x v="191"/>
    <s v="Standard Class"/>
    <s v="DJ-13510"/>
    <x v="355"/>
    <x v="2"/>
    <x v="0"/>
    <s v="Little Rock"/>
    <x v="13"/>
    <n v="72209"/>
    <x v="2"/>
    <s v="OFF-PA-10000595"/>
    <x v="0"/>
    <x v="0"/>
    <s v="Xerox 1929"/>
    <n v="114.2"/>
    <n v="5"/>
    <n v="0"/>
    <n v="52.531999999999996"/>
  </r>
  <r>
    <n v="927"/>
    <s v="US-2023-129168"/>
    <x v="180"/>
    <x v="192"/>
    <s v="Standard Class"/>
    <s v="KB-16585"/>
    <x v="129"/>
    <x v="2"/>
    <x v="0"/>
    <s v="Houston"/>
    <x v="0"/>
    <n v="77095"/>
    <x v="0"/>
    <s v="OFF-PA-10001639"/>
    <x v="0"/>
    <x v="0"/>
    <s v="Xerox 203"/>
    <n v="15.552000000000003"/>
    <n v="3"/>
    <n v="0.2"/>
    <n v="5.4432"/>
  </r>
  <r>
    <n v="928"/>
    <s v="US-2023-111500"/>
    <x v="180"/>
    <x v="191"/>
    <s v="Standard Class"/>
    <s v="DJ-13510"/>
    <x v="355"/>
    <x v="2"/>
    <x v="0"/>
    <s v="Little Rock"/>
    <x v="13"/>
    <n v="72209"/>
    <x v="2"/>
    <s v="TEC-AC-10000844"/>
    <x v="2"/>
    <x v="9"/>
    <s v="Logitech Gaming G510s - Keyboard"/>
    <n v="339.96"/>
    <n v="4"/>
    <n v="0"/>
    <n v="122.38559999999998"/>
  </r>
  <r>
    <n v="929"/>
    <s v="US-2023-156559"/>
    <x v="181"/>
    <x v="193"/>
    <s v="Standard Class"/>
    <s v="LH-16900"/>
    <x v="356"/>
    <x v="0"/>
    <x v="0"/>
    <s v="Jonesboro"/>
    <x v="13"/>
    <n v="72401"/>
    <x v="2"/>
    <s v="FUR-BO-10000711"/>
    <x v="1"/>
    <x v="10"/>
    <s v="Hon Metal Bookcases, Gray"/>
    <n v="638.82000000000005"/>
    <n v="9"/>
    <n v="0"/>
    <n v="172.48140000000001"/>
  </r>
  <r>
    <n v="930"/>
    <s v="US-2023-133158"/>
    <x v="181"/>
    <x v="191"/>
    <s v="Second Class"/>
    <s v="DW-13195"/>
    <x v="17"/>
    <x v="2"/>
    <x v="0"/>
    <s v="Los Angeles"/>
    <x v="5"/>
    <n v="90045"/>
    <x v="3"/>
    <s v="FUR-FU-10000723"/>
    <x v="1"/>
    <x v="8"/>
    <s v="Deflect-o EconoMat Studded, No Bevel Mat for Low Pile Carpeting"/>
    <n v="289.24"/>
    <n v="7"/>
    <n v="0"/>
    <n v="26.031600000000012"/>
  </r>
  <r>
    <n v="931"/>
    <s v="US-2023-121727"/>
    <x v="181"/>
    <x v="194"/>
    <s v="Standard Class"/>
    <s v="JK-15625"/>
    <x v="234"/>
    <x v="0"/>
    <x v="0"/>
    <s v="Columbus"/>
    <x v="9"/>
    <n v="43229"/>
    <x v="1"/>
    <s v="OFF-AR-10004930"/>
    <x v="0"/>
    <x v="4"/>
    <s v="Turquoise Lead Holder with Pocket Clip"/>
    <n v="10.72"/>
    <n v="2"/>
    <n v="0.2"/>
    <n v="1.7419999999999987"/>
  </r>
  <r>
    <n v="932"/>
    <s v="US-2023-133158"/>
    <x v="181"/>
    <x v="191"/>
    <s v="Second Class"/>
    <s v="DW-13195"/>
    <x v="17"/>
    <x v="2"/>
    <x v="0"/>
    <s v="Los Angeles"/>
    <x v="5"/>
    <n v="90045"/>
    <x v="3"/>
    <s v="OFF-BI-10000632"/>
    <x v="0"/>
    <x v="1"/>
    <s v="Satellite Sectional Post Binders"/>
    <n v="69.456000000000003"/>
    <n v="2"/>
    <n v="0.2"/>
    <n v="22.573199999999996"/>
  </r>
  <r>
    <n v="933"/>
    <s v="US-2023-164616"/>
    <x v="181"/>
    <x v="191"/>
    <s v="Second Class"/>
    <s v="MS-17770"/>
    <x v="285"/>
    <x v="0"/>
    <x v="0"/>
    <s v="Columbus"/>
    <x v="9"/>
    <n v="43229"/>
    <x v="1"/>
    <s v="OFF-BI-10001718"/>
    <x v="0"/>
    <x v="1"/>
    <s v="GBC DocuBind P50 Personal Binding Machine"/>
    <n v="76.77600000000001"/>
    <n v="4"/>
    <n v="0.7"/>
    <n v="-58.861599999999981"/>
  </r>
  <r>
    <n v="934"/>
    <s v="US-2023-143581"/>
    <x v="181"/>
    <x v="192"/>
    <s v="Standard Class"/>
    <s v="BS-11365"/>
    <x v="183"/>
    <x v="2"/>
    <x v="0"/>
    <s v="Columbus"/>
    <x v="4"/>
    <n v="31907"/>
    <x v="2"/>
    <s v="OFF-ST-10000991"/>
    <x v="0"/>
    <x v="3"/>
    <s v="Space Solutions HD Industrial Steel Shelving."/>
    <n v="344.90999999999997"/>
    <n v="3"/>
    <n v="0"/>
    <n v="10.347300000000004"/>
  </r>
  <r>
    <n v="935"/>
    <s v="US-2023-164616"/>
    <x v="181"/>
    <x v="191"/>
    <s v="Second Class"/>
    <s v="MS-17770"/>
    <x v="285"/>
    <x v="0"/>
    <x v="0"/>
    <s v="Columbus"/>
    <x v="9"/>
    <n v="43229"/>
    <x v="1"/>
    <s v="OFF-SU-10004768"/>
    <x v="0"/>
    <x v="14"/>
    <s v="Acme Kleencut Forged Steel Scissors"/>
    <n v="9.1840000000000011"/>
    <n v="2"/>
    <n v="0.2"/>
    <n v="1.1479999999999988"/>
  </r>
  <r>
    <n v="936"/>
    <s v="CA-2023-132339"/>
    <x v="181"/>
    <x v="192"/>
    <s v="Standard Class"/>
    <s v="JB-15400"/>
    <x v="357"/>
    <x v="2"/>
    <x v="1"/>
    <s v="Montreal"/>
    <x v="42"/>
    <s v="H1B"/>
    <x v="1"/>
    <s v="OFF-BI-10003925"/>
    <x v="0"/>
    <x v="1"/>
    <s v="Fellowes PB300 Plastic Comb Binding Machine"/>
    <n v="19.440000000000001"/>
    <n v="3"/>
    <n v="0"/>
    <n v="9.33"/>
  </r>
  <r>
    <n v="937"/>
    <s v="CA-2023-115777"/>
    <x v="181"/>
    <x v="194"/>
    <s v="Standard Class"/>
    <s v="DO-13645"/>
    <x v="358"/>
    <x v="0"/>
    <x v="1"/>
    <s v="Montreal"/>
    <x v="42"/>
    <s v="H1B"/>
    <x v="1"/>
    <s v="OFF-PA-10000552"/>
    <x v="0"/>
    <x v="0"/>
    <s v="Xerox 200"/>
    <n v="387.99"/>
    <n v="1"/>
    <n v="0"/>
    <n v="182.36"/>
  </r>
  <r>
    <n v="938"/>
    <s v="US-2023-114321"/>
    <x v="182"/>
    <x v="195"/>
    <s v="Standard Class"/>
    <s v="NC-18535"/>
    <x v="320"/>
    <x v="2"/>
    <x v="0"/>
    <s v="Hampton"/>
    <x v="6"/>
    <n v="23666"/>
    <x v="2"/>
    <s v="FUR-CH-10001797"/>
    <x v="1"/>
    <x v="5"/>
    <s v="Safco Chair Connectors, 6/Carton"/>
    <n v="500.23999999999995"/>
    <n v="13"/>
    <n v="0"/>
    <n v="145.06959999999992"/>
  </r>
  <r>
    <n v="939"/>
    <s v="US-2023-166716"/>
    <x v="182"/>
    <x v="195"/>
    <s v="Second Class"/>
    <s v="CR-12730"/>
    <x v="359"/>
    <x v="0"/>
    <x v="0"/>
    <s v="Chicago"/>
    <x v="1"/>
    <n v="60610"/>
    <x v="0"/>
    <s v="FUR-CH-10004495"/>
    <x v="1"/>
    <x v="5"/>
    <s v="Global Leather and Oak Executive Chair, Black"/>
    <n v="421.37200000000001"/>
    <n v="2"/>
    <n v="0.3"/>
    <n v="-6.0196000000000538"/>
  </r>
  <r>
    <n v="940"/>
    <s v="US-2023-114321"/>
    <x v="182"/>
    <x v="195"/>
    <s v="Standard Class"/>
    <s v="NC-18535"/>
    <x v="320"/>
    <x v="2"/>
    <x v="0"/>
    <s v="Hampton"/>
    <x v="6"/>
    <n v="23666"/>
    <x v="2"/>
    <s v="OFF-BI-10001359"/>
    <x v="0"/>
    <x v="1"/>
    <s v="GBC DocuBind TL300 Electric Binding System"/>
    <n v="896.99"/>
    <n v="1"/>
    <n v="0"/>
    <n v="421.58529999999996"/>
  </r>
  <r>
    <n v="941"/>
    <s v="US-2023-114321"/>
    <x v="182"/>
    <x v="195"/>
    <s v="Standard Class"/>
    <s v="NC-18535"/>
    <x v="320"/>
    <x v="2"/>
    <x v="0"/>
    <s v="Hampton"/>
    <x v="6"/>
    <n v="23666"/>
    <x v="2"/>
    <s v="OFF-PA-10000246"/>
    <x v="0"/>
    <x v="0"/>
    <s v="Riverleaf Stik-Withit Designer Note Cubes"/>
    <n v="20.12"/>
    <n v="2"/>
    <n v="0"/>
    <n v="9.2552000000000003"/>
  </r>
  <r>
    <n v="942"/>
    <s v="US-2023-123253"/>
    <x v="183"/>
    <x v="195"/>
    <s v="Second Class"/>
    <s v="DE-13255"/>
    <x v="360"/>
    <x v="1"/>
    <x v="0"/>
    <s v="Lakewood"/>
    <x v="9"/>
    <n v="44107"/>
    <x v="1"/>
    <s v="OFF-AR-10002804"/>
    <x v="0"/>
    <x v="4"/>
    <s v="Faber Castell Col-Erase Pencils"/>
    <n v="3.9119999999999999"/>
    <n v="1"/>
    <n v="0.2"/>
    <n v="1.0269000000000001"/>
  </r>
  <r>
    <n v="943"/>
    <s v="US-2023-166828"/>
    <x v="183"/>
    <x v="195"/>
    <s v="First Class"/>
    <s v="JF-15415"/>
    <x v="260"/>
    <x v="0"/>
    <x v="0"/>
    <s v="Saint Charles"/>
    <x v="25"/>
    <n v="63301"/>
    <x v="0"/>
    <s v="OFF-PA-10001846"/>
    <x v="0"/>
    <x v="0"/>
    <s v="Xerox 1899"/>
    <n v="11.56"/>
    <n v="2"/>
    <n v="0"/>
    <n v="5.6644000000000005"/>
  </r>
  <r>
    <n v="944"/>
    <s v="US-2023-130918"/>
    <x v="183"/>
    <x v="194"/>
    <s v="Second Class"/>
    <s v="JP-15520"/>
    <x v="361"/>
    <x v="0"/>
    <x v="0"/>
    <s v="North Miami"/>
    <x v="16"/>
    <n v="33161"/>
    <x v="2"/>
    <s v="OFF-SU-10003936"/>
    <x v="0"/>
    <x v="14"/>
    <s v="Acme Serrated Blade Letter Opener"/>
    <n v="7.6320000000000014"/>
    <n v="3"/>
    <n v="0.2"/>
    <n v="-1.8126000000000002"/>
  </r>
  <r>
    <n v="945"/>
    <s v="US-2023-124737"/>
    <x v="184"/>
    <x v="196"/>
    <s v="Standard Class"/>
    <s v="AP-10915"/>
    <x v="362"/>
    <x v="0"/>
    <x v="0"/>
    <s v="Denver"/>
    <x v="27"/>
    <n v="80219"/>
    <x v="3"/>
    <s v="FUR-FU-10003274"/>
    <x v="1"/>
    <x v="8"/>
    <s v="Regeneration Desk Collection"/>
    <n v="4.2240000000000002"/>
    <n v="3"/>
    <n v="0.2"/>
    <n v="1.2672000000000003"/>
  </r>
  <r>
    <n v="946"/>
    <s v="US-2023-154837"/>
    <x v="184"/>
    <x v="196"/>
    <s v="Second Class"/>
    <s v="RB-19645"/>
    <x v="363"/>
    <x v="2"/>
    <x v="0"/>
    <s v="Los Angeles"/>
    <x v="5"/>
    <n v="90032"/>
    <x v="3"/>
    <s v="OFF-BI-10001575"/>
    <x v="0"/>
    <x v="1"/>
    <s v="GBC Linen Binding Covers"/>
    <n v="49.568000000000005"/>
    <n v="2"/>
    <n v="0.2"/>
    <n v="17.348799999999997"/>
  </r>
  <r>
    <n v="947"/>
    <s v="US-2023-124737"/>
    <x v="184"/>
    <x v="196"/>
    <s v="Standard Class"/>
    <s v="AP-10915"/>
    <x v="362"/>
    <x v="0"/>
    <x v="0"/>
    <s v="Denver"/>
    <x v="27"/>
    <n v="80219"/>
    <x v="3"/>
    <s v="OFF-PA-10000019"/>
    <x v="0"/>
    <x v="0"/>
    <s v="Xerox 1931"/>
    <n v="31.104000000000006"/>
    <n v="6"/>
    <n v="0.2"/>
    <n v="10.8864"/>
  </r>
  <r>
    <n v="948"/>
    <s v="US-2023-124737"/>
    <x v="184"/>
    <x v="196"/>
    <s v="Standard Class"/>
    <s v="AP-10915"/>
    <x v="362"/>
    <x v="0"/>
    <x v="0"/>
    <s v="Denver"/>
    <x v="27"/>
    <n v="80219"/>
    <x v="3"/>
    <s v="OFF-PA-10001125"/>
    <x v="0"/>
    <x v="0"/>
    <s v="Xerox 1988"/>
    <n v="223.05600000000001"/>
    <n v="9"/>
    <n v="0.2"/>
    <n v="69.704999999999984"/>
  </r>
  <r>
    <n v="949"/>
    <s v="US-2023-124737"/>
    <x v="184"/>
    <x v="196"/>
    <s v="Standard Class"/>
    <s v="AP-10915"/>
    <x v="362"/>
    <x v="0"/>
    <x v="0"/>
    <s v="Denver"/>
    <x v="27"/>
    <n v="80219"/>
    <x v="3"/>
    <s v="OFF-PA-10001837"/>
    <x v="0"/>
    <x v="0"/>
    <s v="Xerox 1976"/>
    <n v="15.552000000000003"/>
    <n v="3"/>
    <n v="0.2"/>
    <n v="5.4432"/>
  </r>
  <r>
    <n v="950"/>
    <s v="US-2023-112795"/>
    <x v="184"/>
    <x v="197"/>
    <s v="Second Class"/>
    <s v="CR-12625"/>
    <x v="237"/>
    <x v="1"/>
    <x v="0"/>
    <s v="Grand Rapids"/>
    <x v="14"/>
    <n v="49505"/>
    <x v="0"/>
    <s v="OFF-PA-10001934"/>
    <x v="0"/>
    <x v="0"/>
    <s v="Xerox 1993"/>
    <n v="19.440000000000001"/>
    <n v="3"/>
    <n v="0"/>
    <n v="9.5256000000000007"/>
  </r>
  <r>
    <n v="951"/>
    <s v="US-2023-110639"/>
    <x v="184"/>
    <x v="192"/>
    <s v="Same Day"/>
    <s v="RH-19495"/>
    <x v="364"/>
    <x v="0"/>
    <x v="0"/>
    <s v="New York City"/>
    <x v="21"/>
    <n v="10009"/>
    <x v="1"/>
    <s v="OFF-PA-10003936"/>
    <x v="0"/>
    <x v="0"/>
    <s v="Xerox 1994"/>
    <n v="25.92"/>
    <n v="4"/>
    <n v="0"/>
    <n v="12.441600000000001"/>
  </r>
  <r>
    <n v="952"/>
    <s v="US-2023-110639"/>
    <x v="184"/>
    <x v="192"/>
    <s v="Same Day"/>
    <s v="RH-19495"/>
    <x v="364"/>
    <x v="0"/>
    <x v="0"/>
    <s v="New York City"/>
    <x v="21"/>
    <n v="10009"/>
    <x v="1"/>
    <s v="OFF-PA-10004530"/>
    <x v="0"/>
    <x v="0"/>
    <s v="Personal Creations Ink Jet Cards and Labels"/>
    <n v="45.92"/>
    <n v="4"/>
    <n v="0"/>
    <n v="22.500800000000002"/>
  </r>
  <r>
    <n v="953"/>
    <s v="US-2023-124737"/>
    <x v="184"/>
    <x v="196"/>
    <s v="Standard Class"/>
    <s v="AP-10915"/>
    <x v="362"/>
    <x v="0"/>
    <x v="0"/>
    <s v="Denver"/>
    <x v="27"/>
    <n v="80219"/>
    <x v="3"/>
    <s v="OFF-SU-10004661"/>
    <x v="0"/>
    <x v="14"/>
    <s v="Acme Titanium Bonded Scissors"/>
    <n v="6.8000000000000007"/>
    <n v="1"/>
    <n v="0.2"/>
    <n v="0.50999999999999979"/>
  </r>
  <r>
    <n v="954"/>
    <s v="US-2023-124737"/>
    <x v="184"/>
    <x v="196"/>
    <s v="Standard Class"/>
    <s v="AP-10915"/>
    <x v="362"/>
    <x v="0"/>
    <x v="0"/>
    <s v="Denver"/>
    <x v="27"/>
    <n v="80219"/>
    <x v="3"/>
    <s v="TEC-PH-10000149"/>
    <x v="2"/>
    <x v="7"/>
    <s v="Cisco SPA525G2 IP Phone - Wireless"/>
    <n v="143.64000000000001"/>
    <n v="9"/>
    <n v="0.2"/>
    <n v="10.772999999999989"/>
  </r>
  <r>
    <n v="955"/>
    <s v="US-2023-107916"/>
    <x v="185"/>
    <x v="193"/>
    <s v="First Class"/>
    <s v="JP-15460"/>
    <x v="365"/>
    <x v="2"/>
    <x v="0"/>
    <s v="Oceanside"/>
    <x v="21"/>
    <n v="11572"/>
    <x v="1"/>
    <s v="FUR-FU-10004586"/>
    <x v="1"/>
    <x v="8"/>
    <s v="G.E. Longer-Life Indoor Recessed Floodlight Bulbs"/>
    <n v="13.28"/>
    <n v="2"/>
    <n v="0"/>
    <n v="6.3743999999999996"/>
  </r>
  <r>
    <n v="956"/>
    <s v="US-2023-107916"/>
    <x v="185"/>
    <x v="193"/>
    <s v="First Class"/>
    <s v="JP-15460"/>
    <x v="365"/>
    <x v="2"/>
    <x v="0"/>
    <s v="Oceanside"/>
    <x v="21"/>
    <n v="11572"/>
    <x v="1"/>
    <s v="OFF-BI-10001116"/>
    <x v="0"/>
    <x v="1"/>
    <s v="Wilson Jones 1&quot; Hanging DublLock Ring Binders"/>
    <n v="12.672000000000001"/>
    <n v="3"/>
    <n v="0.2"/>
    <n v="4.4352000000000009"/>
  </r>
  <r>
    <n v="957"/>
    <s v="US-2023-106719"/>
    <x v="185"/>
    <x v="194"/>
    <s v="Same Day"/>
    <s v="RB-19645"/>
    <x v="363"/>
    <x v="2"/>
    <x v="0"/>
    <s v="Billings"/>
    <x v="37"/>
    <n v="59102"/>
    <x v="3"/>
    <s v="OFF-BI-10002799"/>
    <x v="0"/>
    <x v="1"/>
    <s v="SlimView Poly Binder, 3/8&quot;"/>
    <n v="8.2880000000000003"/>
    <n v="2"/>
    <n v="0.2"/>
    <n v="2.6935999999999991"/>
  </r>
  <r>
    <n v="958"/>
    <s v="US-2023-120432"/>
    <x v="185"/>
    <x v="193"/>
    <s v="Second Class"/>
    <s v="DW-13585"/>
    <x v="366"/>
    <x v="2"/>
    <x v="0"/>
    <s v="Owensboro"/>
    <x v="3"/>
    <n v="42301"/>
    <x v="2"/>
    <s v="OFF-SU-10004661"/>
    <x v="0"/>
    <x v="14"/>
    <s v="Acme Titanium Bonded Scissors"/>
    <n v="25.5"/>
    <n v="3"/>
    <n v="0"/>
    <n v="6.63"/>
  </r>
  <r>
    <n v="959"/>
    <s v="US-2023-104178"/>
    <x v="186"/>
    <x v="198"/>
    <s v="Standard Class"/>
    <s v="JM-15265"/>
    <x v="367"/>
    <x v="2"/>
    <x v="0"/>
    <s v="Los Angeles"/>
    <x v="5"/>
    <n v="90036"/>
    <x v="3"/>
    <s v="FUR-FU-10000771"/>
    <x v="1"/>
    <x v="8"/>
    <s v="Eldon 200 Class Desk Accessories, Smoke"/>
    <n v="6.28"/>
    <n v="1"/>
    <n v="0"/>
    <n v="2.6376000000000004"/>
  </r>
  <r>
    <n v="960"/>
    <s v="US-2023-107398"/>
    <x v="186"/>
    <x v="199"/>
    <s v="Standard Class"/>
    <s v="BS-11590"/>
    <x v="14"/>
    <x v="2"/>
    <x v="0"/>
    <s v="Columbus"/>
    <x v="9"/>
    <n v="43229"/>
    <x v="1"/>
    <s v="OFF-BI-10001982"/>
    <x v="0"/>
    <x v="1"/>
    <s v="Wilson Jones Custom Binder Spines &amp; Labels"/>
    <n v="6.5280000000000014"/>
    <n v="4"/>
    <n v="0.7"/>
    <n v="-4.5695999999999994"/>
  </r>
  <r>
    <n v="961"/>
    <s v="US-2023-107398"/>
    <x v="186"/>
    <x v="199"/>
    <s v="Standard Class"/>
    <s v="BS-11590"/>
    <x v="14"/>
    <x v="2"/>
    <x v="0"/>
    <s v="Columbus"/>
    <x v="9"/>
    <n v="43229"/>
    <x v="1"/>
    <s v="OFF-BI-10002103"/>
    <x v="0"/>
    <x v="1"/>
    <s v="Cardinal Slant-D Ring Binder, Heavy Gauge Vinyl"/>
    <n v="20.856000000000002"/>
    <n v="8"/>
    <n v="0.7"/>
    <n v="-16.684799999999996"/>
  </r>
  <r>
    <n v="962"/>
    <s v="US-2023-126200"/>
    <x v="186"/>
    <x v="198"/>
    <s v="Standard Class"/>
    <s v="JE-15715"/>
    <x v="368"/>
    <x v="0"/>
    <x v="0"/>
    <s v="Houston"/>
    <x v="0"/>
    <n v="77070"/>
    <x v="0"/>
    <s v="OFF-BI-10002133"/>
    <x v="0"/>
    <x v="1"/>
    <s v="Wilson Jones Elliptical Ring 3 1/2&quot; Capacity Binders, 800 sheets"/>
    <n v="25.679999999999993"/>
    <n v="3"/>
    <n v="0.8"/>
    <n v="-39.804000000000002"/>
  </r>
  <r>
    <n v="963"/>
    <s v="US-2023-126200"/>
    <x v="186"/>
    <x v="198"/>
    <s v="Standard Class"/>
    <s v="JE-15715"/>
    <x v="368"/>
    <x v="0"/>
    <x v="0"/>
    <s v="Houston"/>
    <x v="0"/>
    <n v="77070"/>
    <x v="0"/>
    <s v="OFF-BI-10002225"/>
    <x v="0"/>
    <x v="1"/>
    <s v="Square Ring Data Binders, Rigid 75 Pt. Covers, 11&quot; x 14-7/8&quot;"/>
    <n v="12.383999999999997"/>
    <n v="3"/>
    <n v="0.8"/>
    <n v="-19.814400000000003"/>
  </r>
  <r>
    <n v="964"/>
    <s v="US-2023-107398"/>
    <x v="186"/>
    <x v="199"/>
    <s v="Standard Class"/>
    <s v="BS-11590"/>
    <x v="14"/>
    <x v="2"/>
    <x v="0"/>
    <s v="Columbus"/>
    <x v="9"/>
    <n v="43229"/>
    <x v="1"/>
    <s v="OFF-BI-10004141"/>
    <x v="0"/>
    <x v="1"/>
    <s v="Insertable Tab Indexes For Data Binders"/>
    <n v="2.8620000000000005"/>
    <n v="3"/>
    <n v="0.7"/>
    <n v="-2.2896000000000001"/>
  </r>
  <r>
    <n v="965"/>
    <s v="US-2023-115259"/>
    <x v="186"/>
    <x v="196"/>
    <s v="Second Class"/>
    <s v="RC-19960"/>
    <x v="369"/>
    <x v="0"/>
    <x v="0"/>
    <s v="Columbus"/>
    <x v="9"/>
    <n v="43229"/>
    <x v="1"/>
    <s v="OFF-EN-10002504"/>
    <x v="0"/>
    <x v="11"/>
    <s v="Tyvek  Top-Opening Peel &amp; Seel Envelopes, Plain White"/>
    <n v="130.464"/>
    <n v="6"/>
    <n v="0.2"/>
    <n v="44.031599999999997"/>
  </r>
  <r>
    <n v="966"/>
    <s v="US-2023-115259"/>
    <x v="186"/>
    <x v="196"/>
    <s v="Second Class"/>
    <s v="RC-19960"/>
    <x v="369"/>
    <x v="0"/>
    <x v="0"/>
    <s v="Columbus"/>
    <x v="9"/>
    <n v="43229"/>
    <x v="1"/>
    <s v="OFF-EN-10002600"/>
    <x v="0"/>
    <x v="11"/>
    <s v="Redi-Strip #10 Envelopes, 4 1/8 x 9 1/2"/>
    <n v="4.7200000000000006"/>
    <n v="2"/>
    <n v="0.2"/>
    <n v="1.6519999999999997"/>
  </r>
  <r>
    <n v="967"/>
    <s v="US-2023-115259"/>
    <x v="186"/>
    <x v="196"/>
    <s v="Second Class"/>
    <s v="RC-19960"/>
    <x v="369"/>
    <x v="0"/>
    <x v="0"/>
    <s v="Columbus"/>
    <x v="9"/>
    <n v="43229"/>
    <x v="1"/>
    <s v="OFF-FA-10000621"/>
    <x v="0"/>
    <x v="6"/>
    <s v="OIC Colored Binder Clips, Assorted Sizes"/>
    <n v="40.096000000000004"/>
    <n v="14"/>
    <n v="0.2"/>
    <n v="14.534799999999997"/>
  </r>
  <r>
    <n v="968"/>
    <s v="US-2023-115259"/>
    <x v="186"/>
    <x v="196"/>
    <s v="Second Class"/>
    <s v="RC-19960"/>
    <x v="369"/>
    <x v="0"/>
    <x v="0"/>
    <s v="Columbus"/>
    <x v="9"/>
    <n v="43229"/>
    <x v="1"/>
    <s v="OFF-PA-10004965"/>
    <x v="0"/>
    <x v="0"/>
    <s v="Xerox 1921"/>
    <n v="23.976000000000003"/>
    <n v="3"/>
    <n v="0.2"/>
    <n v="7.4924999999999988"/>
  </r>
  <r>
    <n v="969"/>
    <s v="US-2023-104178"/>
    <x v="186"/>
    <x v="198"/>
    <s v="Standard Class"/>
    <s v="JM-15265"/>
    <x v="367"/>
    <x v="2"/>
    <x v="0"/>
    <s v="Los Angeles"/>
    <x v="5"/>
    <n v="90036"/>
    <x v="3"/>
    <s v="OFF-PA-10004983"/>
    <x v="0"/>
    <x v="0"/>
    <s v="Xerox 23"/>
    <n v="25.92"/>
    <n v="4"/>
    <n v="0"/>
    <n v="12.441600000000001"/>
  </r>
  <r>
    <n v="970"/>
    <s v="US-2023-104178"/>
    <x v="186"/>
    <x v="198"/>
    <s v="Standard Class"/>
    <s v="JM-15265"/>
    <x v="367"/>
    <x v="2"/>
    <x v="0"/>
    <s v="Los Angeles"/>
    <x v="5"/>
    <n v="90036"/>
    <x v="3"/>
    <s v="OFF-ST-10004258"/>
    <x v="0"/>
    <x v="3"/>
    <s v="Portable Personal File Box"/>
    <n v="48.84"/>
    <n v="4"/>
    <n v="0"/>
    <n v="13.186800000000005"/>
  </r>
  <r>
    <n v="971"/>
    <s v="US-2023-104178"/>
    <x v="186"/>
    <x v="198"/>
    <s v="Standard Class"/>
    <s v="JM-15265"/>
    <x v="367"/>
    <x v="2"/>
    <x v="0"/>
    <s v="Los Angeles"/>
    <x v="5"/>
    <n v="90036"/>
    <x v="3"/>
    <s v="TEC-AC-10002399"/>
    <x v="2"/>
    <x v="9"/>
    <s v="SanDisk Cruzer 32 GB USB Flash Drive"/>
    <n v="95.1"/>
    <n v="5"/>
    <n v="0"/>
    <n v="30.431999999999995"/>
  </r>
  <r>
    <n v="972"/>
    <s v="US-2023-103660"/>
    <x v="186"/>
    <x v="199"/>
    <s v="Standard Class"/>
    <s v="MW-18220"/>
    <x v="370"/>
    <x v="0"/>
    <x v="0"/>
    <s v="Seattle"/>
    <x v="23"/>
    <n v="98103"/>
    <x v="3"/>
    <s v="TEC-PH-10000895"/>
    <x v="2"/>
    <x v="7"/>
    <s v="Polycom VVX 310 VoIP phone"/>
    <n v="1007.9440000000002"/>
    <n v="7"/>
    <n v="0.2"/>
    <n v="75.595799999999997"/>
  </r>
  <r>
    <n v="973"/>
    <s v="US-2023-103331"/>
    <x v="187"/>
    <x v="200"/>
    <s v="Standard Class"/>
    <s v="KB-16315"/>
    <x v="371"/>
    <x v="0"/>
    <x v="0"/>
    <s v="Newark"/>
    <x v="7"/>
    <n v="19711"/>
    <x v="1"/>
    <s v="FUR-FU-10001731"/>
    <x v="1"/>
    <x v="8"/>
    <s v="Acrylic Self-Standing Desk Frames"/>
    <n v="10.68"/>
    <n v="4"/>
    <n v="0"/>
    <n v="4.0583999999999998"/>
  </r>
  <r>
    <n v="974"/>
    <s v="US-2023-115413"/>
    <x v="187"/>
    <x v="200"/>
    <s v="Standard Class"/>
    <s v="PP-18955"/>
    <x v="372"/>
    <x v="1"/>
    <x v="0"/>
    <s v="Newark"/>
    <x v="7"/>
    <n v="19711"/>
    <x v="1"/>
    <s v="OFF-AR-10003770"/>
    <x v="0"/>
    <x v="4"/>
    <s v="Newell 340"/>
    <n v="8.64"/>
    <n v="3"/>
    <n v="0"/>
    <n v="2.5055999999999998"/>
  </r>
  <r>
    <n v="975"/>
    <s v="US-2023-103331"/>
    <x v="187"/>
    <x v="200"/>
    <s v="Standard Class"/>
    <s v="KB-16315"/>
    <x v="371"/>
    <x v="0"/>
    <x v="0"/>
    <s v="Newark"/>
    <x v="7"/>
    <n v="19711"/>
    <x v="1"/>
    <s v="OFF-PA-10002160"/>
    <x v="0"/>
    <x v="0"/>
    <s v="Xerox 1978"/>
    <n v="17.34"/>
    <n v="3"/>
    <n v="0"/>
    <n v="8.4966000000000008"/>
  </r>
  <r>
    <n v="976"/>
    <s v="US-2023-103331"/>
    <x v="187"/>
    <x v="200"/>
    <s v="Standard Class"/>
    <s v="KB-16315"/>
    <x v="371"/>
    <x v="0"/>
    <x v="0"/>
    <s v="Newark"/>
    <x v="7"/>
    <n v="19711"/>
    <x v="1"/>
    <s v="OFF-PA-10002659"/>
    <x v="0"/>
    <x v="0"/>
    <s v="Avoid Verbal Orders Carbonless Minifold Book"/>
    <n v="3.38"/>
    <n v="1"/>
    <n v="0"/>
    <n v="1.5547999999999997"/>
  </r>
  <r>
    <n v="977"/>
    <s v="US-2023-123260"/>
    <x v="187"/>
    <x v="199"/>
    <s v="Standard Class"/>
    <s v="FM-14290"/>
    <x v="373"/>
    <x v="1"/>
    <x v="0"/>
    <s v="Los Angeles"/>
    <x v="5"/>
    <n v="90032"/>
    <x v="3"/>
    <s v="TEC-AC-10002323"/>
    <x v="2"/>
    <x v="9"/>
    <s v="SanDisk Ultra 32 GB MicroSDHC Class 10 Memory Card"/>
    <n v="176.8"/>
    <n v="8"/>
    <n v="0"/>
    <n v="22.984000000000009"/>
  </r>
  <r>
    <n v="978"/>
    <s v="US-2023-115413"/>
    <x v="187"/>
    <x v="200"/>
    <s v="Standard Class"/>
    <s v="PP-18955"/>
    <x v="372"/>
    <x v="1"/>
    <x v="0"/>
    <s v="Newark"/>
    <x v="7"/>
    <n v="19711"/>
    <x v="1"/>
    <s v="TEC-AC-10002800"/>
    <x v="2"/>
    <x v="9"/>
    <s v="Plantronics Audio 478 Stereo USB Headset"/>
    <n v="149.97"/>
    <n v="3"/>
    <n v="0"/>
    <n v="52.489499999999992"/>
  </r>
  <r>
    <n v="979"/>
    <s v="US-2023-124688"/>
    <x v="188"/>
    <x v="198"/>
    <s v="First Class"/>
    <s v="CC-12610"/>
    <x v="374"/>
    <x v="2"/>
    <x v="0"/>
    <s v="Springfield"/>
    <x v="6"/>
    <n v="22153"/>
    <x v="2"/>
    <s v="FUR-FU-10002456"/>
    <x v="1"/>
    <x v="8"/>
    <s v="Master Caster Door Stop, Large Neon Orange"/>
    <n v="29.12"/>
    <n v="4"/>
    <n v="0"/>
    <n v="12.521600000000003"/>
  </r>
  <r>
    <n v="980"/>
    <s v="US-2023-124688"/>
    <x v="188"/>
    <x v="198"/>
    <s v="First Class"/>
    <s v="CC-12610"/>
    <x v="374"/>
    <x v="2"/>
    <x v="0"/>
    <s v="Springfield"/>
    <x v="6"/>
    <n v="22153"/>
    <x v="2"/>
    <s v="FUR-TA-10003569"/>
    <x v="1"/>
    <x v="13"/>
    <s v="Bretford CR8500 Series Meeting Room Furniture"/>
    <n v="1202.94"/>
    <n v="3"/>
    <n v="0"/>
    <n v="300.73500000000001"/>
  </r>
  <r>
    <n v="981"/>
    <s v="US-2023-143336"/>
    <x v="188"/>
    <x v="200"/>
    <s v="Second Class"/>
    <s v="ZD-21925"/>
    <x v="375"/>
    <x v="0"/>
    <x v="0"/>
    <s v="San Francisco"/>
    <x v="5"/>
    <n v="94109"/>
    <x v="3"/>
    <s v="OFF-AR-10003056"/>
    <x v="0"/>
    <x v="4"/>
    <s v="Newell 341"/>
    <n v="8.56"/>
    <n v="2"/>
    <n v="0"/>
    <n v="2.4823999999999993"/>
  </r>
  <r>
    <n v="982"/>
    <s v="US-2023-143336"/>
    <x v="188"/>
    <x v="200"/>
    <s v="Second Class"/>
    <s v="ZD-21925"/>
    <x v="375"/>
    <x v="0"/>
    <x v="0"/>
    <s v="San Francisco"/>
    <x v="5"/>
    <n v="94109"/>
    <x v="3"/>
    <s v="OFF-BI-10002215"/>
    <x v="0"/>
    <x v="1"/>
    <s v="Wilson Jones Hanging View Binder, White, 1&quot;"/>
    <n v="22.72"/>
    <n v="4"/>
    <n v="0.2"/>
    <n v="7.3839999999999986"/>
  </r>
  <r>
    <n v="983"/>
    <s v="US-2023-101266"/>
    <x v="188"/>
    <x v="199"/>
    <s v="Second Class"/>
    <s v="MM-17920"/>
    <x v="12"/>
    <x v="0"/>
    <x v="0"/>
    <s v="Springfield"/>
    <x v="6"/>
    <n v="22153"/>
    <x v="2"/>
    <s v="OFF-PA-10002986"/>
    <x v="0"/>
    <x v="0"/>
    <s v="Xerox 1898"/>
    <n v="13.36"/>
    <n v="2"/>
    <n v="0"/>
    <n v="6.4127999999999998"/>
  </r>
  <r>
    <n v="984"/>
    <s v="US-2023-124688"/>
    <x v="188"/>
    <x v="198"/>
    <s v="First Class"/>
    <s v="CC-12610"/>
    <x v="374"/>
    <x v="2"/>
    <x v="0"/>
    <s v="Springfield"/>
    <x v="6"/>
    <n v="22153"/>
    <x v="2"/>
    <s v="TEC-PH-10000455"/>
    <x v="2"/>
    <x v="7"/>
    <s v="GE 30522EE2"/>
    <n v="579.94999999999993"/>
    <n v="5"/>
    <n v="0"/>
    <n v="168.18549999999993"/>
  </r>
  <r>
    <n v="985"/>
    <s v="US-2023-143336"/>
    <x v="188"/>
    <x v="200"/>
    <s v="Second Class"/>
    <s v="ZD-21925"/>
    <x v="375"/>
    <x v="0"/>
    <x v="0"/>
    <s v="San Francisco"/>
    <x v="5"/>
    <n v="94109"/>
    <x v="3"/>
    <s v="TEC-PH-10001949"/>
    <x v="2"/>
    <x v="7"/>
    <s v="Cisco SPA 501G IP Phone"/>
    <n v="213.48000000000002"/>
    <n v="3"/>
    <n v="0.2"/>
    <n v="16.010999999999981"/>
  </r>
  <r>
    <n v="986"/>
    <s v="US-2023-169775"/>
    <x v="189"/>
    <x v="201"/>
    <s v="Second Class"/>
    <s v="RA-19945"/>
    <x v="376"/>
    <x v="0"/>
    <x v="0"/>
    <s v="Miami"/>
    <x v="16"/>
    <n v="33178"/>
    <x v="2"/>
    <s v="FUR-TA-10001857"/>
    <x v="1"/>
    <x v="13"/>
    <s v="Balt Solid Wood Rectangular Table"/>
    <n v="174.05850000000001"/>
    <n v="3"/>
    <n v="0.45"/>
    <n v="-110.76450000000001"/>
  </r>
  <r>
    <n v="987"/>
    <s v="US-2023-169775"/>
    <x v="189"/>
    <x v="201"/>
    <s v="Second Class"/>
    <s v="RA-19945"/>
    <x v="376"/>
    <x v="0"/>
    <x v="0"/>
    <s v="Miami"/>
    <x v="16"/>
    <n v="33178"/>
    <x v="2"/>
    <s v="OFF-BI-10004390"/>
    <x v="0"/>
    <x v="1"/>
    <s v="GBC DocuBind 200 Manual Binding Machine"/>
    <n v="505.1760000000001"/>
    <n v="4"/>
    <n v="0.7"/>
    <n v="-336.78399999999988"/>
  </r>
  <r>
    <n v="988"/>
    <s v="US-2023-169775"/>
    <x v="189"/>
    <x v="201"/>
    <s v="Second Class"/>
    <s v="RA-19945"/>
    <x v="376"/>
    <x v="0"/>
    <x v="0"/>
    <s v="Miami"/>
    <x v="16"/>
    <n v="33178"/>
    <x v="2"/>
    <s v="OFF-EN-10001749"/>
    <x v="0"/>
    <x v="11"/>
    <s v="Jiffy Padded Mailers with Self-Seal Closure"/>
    <n v="29.808"/>
    <n v="2"/>
    <n v="0.2"/>
    <n v="10.805399999999997"/>
  </r>
  <r>
    <n v="989"/>
    <s v="US-2023-135699"/>
    <x v="189"/>
    <x v="198"/>
    <s v="Same Day"/>
    <s v="HH-15010"/>
    <x v="377"/>
    <x v="2"/>
    <x v="0"/>
    <s v="San Francisco"/>
    <x v="5"/>
    <n v="94110"/>
    <x v="3"/>
    <s v="OFF-PA-10003001"/>
    <x v="0"/>
    <x v="0"/>
    <s v="Xerox 1986"/>
    <n v="13.36"/>
    <n v="2"/>
    <n v="0"/>
    <n v="6.4127999999999998"/>
  </r>
  <r>
    <n v="990"/>
    <s v="US-2023-135699"/>
    <x v="189"/>
    <x v="198"/>
    <s v="Same Day"/>
    <s v="HH-15010"/>
    <x v="377"/>
    <x v="2"/>
    <x v="0"/>
    <s v="San Francisco"/>
    <x v="5"/>
    <n v="94110"/>
    <x v="3"/>
    <s v="OFF-PA-10004475"/>
    <x v="0"/>
    <x v="0"/>
    <s v="Xerox 1940"/>
    <n v="109.92"/>
    <n v="2"/>
    <n v="0"/>
    <n v="53.860799999999998"/>
  </r>
  <r>
    <n v="991"/>
    <s v="US-2023-146500"/>
    <x v="190"/>
    <x v="202"/>
    <s v="Standard Class"/>
    <s v="AT-10735"/>
    <x v="378"/>
    <x v="0"/>
    <x v="0"/>
    <s v="Bristol"/>
    <x v="39"/>
    <n v="6010"/>
    <x v="1"/>
    <s v="OFF-BI-10002432"/>
    <x v="0"/>
    <x v="1"/>
    <s v="Wilson Jones Standard D-Ring Binders"/>
    <n v="25.299999999999997"/>
    <n v="5"/>
    <n v="0"/>
    <n v="11.890999999999998"/>
  </r>
  <r>
    <n v="992"/>
    <s v="US-2023-146500"/>
    <x v="190"/>
    <x v="202"/>
    <s v="Standard Class"/>
    <s v="AT-10735"/>
    <x v="378"/>
    <x v="0"/>
    <x v="0"/>
    <s v="Bristol"/>
    <x v="39"/>
    <n v="6010"/>
    <x v="1"/>
    <s v="OFF-ST-10000563"/>
    <x v="0"/>
    <x v="3"/>
    <s v="Fellowes Bankers Box Stor/Drawer Steel Plus"/>
    <n v="95.94"/>
    <n v="3"/>
    <n v="0"/>
    <n v="9.5940000000000012"/>
  </r>
  <r>
    <n v="993"/>
    <s v="US-2023-143385"/>
    <x v="191"/>
    <x v="203"/>
    <s v="Standard Class"/>
    <s v="SJ-20500"/>
    <x v="379"/>
    <x v="0"/>
    <x v="0"/>
    <s v="Santa Fe"/>
    <x v="33"/>
    <n v="87505"/>
    <x v="3"/>
    <s v="TEC-AC-10001635"/>
    <x v="2"/>
    <x v="9"/>
    <s v="KeyTronic KT400U2 - Keyboard - Black"/>
    <n v="92.52"/>
    <n v="9"/>
    <n v="0"/>
    <n v="18.503999999999991"/>
  </r>
  <r>
    <n v="994"/>
    <s v="US-2023-126522"/>
    <x v="192"/>
    <x v="203"/>
    <s v="Second Class"/>
    <s v="LT-16765"/>
    <x v="380"/>
    <x v="0"/>
    <x v="0"/>
    <s v="Escondido"/>
    <x v="5"/>
    <n v="92025"/>
    <x v="3"/>
    <s v="OFF-AR-10004042"/>
    <x v="0"/>
    <x v="4"/>
    <s v="BOSTON Model 1800 Electric Pencil Sharpeners, Putty/Woodgrain"/>
    <n v="53.94"/>
    <n v="3"/>
    <n v="0"/>
    <n v="15.642599999999995"/>
  </r>
  <r>
    <n v="995"/>
    <s v="US-2023-165428"/>
    <x v="192"/>
    <x v="202"/>
    <s v="First Class"/>
    <s v="JL-15130"/>
    <x v="307"/>
    <x v="0"/>
    <x v="0"/>
    <s v="Houston"/>
    <x v="0"/>
    <n v="77036"/>
    <x v="0"/>
    <s v="OFF-BI-10002949"/>
    <x v="0"/>
    <x v="1"/>
    <s v="Prestige Round Ring Binders"/>
    <n v="3.6479999999999992"/>
    <n v="3"/>
    <n v="0.8"/>
    <n v="-6.0192000000000032"/>
  </r>
  <r>
    <n v="996"/>
    <s v="US-2023-109855"/>
    <x v="192"/>
    <x v="203"/>
    <s v="Standard Class"/>
    <s v="LH-16900"/>
    <x v="356"/>
    <x v="0"/>
    <x v="0"/>
    <s v="New York City"/>
    <x v="21"/>
    <n v="10009"/>
    <x v="1"/>
    <s v="OFF-BI-10004716"/>
    <x v="0"/>
    <x v="1"/>
    <s v="Wilson Jones Hanging Recycled Pressboard Data Binders"/>
    <n v="23.744"/>
    <n v="2"/>
    <n v="0.2"/>
    <n v="8.3103999999999996"/>
  </r>
  <r>
    <n v="997"/>
    <s v="US-2023-165428"/>
    <x v="192"/>
    <x v="202"/>
    <s v="First Class"/>
    <s v="JL-15130"/>
    <x v="307"/>
    <x v="0"/>
    <x v="0"/>
    <s v="Houston"/>
    <x v="0"/>
    <n v="77036"/>
    <x v="0"/>
    <s v="OFF-PA-10004100"/>
    <x v="0"/>
    <x v="0"/>
    <s v="Xerox 216"/>
    <n v="31.104000000000006"/>
    <n v="6"/>
    <n v="0.2"/>
    <n v="10.8864"/>
  </r>
  <r>
    <n v="998"/>
    <s v="US-2023-109855"/>
    <x v="192"/>
    <x v="203"/>
    <s v="Standard Class"/>
    <s v="LH-16900"/>
    <x v="356"/>
    <x v="0"/>
    <x v="0"/>
    <s v="New York City"/>
    <x v="21"/>
    <n v="10009"/>
    <x v="1"/>
    <s v="TEC-AC-10002842"/>
    <x v="2"/>
    <x v="9"/>
    <s v="WD My Passport Ultra 2TB Portable External Hard Drive"/>
    <n v="357"/>
    <n v="3"/>
    <n v="0"/>
    <n v="57.120000000000019"/>
  </r>
  <r>
    <n v="999"/>
    <s v="US-2023-157721"/>
    <x v="193"/>
    <x v="203"/>
    <s v="First Class"/>
    <s v="JM-16195"/>
    <x v="177"/>
    <x v="0"/>
    <x v="0"/>
    <s v="Watertown"/>
    <x v="21"/>
    <n v="13601"/>
    <x v="1"/>
    <s v="FUR-FU-10002116"/>
    <x v="1"/>
    <x v="8"/>
    <s v="Tenex Carpeted, Granite-Look or Clear Contemporary Contour Shape Chair Mats"/>
    <n v="70.709999999999994"/>
    <n v="1"/>
    <n v="0"/>
    <n v="4.9496999999999929"/>
  </r>
  <r>
    <n v="1000"/>
    <s v="US-2023-157721"/>
    <x v="193"/>
    <x v="203"/>
    <s v="First Class"/>
    <s v="JM-16195"/>
    <x v="177"/>
    <x v="0"/>
    <x v="0"/>
    <s v="Watertown"/>
    <x v="21"/>
    <n v="13601"/>
    <x v="1"/>
    <s v="OFF-AP-10001303"/>
    <x v="0"/>
    <x v="12"/>
    <s v="Holmes Cool Mist Humidifier for the Whole House with 8-Gallon Output per Day, Extended Life Filter"/>
    <n v="19.899999999999999"/>
    <n v="1"/>
    <n v="0"/>
    <n v="8.95499999999999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US-2023-103800"/>
    <x v="0"/>
    <x v="0"/>
    <s v="Standard Class"/>
    <s v="DP-13000"/>
    <s v="Darren Powers"/>
    <x v="0"/>
    <x v="0"/>
    <s v="Houston"/>
    <x v="0"/>
    <n v="77095"/>
    <s v="Central"/>
    <s v="OFF-PA-10000174"/>
    <x v="0"/>
    <x v="0"/>
    <x v="0"/>
    <n v="16.448"/>
    <n v="2"/>
    <n v="0.2"/>
    <n v="5.5511999999999979"/>
  </r>
  <r>
    <n v="2"/>
    <s v="US-2023-112326"/>
    <x v="1"/>
    <x v="1"/>
    <s v="Standard Class"/>
    <s v="PO-19195"/>
    <s v="Phillina Ober"/>
    <x v="1"/>
    <x v="0"/>
    <s v="Naperville"/>
    <x v="1"/>
    <n v="60540"/>
    <s v="Central"/>
    <s v="OFF-BI-10004094"/>
    <x v="0"/>
    <x v="1"/>
    <x v="1"/>
    <n v="3.5399999999999991"/>
    <n v="2"/>
    <n v="0.8"/>
    <n v="-5.4870000000000001"/>
  </r>
  <r>
    <n v="3"/>
    <s v="US-2023-112326"/>
    <x v="1"/>
    <x v="1"/>
    <s v="Standard Class"/>
    <s v="PO-19195"/>
    <s v="Phillina Ober"/>
    <x v="1"/>
    <x v="0"/>
    <s v="Naperville"/>
    <x v="1"/>
    <n v="60540"/>
    <s v="Central"/>
    <s v="OFF-LA-10003223"/>
    <x v="0"/>
    <x v="2"/>
    <x v="2"/>
    <n v="11.784000000000001"/>
    <n v="3"/>
    <n v="0.2"/>
    <n v="4.2716999999999992"/>
  </r>
  <r>
    <n v="4"/>
    <s v="US-2023-112326"/>
    <x v="1"/>
    <x v="1"/>
    <s v="Standard Class"/>
    <s v="PO-19195"/>
    <s v="Phillina Ober"/>
    <x v="1"/>
    <x v="0"/>
    <s v="Naperville"/>
    <x v="1"/>
    <n v="60540"/>
    <s v="Central"/>
    <s v="OFF-ST-10002743"/>
    <x v="0"/>
    <x v="3"/>
    <x v="3"/>
    <n v="272.73599999999999"/>
    <n v="3"/>
    <n v="0.2"/>
    <n v="-64.774800000000013"/>
  </r>
  <r>
    <n v="5"/>
    <s v="US-2023-141817"/>
    <x v="2"/>
    <x v="2"/>
    <s v="Standard Class"/>
    <s v="MB-18085"/>
    <s v="Mick Brown"/>
    <x v="0"/>
    <x v="0"/>
    <s v="Philadelphia"/>
    <x v="2"/>
    <n v="19143"/>
    <s v="East"/>
    <s v="OFF-AR-10003478"/>
    <x v="0"/>
    <x v="4"/>
    <x v="4"/>
    <n v="19.536000000000001"/>
    <n v="3"/>
    <n v="0.2"/>
    <n v="4.8840000000000003"/>
  </r>
  <r>
    <n v="6"/>
    <s v="US-2023-167199"/>
    <x v="3"/>
    <x v="3"/>
    <s v="Standard Class"/>
    <s v="ME-17320"/>
    <s v="Maria Etezadi"/>
    <x v="1"/>
    <x v="0"/>
    <s v="Henderson"/>
    <x v="3"/>
    <n v="42420"/>
    <s v="South"/>
    <s v="FUR-CH-10004063"/>
    <x v="1"/>
    <x v="5"/>
    <x v="5"/>
    <n v="2573.8200000000002"/>
    <n v="9"/>
    <n v="0"/>
    <n v="746.40779999999972"/>
  </r>
  <r>
    <n v="7"/>
    <s v="US-2023-167199"/>
    <x v="3"/>
    <x v="3"/>
    <s v="Standard Class"/>
    <s v="ME-17320"/>
    <s v="Maria Etezadi"/>
    <x v="1"/>
    <x v="0"/>
    <s v="Henderson"/>
    <x v="3"/>
    <n v="42420"/>
    <s v="South"/>
    <s v="OFF-AR-10001662"/>
    <x v="0"/>
    <x v="4"/>
    <x v="6"/>
    <n v="5.48"/>
    <n v="2"/>
    <n v="0"/>
    <n v="1.4796000000000005"/>
  </r>
  <r>
    <n v="8"/>
    <s v="US-2023-106054"/>
    <x v="3"/>
    <x v="0"/>
    <s v="First Class"/>
    <s v="JO-15145"/>
    <s v="Jack O'Briant"/>
    <x v="2"/>
    <x v="0"/>
    <s v="Athens"/>
    <x v="4"/>
    <n v="30605"/>
    <s v="South"/>
    <s v="OFF-AR-10002399"/>
    <x v="0"/>
    <x v="4"/>
    <x v="7"/>
    <n v="12.78"/>
    <n v="3"/>
    <n v="0"/>
    <n v="5.2397999999999998"/>
  </r>
  <r>
    <n v="9"/>
    <s v="US-2023-167199"/>
    <x v="3"/>
    <x v="3"/>
    <s v="Standard Class"/>
    <s v="ME-17320"/>
    <s v="Maria Etezadi"/>
    <x v="1"/>
    <x v="0"/>
    <s v="Henderson"/>
    <x v="3"/>
    <n v="42420"/>
    <s v="South"/>
    <s v="OFF-BI-10004632"/>
    <x v="0"/>
    <x v="1"/>
    <x v="8"/>
    <n v="609.98"/>
    <n v="2"/>
    <n v="0"/>
    <n v="274.49099999999999"/>
  </r>
  <r>
    <n v="10"/>
    <s v="US-2023-167199"/>
    <x v="3"/>
    <x v="3"/>
    <s v="Standard Class"/>
    <s v="ME-17320"/>
    <s v="Maria Etezadi"/>
    <x v="1"/>
    <x v="0"/>
    <s v="Henderson"/>
    <x v="3"/>
    <n v="42420"/>
    <s v="South"/>
    <s v="OFF-FA-10001883"/>
    <x v="0"/>
    <x v="6"/>
    <x v="9"/>
    <n v="31.12"/>
    <n v="4"/>
    <n v="0"/>
    <n v="0.31119999999999948"/>
  </r>
  <r>
    <n v="11"/>
    <s v="US-2023-167199"/>
    <x v="3"/>
    <x v="3"/>
    <s v="Standard Class"/>
    <s v="ME-17320"/>
    <s v="Maria Etezadi"/>
    <x v="1"/>
    <x v="0"/>
    <s v="Henderson"/>
    <x v="3"/>
    <n v="42420"/>
    <s v="South"/>
    <s v="OFF-PA-10000955"/>
    <x v="0"/>
    <x v="0"/>
    <x v="10"/>
    <n v="6.54"/>
    <n v="1"/>
    <n v="0"/>
    <n v="3.0084"/>
  </r>
  <r>
    <n v="12"/>
    <s v="US-2023-130813"/>
    <x v="3"/>
    <x v="1"/>
    <s v="Second Class"/>
    <s v="LS-17230"/>
    <s v="Lycoris Saunders"/>
    <x v="0"/>
    <x v="0"/>
    <s v="Los Angeles"/>
    <x v="5"/>
    <n v="90049"/>
    <s v="West"/>
    <s v="OFF-PA-10002005"/>
    <x v="0"/>
    <x v="0"/>
    <x v="11"/>
    <n v="19.440000000000001"/>
    <n v="3"/>
    <n v="0"/>
    <n v="9.3312000000000008"/>
  </r>
  <r>
    <n v="13"/>
    <s v="US-2023-167199"/>
    <x v="3"/>
    <x v="3"/>
    <s v="Standard Class"/>
    <s v="ME-17320"/>
    <s v="Maria Etezadi"/>
    <x v="1"/>
    <x v="0"/>
    <s v="Henderson"/>
    <x v="3"/>
    <n v="42420"/>
    <s v="South"/>
    <s v="TEC-PH-10004539"/>
    <x v="2"/>
    <x v="7"/>
    <x v="12"/>
    <n v="755.96"/>
    <n v="4"/>
    <n v="0"/>
    <n v="204.10919999999999"/>
  </r>
  <r>
    <n v="14"/>
    <s v="US-2023-167199"/>
    <x v="3"/>
    <x v="3"/>
    <s v="Standard Class"/>
    <s v="ME-17320"/>
    <s v="Maria Etezadi"/>
    <x v="1"/>
    <x v="0"/>
    <s v="Henderson"/>
    <x v="3"/>
    <n v="42420"/>
    <s v="South"/>
    <s v="TEC-PH-10004977"/>
    <x v="2"/>
    <x v="7"/>
    <x v="13"/>
    <n v="391.98"/>
    <n v="2"/>
    <n v="0"/>
    <n v="113.67419999999998"/>
  </r>
  <r>
    <n v="15"/>
    <s v="US-2023-105417"/>
    <x v="4"/>
    <x v="2"/>
    <s v="Standard Class"/>
    <s v="VS-21820"/>
    <s v="Vivek Sundaresam"/>
    <x v="0"/>
    <x v="0"/>
    <s v="Huntsville"/>
    <x v="0"/>
    <n v="77340"/>
    <s v="Central"/>
    <s v="FUR-FU-10004864"/>
    <x v="1"/>
    <x v="8"/>
    <x v="14"/>
    <n v="76.728000000000009"/>
    <n v="3"/>
    <n v="0.6"/>
    <n v="-53.709599999999988"/>
  </r>
  <r>
    <n v="16"/>
    <s v="US-2023-105417"/>
    <x v="4"/>
    <x v="2"/>
    <s v="Standard Class"/>
    <s v="VS-21820"/>
    <s v="Vivek Sundaresam"/>
    <x v="0"/>
    <x v="0"/>
    <s v="Huntsville"/>
    <x v="0"/>
    <n v="77340"/>
    <s v="Central"/>
    <s v="OFF-BI-10003708"/>
    <x v="0"/>
    <x v="1"/>
    <x v="15"/>
    <n v="10.429999999999998"/>
    <n v="7"/>
    <n v="0.8"/>
    <n v="-18.252500000000005"/>
  </r>
  <r>
    <n v="17"/>
    <s v="US-2023-135405"/>
    <x v="5"/>
    <x v="4"/>
    <s v="Standard Class"/>
    <s v="MS-17830"/>
    <s v="Melanie Seite"/>
    <x v="0"/>
    <x v="0"/>
    <s v="Laredo"/>
    <x v="0"/>
    <n v="78041"/>
    <s v="Central"/>
    <s v="OFF-AR-10004078"/>
    <x v="0"/>
    <x v="4"/>
    <x v="16"/>
    <n v="9.3439999999999994"/>
    <n v="2"/>
    <n v="0.2"/>
    <n v="1.1679999999999997"/>
  </r>
  <r>
    <n v="18"/>
    <s v="US-2023-135405"/>
    <x v="5"/>
    <x v="4"/>
    <s v="Standard Class"/>
    <s v="MS-17830"/>
    <s v="Melanie Seite"/>
    <x v="0"/>
    <x v="0"/>
    <s v="Laredo"/>
    <x v="0"/>
    <n v="78041"/>
    <s v="Central"/>
    <s v="TEC-AC-10001266"/>
    <x v="2"/>
    <x v="9"/>
    <x v="17"/>
    <n v="31.200000000000003"/>
    <n v="3"/>
    <n v="0.2"/>
    <n v="9.7499999999999964"/>
  </r>
  <r>
    <n v="19"/>
    <s v="US-2023-149020"/>
    <x v="6"/>
    <x v="5"/>
    <s v="Standard Class"/>
    <s v="AJ-10780"/>
    <s v="Anthony Jacobs"/>
    <x v="2"/>
    <x v="0"/>
    <s v="Springfield"/>
    <x v="6"/>
    <n v="22153"/>
    <s v="South"/>
    <s v="FUR-FU-10000965"/>
    <x v="1"/>
    <x v="8"/>
    <x v="18"/>
    <n v="51.94"/>
    <n v="1"/>
    <n v="0"/>
    <n v="21.295400000000001"/>
  </r>
  <r>
    <n v="20"/>
    <s v="US-2023-149020"/>
    <x v="6"/>
    <x v="5"/>
    <s v="Standard Class"/>
    <s v="AJ-10780"/>
    <s v="Anthony Jacobs"/>
    <x v="2"/>
    <x v="0"/>
    <s v="Springfield"/>
    <x v="6"/>
    <n v="22153"/>
    <s v="South"/>
    <s v="OFF-LA-10004272"/>
    <x v="0"/>
    <x v="2"/>
    <x v="19"/>
    <n v="2.89"/>
    <n v="1"/>
    <n v="0"/>
    <n v="1.3583000000000001"/>
  </r>
  <r>
    <n v="21"/>
    <s v="US-2023-130092"/>
    <x v="7"/>
    <x v="6"/>
    <s v="First Class"/>
    <s v="SV-20365"/>
    <s v="Seth Vernon"/>
    <x v="0"/>
    <x v="0"/>
    <s v="Dover"/>
    <x v="7"/>
    <n v="19901"/>
    <s v="East"/>
    <s v="FUR-FU-10000010"/>
    <x v="1"/>
    <x v="8"/>
    <x v="20"/>
    <n v="9.94"/>
    <n v="2"/>
    <n v="0"/>
    <n v="3.0813999999999995"/>
  </r>
  <r>
    <n v="22"/>
    <s v="US-2023-157147"/>
    <x v="8"/>
    <x v="7"/>
    <s v="Standard Class"/>
    <s v="BD-11605"/>
    <s v="Brian Dahlen"/>
    <x v="0"/>
    <x v="0"/>
    <s v="San Francisco"/>
    <x v="5"/>
    <n v="94109"/>
    <s v="West"/>
    <s v="FUR-BO-10003034"/>
    <x v="1"/>
    <x v="10"/>
    <x v="21"/>
    <n v="333.99899999999997"/>
    <n v="3"/>
    <n v="0.15"/>
    <n v="3.9294000000000082"/>
  </r>
  <r>
    <n v="23"/>
    <s v="US-2023-109232"/>
    <x v="8"/>
    <x v="8"/>
    <s v="Second Class"/>
    <s v="ND-18370"/>
    <s v="Natalie DeCherney"/>
    <x v="0"/>
    <x v="0"/>
    <s v="Mount Pleasant"/>
    <x v="8"/>
    <n v="29464"/>
    <s v="South"/>
    <s v="FUR-CH-10000422"/>
    <x v="1"/>
    <x v="5"/>
    <x v="22"/>
    <n v="545.93999999999994"/>
    <n v="6"/>
    <n v="0"/>
    <n v="87.350400000000036"/>
  </r>
  <r>
    <n v="24"/>
    <s v="US-2023-157147"/>
    <x v="8"/>
    <x v="7"/>
    <s v="Standard Class"/>
    <s v="BD-11605"/>
    <s v="Brian Dahlen"/>
    <x v="0"/>
    <x v="0"/>
    <s v="San Francisco"/>
    <x v="5"/>
    <n v="94109"/>
    <s v="West"/>
    <s v="OFF-AR-10003514"/>
    <x v="0"/>
    <x v="4"/>
    <x v="23"/>
    <n v="19.899999999999999"/>
    <n v="5"/>
    <n v="0"/>
    <n v="6.5669999999999984"/>
  </r>
  <r>
    <n v="25"/>
    <s v="US-2023-118192"/>
    <x v="8"/>
    <x v="7"/>
    <s v="Standard Class"/>
    <s v="MM-17920"/>
    <s v="Michael Moore"/>
    <x v="0"/>
    <x v="0"/>
    <s v="Newark"/>
    <x v="9"/>
    <n v="43055"/>
    <s v="East"/>
    <s v="OFF-BI-10003476"/>
    <x v="0"/>
    <x v="1"/>
    <x v="24"/>
    <n v="3.4380000000000006"/>
    <n v="2"/>
    <n v="0.7"/>
    <n v="-2.5212000000000003"/>
  </r>
  <r>
    <n v="26"/>
    <s v="US-2023-162775"/>
    <x v="8"/>
    <x v="5"/>
    <s v="Second Class"/>
    <s v="CS-12250"/>
    <s v="Chris Selesnick"/>
    <x v="2"/>
    <x v="0"/>
    <s v="Bossier City"/>
    <x v="10"/>
    <n v="71111"/>
    <s v="South"/>
    <s v="OFF-BI-10004187"/>
    <x v="0"/>
    <x v="1"/>
    <x v="25"/>
    <n v="5.64"/>
    <n v="3"/>
    <n v="0"/>
    <n v="2.7071999999999994"/>
  </r>
  <r>
    <n v="27"/>
    <s v="US-2023-162775"/>
    <x v="8"/>
    <x v="5"/>
    <s v="Second Class"/>
    <s v="CS-12250"/>
    <s v="Chris Selesnick"/>
    <x v="2"/>
    <x v="0"/>
    <s v="Bossier City"/>
    <x v="10"/>
    <n v="71111"/>
    <s v="South"/>
    <s v="OFF-EN-10001532"/>
    <x v="0"/>
    <x v="11"/>
    <x v="26"/>
    <n v="50.94"/>
    <n v="3"/>
    <n v="0"/>
    <n v="25.47"/>
  </r>
  <r>
    <n v="28"/>
    <s v="US-2023-162775"/>
    <x v="8"/>
    <x v="5"/>
    <s v="Second Class"/>
    <s v="CS-12250"/>
    <s v="Chris Selesnick"/>
    <x v="2"/>
    <x v="0"/>
    <s v="Bossier City"/>
    <x v="10"/>
    <n v="71111"/>
    <s v="South"/>
    <s v="OFF-EN-10001990"/>
    <x v="0"/>
    <x v="11"/>
    <x v="27"/>
    <n v="11.36"/>
    <n v="2"/>
    <n v="0"/>
    <n v="5.3391999999999991"/>
  </r>
  <r>
    <n v="29"/>
    <s v="US-2023-118192"/>
    <x v="8"/>
    <x v="7"/>
    <s v="Standard Class"/>
    <s v="MM-17920"/>
    <s v="Michael Moore"/>
    <x v="0"/>
    <x v="0"/>
    <s v="Newark"/>
    <x v="9"/>
    <n v="43055"/>
    <s v="East"/>
    <s v="OFF-PA-10002947"/>
    <x v="0"/>
    <x v="0"/>
    <x v="28"/>
    <n v="37.408000000000001"/>
    <n v="7"/>
    <n v="0.2"/>
    <n v="13.0928"/>
  </r>
  <r>
    <n v="30"/>
    <s v="US-2023-162775"/>
    <x v="8"/>
    <x v="5"/>
    <s v="Second Class"/>
    <s v="CS-12250"/>
    <s v="Chris Selesnick"/>
    <x v="2"/>
    <x v="0"/>
    <s v="Bossier City"/>
    <x v="10"/>
    <n v="71111"/>
    <s v="South"/>
    <s v="OFF-ST-10000025"/>
    <x v="0"/>
    <x v="3"/>
    <x v="29"/>
    <n v="572.58000000000004"/>
    <n v="6"/>
    <n v="0"/>
    <n v="34.354799999999955"/>
  </r>
  <r>
    <n v="31"/>
    <s v="US-2023-157147"/>
    <x v="8"/>
    <x v="7"/>
    <s v="Standard Class"/>
    <s v="BD-11605"/>
    <s v="Brian Dahlen"/>
    <x v="0"/>
    <x v="0"/>
    <s v="San Francisco"/>
    <x v="5"/>
    <n v="94109"/>
    <s v="West"/>
    <s v="OFF-ST-10000078"/>
    <x v="0"/>
    <x v="3"/>
    <x v="30"/>
    <n v="1325.8500000000001"/>
    <n v="5"/>
    <n v="0"/>
    <n v="238.65299999999991"/>
  </r>
  <r>
    <n v="32"/>
    <s v="US-2023-162775"/>
    <x v="8"/>
    <x v="5"/>
    <s v="Second Class"/>
    <s v="CS-12250"/>
    <s v="Chris Selesnick"/>
    <x v="2"/>
    <x v="0"/>
    <s v="Bossier City"/>
    <x v="10"/>
    <n v="71111"/>
    <s v="South"/>
    <s v="TEC-AC-10003174"/>
    <x v="2"/>
    <x v="9"/>
    <x v="31"/>
    <n v="646.74"/>
    <n v="6"/>
    <n v="0"/>
    <n v="258.69600000000003"/>
  </r>
  <r>
    <n v="33"/>
    <s v="US-2023-149524"/>
    <x v="9"/>
    <x v="5"/>
    <s v="First Class"/>
    <s v="BS-11590"/>
    <s v="Brendan Sweed"/>
    <x v="2"/>
    <x v="0"/>
    <s v="Philadelphia"/>
    <x v="2"/>
    <n v="19140"/>
    <s v="East"/>
    <s v="FUR-BO-10003433"/>
    <x v="1"/>
    <x v="10"/>
    <x v="32"/>
    <n v="61.96"/>
    <n v="4"/>
    <n v="0.5"/>
    <n v="-53.285600000000009"/>
  </r>
  <r>
    <n v="34"/>
    <s v="US-2023-103366"/>
    <x v="10"/>
    <x v="9"/>
    <s v="First Class"/>
    <s v="EH-13990"/>
    <s v="Erica Hackney"/>
    <x v="0"/>
    <x v="0"/>
    <s v="Roswell"/>
    <x v="4"/>
    <n v="30076"/>
    <s v="South"/>
    <s v="TEC-AC-10003628"/>
    <x v="2"/>
    <x v="9"/>
    <x v="33"/>
    <n v="149.94999999999999"/>
    <n v="5"/>
    <n v="0"/>
    <n v="65.978000000000009"/>
  </r>
  <r>
    <n v="35"/>
    <s v="US-2023-115791"/>
    <x v="11"/>
    <x v="7"/>
    <s v="Second Class"/>
    <s v="DL-13315"/>
    <s v="Delfina Latchford"/>
    <x v="0"/>
    <x v="0"/>
    <s v="Philadelphia"/>
    <x v="2"/>
    <n v="19134"/>
    <s v="East"/>
    <s v="FUR-FU-10001095"/>
    <x v="1"/>
    <x v="8"/>
    <x v="34"/>
    <n v="127.10400000000001"/>
    <n v="6"/>
    <n v="0.2"/>
    <n v="28.598399999999998"/>
  </r>
  <r>
    <n v="36"/>
    <s v="US-2023-115791"/>
    <x v="11"/>
    <x v="7"/>
    <s v="Second Class"/>
    <s v="DL-13315"/>
    <s v="Delfina Latchford"/>
    <x v="0"/>
    <x v="0"/>
    <s v="Philadelphia"/>
    <x v="2"/>
    <n v="19134"/>
    <s v="East"/>
    <s v="OFF-BI-10001575"/>
    <x v="0"/>
    <x v="1"/>
    <x v="35"/>
    <n v="18.588000000000005"/>
    <n v="2"/>
    <n v="0.7"/>
    <n v="-13.6312"/>
  </r>
  <r>
    <n v="37"/>
    <s v="US-2023-115791"/>
    <x v="11"/>
    <x v="7"/>
    <s v="Second Class"/>
    <s v="DL-13315"/>
    <s v="Delfina Latchford"/>
    <x v="0"/>
    <x v="0"/>
    <s v="Philadelphia"/>
    <x v="2"/>
    <n v="19134"/>
    <s v="East"/>
    <s v="OFF-LA-10001074"/>
    <x v="0"/>
    <x v="2"/>
    <x v="36"/>
    <n v="30.072000000000003"/>
    <n v="3"/>
    <n v="0.2"/>
    <n v="10.149299999999997"/>
  </r>
  <r>
    <n v="38"/>
    <s v="US-2023-115791"/>
    <x v="11"/>
    <x v="7"/>
    <s v="Second Class"/>
    <s v="DL-13315"/>
    <s v="Delfina Latchford"/>
    <x v="0"/>
    <x v="0"/>
    <s v="Philadelphia"/>
    <x v="2"/>
    <n v="19134"/>
    <s v="East"/>
    <s v="TEC-PH-10004614"/>
    <x v="2"/>
    <x v="7"/>
    <x v="37"/>
    <n v="124.19999999999999"/>
    <n v="3"/>
    <n v="0.4"/>
    <n v="-31.050000000000011"/>
  </r>
  <r>
    <n v="39"/>
    <s v="US-2023-123477"/>
    <x v="12"/>
    <x v="10"/>
    <s v="Second Class"/>
    <s v="DW-13195"/>
    <s v="David Wiener"/>
    <x v="2"/>
    <x v="0"/>
    <s v="Springfield"/>
    <x v="11"/>
    <n v="97477"/>
    <s v="West"/>
    <s v="OFF-AP-10000692"/>
    <x v="0"/>
    <x v="12"/>
    <x v="38"/>
    <n v="64.864000000000004"/>
    <n v="4"/>
    <n v="0.2"/>
    <n v="6.4864000000000033"/>
  </r>
  <r>
    <n v="40"/>
    <s v="US-2023-146591"/>
    <x v="13"/>
    <x v="11"/>
    <s v="First Class"/>
    <s v="TS-21340"/>
    <s v="Toby Swindell"/>
    <x v="0"/>
    <x v="0"/>
    <s v="Scottsdale"/>
    <x v="12"/>
    <n v="85254"/>
    <s v="West"/>
    <s v="FUR-BO-10001972"/>
    <x v="1"/>
    <x v="10"/>
    <x v="39"/>
    <n v="181.47000000000003"/>
    <n v="5"/>
    <n v="0.7"/>
    <n v="-320.59699999999998"/>
  </r>
  <r>
    <n v="41"/>
    <s v="US-2023-146591"/>
    <x v="13"/>
    <x v="11"/>
    <s v="First Class"/>
    <s v="TS-21340"/>
    <s v="Toby Swindell"/>
    <x v="0"/>
    <x v="0"/>
    <s v="Scottsdale"/>
    <x v="12"/>
    <n v="85254"/>
    <s v="West"/>
    <s v="OFF-BI-10003676"/>
    <x v="0"/>
    <x v="1"/>
    <x v="40"/>
    <n v="32.340000000000003"/>
    <n v="10"/>
    <n v="0.7"/>
    <n v="-23.716000000000001"/>
  </r>
  <r>
    <n v="42"/>
    <s v="US-2023-146591"/>
    <x v="13"/>
    <x v="11"/>
    <s v="First Class"/>
    <s v="TS-21340"/>
    <s v="Toby Swindell"/>
    <x v="0"/>
    <x v="0"/>
    <s v="Scottsdale"/>
    <x v="12"/>
    <n v="85254"/>
    <s v="West"/>
    <s v="OFF-EN-10002504"/>
    <x v="0"/>
    <x v="11"/>
    <x v="41"/>
    <n v="108.72"/>
    <n v="5"/>
    <n v="0.2"/>
    <n v="36.692999999999998"/>
  </r>
  <r>
    <n v="43"/>
    <s v="US-2023-146591"/>
    <x v="13"/>
    <x v="11"/>
    <s v="First Class"/>
    <s v="TS-21340"/>
    <s v="Toby Swindell"/>
    <x v="0"/>
    <x v="0"/>
    <s v="Scottsdale"/>
    <x v="12"/>
    <n v="85254"/>
    <s v="West"/>
    <s v="OFF-PA-10000659"/>
    <x v="0"/>
    <x v="0"/>
    <x v="42"/>
    <n v="56.064"/>
    <n v="4"/>
    <n v="0.2"/>
    <n v="19.622399999999999"/>
  </r>
  <r>
    <n v="44"/>
    <s v="US-2023-147627"/>
    <x v="14"/>
    <x v="12"/>
    <s v="Standard Class"/>
    <s v="HL-15040"/>
    <s v="Hunter Lopez"/>
    <x v="0"/>
    <x v="0"/>
    <s v="Jonesboro"/>
    <x v="13"/>
    <n v="72401"/>
    <s v="South"/>
    <s v="FUR-CH-10002331"/>
    <x v="1"/>
    <x v="5"/>
    <x v="43"/>
    <n v="1067.94"/>
    <n v="3"/>
    <n v="0"/>
    <n v="224.2673999999999"/>
  </r>
  <r>
    <n v="45"/>
    <s v="US-2023-167927"/>
    <x v="14"/>
    <x v="12"/>
    <s v="Standard Class"/>
    <s v="XP-21865"/>
    <s v="Xylona Preis"/>
    <x v="0"/>
    <x v="0"/>
    <s v="Westland"/>
    <x v="14"/>
    <n v="48185"/>
    <s v="Central"/>
    <s v="FUR-FU-10002268"/>
    <x v="1"/>
    <x v="8"/>
    <x v="44"/>
    <n v="14.73"/>
    <n v="3"/>
    <n v="0"/>
    <n v="4.8608999999999991"/>
  </r>
  <r>
    <n v="46"/>
    <s v="US-2023-167927"/>
    <x v="14"/>
    <x v="12"/>
    <s v="Standard Class"/>
    <s v="XP-21865"/>
    <s v="Xylona Preis"/>
    <x v="0"/>
    <x v="0"/>
    <s v="Westland"/>
    <x v="14"/>
    <n v="48185"/>
    <s v="Central"/>
    <s v="FUR-FU-10002918"/>
    <x v="1"/>
    <x v="8"/>
    <x v="45"/>
    <n v="272.94"/>
    <n v="3"/>
    <n v="0"/>
    <n v="30.023400000000009"/>
  </r>
  <r>
    <n v="47"/>
    <s v="US-2023-147627"/>
    <x v="14"/>
    <x v="12"/>
    <s v="Standard Class"/>
    <s v="HL-15040"/>
    <s v="Hunter Lopez"/>
    <x v="0"/>
    <x v="0"/>
    <s v="Jonesboro"/>
    <x v="13"/>
    <n v="72401"/>
    <s v="South"/>
    <s v="FUR-FU-10003194"/>
    <x v="1"/>
    <x v="8"/>
    <x v="46"/>
    <n v="38.6"/>
    <n v="4"/>
    <n v="0"/>
    <n v="11.579999999999998"/>
  </r>
  <r>
    <n v="48"/>
    <s v="US-2023-148614"/>
    <x v="14"/>
    <x v="13"/>
    <s v="Standard Class"/>
    <s v="MV-17485"/>
    <s v="Mark Van Huff"/>
    <x v="0"/>
    <x v="0"/>
    <s v="Los Angeles"/>
    <x v="5"/>
    <n v="90049"/>
    <s v="West"/>
    <s v="FUR-FU-10003194"/>
    <x v="1"/>
    <x v="8"/>
    <x v="46"/>
    <n v="19.3"/>
    <n v="2"/>
    <n v="0"/>
    <n v="5.7899999999999991"/>
  </r>
  <r>
    <n v="49"/>
    <s v="US-2023-167927"/>
    <x v="14"/>
    <x v="12"/>
    <s v="Standard Class"/>
    <s v="XP-21865"/>
    <s v="Xylona Preis"/>
    <x v="0"/>
    <x v="0"/>
    <s v="Westland"/>
    <x v="14"/>
    <n v="48185"/>
    <s v="Central"/>
    <s v="OFF-AP-10002311"/>
    <x v="0"/>
    <x v="12"/>
    <x v="47"/>
    <n v="247.71600000000001"/>
    <n v="4"/>
    <n v="0.1"/>
    <n v="93.581600000000009"/>
  </r>
  <r>
    <n v="50"/>
    <s v="US-2023-147627"/>
    <x v="14"/>
    <x v="12"/>
    <s v="Standard Class"/>
    <s v="HL-15040"/>
    <s v="Hunter Lopez"/>
    <x v="0"/>
    <x v="0"/>
    <s v="Jonesboro"/>
    <x v="13"/>
    <n v="72401"/>
    <s v="South"/>
    <s v="OFF-AR-10002375"/>
    <x v="0"/>
    <x v="4"/>
    <x v="48"/>
    <n v="22.959999999999997"/>
    <n v="7"/>
    <n v="0"/>
    <n v="6.6583999999999968"/>
  </r>
  <r>
    <n v="51"/>
    <s v="US-2023-147627"/>
    <x v="14"/>
    <x v="12"/>
    <s v="Standard Class"/>
    <s v="HL-15040"/>
    <s v="Hunter Lopez"/>
    <x v="0"/>
    <x v="0"/>
    <s v="Jonesboro"/>
    <x v="13"/>
    <n v="72401"/>
    <s v="South"/>
    <s v="OFF-AR-10003811"/>
    <x v="0"/>
    <x v="4"/>
    <x v="49"/>
    <n v="6.63"/>
    <n v="3"/>
    <n v="0"/>
    <n v="1.7901"/>
  </r>
  <r>
    <n v="52"/>
    <s v="US-2023-167927"/>
    <x v="14"/>
    <x v="12"/>
    <s v="Standard Class"/>
    <s v="XP-21865"/>
    <s v="Xylona Preis"/>
    <x v="0"/>
    <x v="0"/>
    <s v="Westland"/>
    <x v="14"/>
    <n v="48185"/>
    <s v="Central"/>
    <s v="OFF-AR-10004456"/>
    <x v="0"/>
    <x v="4"/>
    <x v="50"/>
    <n v="43.92"/>
    <n v="3"/>
    <n v="0"/>
    <n v="12.736799999999999"/>
  </r>
  <r>
    <n v="53"/>
    <s v="US-2023-167927"/>
    <x v="14"/>
    <x v="12"/>
    <s v="Standard Class"/>
    <s v="XP-21865"/>
    <s v="Xylona Preis"/>
    <x v="0"/>
    <x v="0"/>
    <s v="Westland"/>
    <x v="14"/>
    <n v="48185"/>
    <s v="Central"/>
    <s v="OFF-BI-10000605"/>
    <x v="0"/>
    <x v="1"/>
    <x v="51"/>
    <n v="19.05"/>
    <n v="5"/>
    <n v="0"/>
    <n v="8.9534999999999982"/>
  </r>
  <r>
    <n v="54"/>
    <s v="US-2023-147774"/>
    <x v="14"/>
    <x v="12"/>
    <s v="Standard Class"/>
    <s v="MM-18280"/>
    <s v="Muhammed MacIntyre"/>
    <x v="2"/>
    <x v="0"/>
    <s v="Smyrna"/>
    <x v="15"/>
    <n v="37167"/>
    <s v="South"/>
    <s v="OFF-BI-10003091"/>
    <x v="0"/>
    <x v="1"/>
    <x v="52"/>
    <n v="67.194000000000003"/>
    <n v="1"/>
    <n v="0.7"/>
    <n v="-51.515399999999985"/>
  </r>
  <r>
    <n v="55"/>
    <s v="US-2023-167927"/>
    <x v="14"/>
    <x v="12"/>
    <s v="Standard Class"/>
    <s v="XP-21865"/>
    <s v="Xylona Preis"/>
    <x v="0"/>
    <x v="0"/>
    <s v="Westland"/>
    <x v="14"/>
    <n v="48185"/>
    <s v="Central"/>
    <s v="OFF-BI-10004364"/>
    <x v="0"/>
    <x v="1"/>
    <x v="53"/>
    <n v="29.700000000000003"/>
    <n v="5"/>
    <n v="0"/>
    <n v="13.365"/>
  </r>
  <r>
    <n v="56"/>
    <s v="US-2023-147627"/>
    <x v="14"/>
    <x v="12"/>
    <s v="Standard Class"/>
    <s v="HL-15040"/>
    <s v="Hunter Lopez"/>
    <x v="0"/>
    <x v="0"/>
    <s v="Jonesboro"/>
    <x v="13"/>
    <n v="72401"/>
    <s v="South"/>
    <s v="OFF-EN-10001539"/>
    <x v="0"/>
    <x v="11"/>
    <x v="27"/>
    <n v="23.34"/>
    <n v="3"/>
    <n v="0"/>
    <n v="10.969799999999999"/>
  </r>
  <r>
    <n v="57"/>
    <s v="US-2023-148614"/>
    <x v="14"/>
    <x v="13"/>
    <s v="Standard Class"/>
    <s v="MV-17485"/>
    <s v="Mark Van Huff"/>
    <x v="0"/>
    <x v="0"/>
    <s v="Los Angeles"/>
    <x v="5"/>
    <n v="90049"/>
    <s v="West"/>
    <s v="OFF-PA-10002893"/>
    <x v="0"/>
    <x v="0"/>
    <x v="54"/>
    <n v="19.36"/>
    <n v="2"/>
    <n v="0"/>
    <n v="9.2927999999999997"/>
  </r>
  <r>
    <n v="58"/>
    <s v="US-2023-167927"/>
    <x v="14"/>
    <x v="12"/>
    <s v="Standard Class"/>
    <s v="XP-21865"/>
    <s v="Xylona Preis"/>
    <x v="0"/>
    <x v="0"/>
    <s v="Westland"/>
    <x v="14"/>
    <n v="48185"/>
    <s v="Central"/>
    <s v="OFF-ST-10000760"/>
    <x v="0"/>
    <x v="3"/>
    <x v="55"/>
    <n v="13.98"/>
    <n v="1"/>
    <n v="0"/>
    <n v="4.0541999999999998"/>
  </r>
  <r>
    <n v="59"/>
    <s v="US-2023-167927"/>
    <x v="14"/>
    <x v="12"/>
    <s v="Standard Class"/>
    <s v="XP-21865"/>
    <s v="Xylona Preis"/>
    <x v="0"/>
    <x v="0"/>
    <s v="Westland"/>
    <x v="14"/>
    <n v="48185"/>
    <s v="Central"/>
    <s v="OFF-ST-10003123"/>
    <x v="0"/>
    <x v="3"/>
    <x v="56"/>
    <n v="66.58"/>
    <n v="2"/>
    <n v="0"/>
    <n v="15.979199999999999"/>
  </r>
  <r>
    <n v="60"/>
    <s v="US-2023-147627"/>
    <x v="14"/>
    <x v="12"/>
    <s v="Standard Class"/>
    <s v="HL-15040"/>
    <s v="Hunter Lopez"/>
    <x v="0"/>
    <x v="0"/>
    <s v="Jonesboro"/>
    <x v="13"/>
    <n v="72401"/>
    <s v="South"/>
    <s v="TEC-PH-10001061"/>
    <x v="2"/>
    <x v="7"/>
    <x v="57"/>
    <n v="699.93"/>
    <n v="7"/>
    <n v="0"/>
    <n v="181.98179999999999"/>
  </r>
  <r>
    <n v="61"/>
    <s v="US-2023-110422"/>
    <x v="15"/>
    <x v="14"/>
    <s v="Second Class"/>
    <s v="TB-21400"/>
    <s v="Tom Boeckenhauer"/>
    <x v="0"/>
    <x v="0"/>
    <s v="Miami"/>
    <x v="16"/>
    <n v="33180"/>
    <s v="South"/>
    <s v="FUR-FU-10001889"/>
    <x v="1"/>
    <x v="8"/>
    <x v="58"/>
    <n v="25.248000000000001"/>
    <n v="3"/>
    <n v="0.2"/>
    <n v="4.1027999999999993"/>
  </r>
  <r>
    <n v="62"/>
    <s v="CA-2023-115238"/>
    <x v="15"/>
    <x v="15"/>
    <s v="Standard Class"/>
    <s v="JW-15220"/>
    <s v="Jane Waco"/>
    <x v="2"/>
    <x v="1"/>
    <s v="Toronto"/>
    <x v="17"/>
    <s v="M7A"/>
    <s v="East"/>
    <s v="FUR-FU-10001025"/>
    <x v="1"/>
    <x v="8"/>
    <x v="59"/>
    <n v="24.3"/>
    <n v="5"/>
    <n v="0"/>
    <n v="10.45"/>
  </r>
  <r>
    <n v="63"/>
    <s v="CA-2023-115238"/>
    <x v="15"/>
    <x v="15"/>
    <s v="Standard Class"/>
    <s v="JW-15220"/>
    <s v="Jane Waco"/>
    <x v="2"/>
    <x v="1"/>
    <s v="Toronto"/>
    <x v="17"/>
    <s v="M7A"/>
    <s v="East"/>
    <s v="FUR-FU-10002445"/>
    <x v="1"/>
    <x v="8"/>
    <x v="60"/>
    <n v="9.48"/>
    <n v="1"/>
    <n v="0"/>
    <n v="3.79"/>
  </r>
  <r>
    <n v="64"/>
    <s v="CA-2023-115238"/>
    <x v="15"/>
    <x v="15"/>
    <s v="Standard Class"/>
    <s v="JW-15220"/>
    <s v="Jane Waco"/>
    <x v="2"/>
    <x v="1"/>
    <s v="Toronto"/>
    <x v="17"/>
    <s v="M7A"/>
    <s v="East"/>
    <s v="FUR-FU-10002960"/>
    <x v="1"/>
    <x v="8"/>
    <x v="61"/>
    <n v="31.4"/>
    <n v="5"/>
    <n v="0"/>
    <n v="13.19"/>
  </r>
  <r>
    <n v="65"/>
    <s v="CA-2023-115238"/>
    <x v="15"/>
    <x v="15"/>
    <s v="Standard Class"/>
    <s v="JW-15220"/>
    <s v="Jane Waco"/>
    <x v="2"/>
    <x v="1"/>
    <s v="Toronto"/>
    <x v="17"/>
    <s v="M7A"/>
    <s v="East"/>
    <s v="OFF-PA-10002689"/>
    <x v="0"/>
    <x v="0"/>
    <x v="62"/>
    <n v="6.48"/>
    <n v="1"/>
    <n v="0"/>
    <n v="3.11"/>
  </r>
  <r>
    <n v="66"/>
    <s v="CA-2023-115238"/>
    <x v="15"/>
    <x v="15"/>
    <s v="Standard Class"/>
    <s v="JW-15220"/>
    <s v="Jane Waco"/>
    <x v="2"/>
    <x v="1"/>
    <s v="Toronto"/>
    <x v="17"/>
    <s v="M7A"/>
    <s v="East"/>
    <s v="TEC-PH-10001300"/>
    <x v="2"/>
    <x v="7"/>
    <x v="63"/>
    <n v="209.5"/>
    <n v="10"/>
    <n v="0"/>
    <n v="58.66"/>
  </r>
  <r>
    <n v="67"/>
    <s v="US-2023-146997"/>
    <x v="16"/>
    <x v="16"/>
    <s v="Standard Class"/>
    <s v="SG-20605"/>
    <s v="Speros Goranitis"/>
    <x v="0"/>
    <x v="0"/>
    <s v="Lafayette"/>
    <x v="18"/>
    <n v="47905"/>
    <s v="Central"/>
    <s v="OFF-FA-10003467"/>
    <x v="0"/>
    <x v="6"/>
    <x v="64"/>
    <n v="5.9399999999999995"/>
    <n v="3"/>
    <n v="0"/>
    <n v="0"/>
  </r>
  <r>
    <n v="68"/>
    <s v="US-2023-102645"/>
    <x v="16"/>
    <x v="17"/>
    <s v="Standard Class"/>
    <s v="IM-15055"/>
    <s v="Ionia McGrath"/>
    <x v="0"/>
    <x v="0"/>
    <s v="Las Vegas"/>
    <x v="19"/>
    <n v="89115"/>
    <s v="West"/>
    <s v="OFF-PA-10001804"/>
    <x v="0"/>
    <x v="0"/>
    <x v="65"/>
    <n v="40.08"/>
    <n v="6"/>
    <n v="0"/>
    <n v="19.238399999999999"/>
  </r>
  <r>
    <n v="69"/>
    <s v="US-2023-167997"/>
    <x v="17"/>
    <x v="18"/>
    <s v="First Class"/>
    <s v="CA-11965"/>
    <s v="Carol Adams"/>
    <x v="2"/>
    <x v="0"/>
    <s v="Rapid City"/>
    <x v="20"/>
    <n v="57701"/>
    <s v="Central"/>
    <s v="FUR-BO-10004409"/>
    <x v="1"/>
    <x v="10"/>
    <x v="66"/>
    <n v="141.96"/>
    <n v="2"/>
    <n v="0"/>
    <n v="39.748800000000003"/>
  </r>
  <r>
    <n v="70"/>
    <s v="US-2023-155502"/>
    <x v="17"/>
    <x v="19"/>
    <s v="Standard Class"/>
    <s v="SD-20485"/>
    <s v="Shirley Daniels"/>
    <x v="1"/>
    <x v="0"/>
    <s v="Alexandria"/>
    <x v="6"/>
    <n v="22304"/>
    <s v="South"/>
    <s v="FUR-FU-10001847"/>
    <x v="1"/>
    <x v="8"/>
    <x v="67"/>
    <n v="12.419999999999998"/>
    <n v="3"/>
    <n v="0"/>
    <n v="4.4711999999999996"/>
  </r>
  <r>
    <n v="71"/>
    <s v="US-2023-155502"/>
    <x v="17"/>
    <x v="19"/>
    <s v="Standard Class"/>
    <s v="SD-20485"/>
    <s v="Shirley Daniels"/>
    <x v="1"/>
    <x v="0"/>
    <s v="Alexandria"/>
    <x v="6"/>
    <n v="22304"/>
    <s v="South"/>
    <s v="FUR-FU-10004587"/>
    <x v="1"/>
    <x v="8"/>
    <x v="68"/>
    <n v="62.820000000000007"/>
    <n v="3"/>
    <n v="0"/>
    <n v="30.7818"/>
  </r>
  <r>
    <n v="72"/>
    <s v="US-2023-167997"/>
    <x v="17"/>
    <x v="18"/>
    <s v="First Class"/>
    <s v="CA-11965"/>
    <s v="Carol Adams"/>
    <x v="2"/>
    <x v="0"/>
    <s v="Rapid City"/>
    <x v="20"/>
    <n v="57701"/>
    <s v="Central"/>
    <s v="OFF-BI-10001758"/>
    <x v="0"/>
    <x v="1"/>
    <x v="69"/>
    <n v="10.68"/>
    <n v="2"/>
    <n v="0"/>
    <n v="5.0195999999999996"/>
  </r>
  <r>
    <n v="73"/>
    <s v="US-2023-155502"/>
    <x v="17"/>
    <x v="19"/>
    <s v="Standard Class"/>
    <s v="SD-20485"/>
    <s v="Shirley Daniels"/>
    <x v="1"/>
    <x v="0"/>
    <s v="Alexandria"/>
    <x v="6"/>
    <n v="22304"/>
    <s v="South"/>
    <s v="OFF-PA-10000380"/>
    <x v="0"/>
    <x v="0"/>
    <x v="70"/>
    <n v="16.68"/>
    <n v="2"/>
    <n v="0"/>
    <n v="8.34"/>
  </r>
  <r>
    <n v="74"/>
    <s v="US-2023-155502"/>
    <x v="17"/>
    <x v="19"/>
    <s v="Standard Class"/>
    <s v="SD-20485"/>
    <s v="Shirley Daniels"/>
    <x v="1"/>
    <x v="0"/>
    <s v="Alexandria"/>
    <x v="6"/>
    <n v="22304"/>
    <s v="South"/>
    <s v="OFF-PA-10003072"/>
    <x v="0"/>
    <x v="0"/>
    <x v="71"/>
    <n v="19.440000000000001"/>
    <n v="3"/>
    <n v="0"/>
    <n v="9.3312000000000008"/>
  </r>
  <r>
    <n v="75"/>
    <s v="US-2023-155502"/>
    <x v="17"/>
    <x v="19"/>
    <s v="Standard Class"/>
    <s v="SD-20485"/>
    <s v="Shirley Daniels"/>
    <x v="1"/>
    <x v="0"/>
    <s v="Alexandria"/>
    <x v="6"/>
    <n v="22304"/>
    <s v="South"/>
    <s v="OFF-ST-10004337"/>
    <x v="0"/>
    <x v="3"/>
    <x v="72"/>
    <n v="489.92"/>
    <n v="8"/>
    <n v="0"/>
    <n v="0"/>
  </r>
  <r>
    <n v="76"/>
    <s v="US-2023-155502"/>
    <x v="17"/>
    <x v="19"/>
    <s v="Standard Class"/>
    <s v="SD-20485"/>
    <s v="Shirley Daniels"/>
    <x v="1"/>
    <x v="0"/>
    <s v="Alexandria"/>
    <x v="6"/>
    <n v="22304"/>
    <s v="South"/>
    <s v="TEC-PH-10002103"/>
    <x v="2"/>
    <x v="7"/>
    <x v="73"/>
    <n v="187.98"/>
    <n v="2"/>
    <n v="0"/>
    <n v="52.634399999999999"/>
  </r>
  <r>
    <n v="77"/>
    <s v="US-2023-155502"/>
    <x v="17"/>
    <x v="19"/>
    <s v="Standard Class"/>
    <s v="SD-20485"/>
    <s v="Shirley Daniels"/>
    <x v="1"/>
    <x v="0"/>
    <s v="Alexandria"/>
    <x v="6"/>
    <n v="22304"/>
    <s v="South"/>
    <s v="TEC-PH-10004833"/>
    <x v="2"/>
    <x v="7"/>
    <x v="74"/>
    <n v="155.35"/>
    <n v="13"/>
    <n v="0"/>
    <n v="0"/>
  </r>
  <r>
    <n v="78"/>
    <s v="US-2023-117163"/>
    <x v="18"/>
    <x v="20"/>
    <s v="Standard Class"/>
    <s v="EJ-13720"/>
    <s v="Ed Jacobs"/>
    <x v="0"/>
    <x v="0"/>
    <s v="San Diego"/>
    <x v="5"/>
    <n v="92037"/>
    <s v="West"/>
    <s v="FUR-TA-10003469"/>
    <x v="1"/>
    <x v="13"/>
    <x v="75"/>
    <n v="333"/>
    <n v="3"/>
    <n v="0.2"/>
    <n v="-16.649999999999991"/>
  </r>
  <r>
    <n v="79"/>
    <s v="US-2023-117163"/>
    <x v="18"/>
    <x v="20"/>
    <s v="Standard Class"/>
    <s v="EJ-13720"/>
    <s v="Ed Jacobs"/>
    <x v="0"/>
    <x v="0"/>
    <s v="San Diego"/>
    <x v="5"/>
    <n v="92037"/>
    <s v="West"/>
    <s v="OFF-AR-10003179"/>
    <x v="0"/>
    <x v="4"/>
    <x v="76"/>
    <n v="36.44"/>
    <n v="4"/>
    <n v="0"/>
    <n v="12.025199999999998"/>
  </r>
  <r>
    <n v="80"/>
    <s v="US-2023-117163"/>
    <x v="18"/>
    <x v="20"/>
    <s v="Standard Class"/>
    <s v="EJ-13720"/>
    <s v="Ed Jacobs"/>
    <x v="0"/>
    <x v="0"/>
    <s v="San Diego"/>
    <x v="5"/>
    <n v="92037"/>
    <s v="West"/>
    <s v="OFF-ST-10003692"/>
    <x v="0"/>
    <x v="3"/>
    <x v="77"/>
    <n v="57.23"/>
    <n v="1"/>
    <n v="0"/>
    <n v="14.307499999999997"/>
  </r>
  <r>
    <n v="81"/>
    <s v="US-2023-100328"/>
    <x v="19"/>
    <x v="21"/>
    <s v="Standard Class"/>
    <s v="JC-15340"/>
    <s v="Jasper Cacioppo"/>
    <x v="0"/>
    <x v="0"/>
    <s v="New York City"/>
    <x v="21"/>
    <n v="10024"/>
    <s v="East"/>
    <s v="OFF-BI-10000343"/>
    <x v="0"/>
    <x v="1"/>
    <x v="78"/>
    <n v="3.9280000000000004"/>
    <n v="1"/>
    <n v="0.2"/>
    <n v="1.3256999999999999"/>
  </r>
  <r>
    <n v="82"/>
    <s v="US-2023-134103"/>
    <x v="20"/>
    <x v="22"/>
    <s v="Standard Class"/>
    <s v="MV-18190"/>
    <s v="Mike Vittorini"/>
    <x v="0"/>
    <x v="0"/>
    <s v="Detroit"/>
    <x v="14"/>
    <n v="48234"/>
    <s v="Central"/>
    <s v="OFF-PA-10001204"/>
    <x v="0"/>
    <x v="0"/>
    <x v="79"/>
    <n v="10.56"/>
    <n v="2"/>
    <n v="0"/>
    <n v="4.7519999999999998"/>
  </r>
  <r>
    <n v="83"/>
    <s v="US-2023-134103"/>
    <x v="20"/>
    <x v="22"/>
    <s v="Standard Class"/>
    <s v="MV-18190"/>
    <s v="Mike Vittorini"/>
    <x v="0"/>
    <x v="0"/>
    <s v="Detroit"/>
    <x v="14"/>
    <n v="48234"/>
    <s v="Central"/>
    <s v="OFF-ST-10000991"/>
    <x v="0"/>
    <x v="3"/>
    <x v="80"/>
    <n v="229.94"/>
    <n v="2"/>
    <n v="0"/>
    <n v="6.8982000000000028"/>
  </r>
  <r>
    <n v="84"/>
    <s v="US-2023-115161"/>
    <x v="21"/>
    <x v="20"/>
    <s v="First Class"/>
    <s v="LC-17050"/>
    <s v="Liz Carlisle"/>
    <x v="0"/>
    <x v="0"/>
    <s v="Mission Viejo"/>
    <x v="5"/>
    <n v="92691"/>
    <s v="West"/>
    <s v="FUR-BO-10003966"/>
    <x v="1"/>
    <x v="10"/>
    <x v="81"/>
    <n v="290.666"/>
    <n v="2"/>
    <n v="0.15"/>
    <n v="3.4195999999999884"/>
  </r>
  <r>
    <n v="85"/>
    <s v="US-2023-140795"/>
    <x v="22"/>
    <x v="21"/>
    <s v="First Class"/>
    <s v="BD-11500"/>
    <s v="Bradley Drucker"/>
    <x v="0"/>
    <x v="0"/>
    <s v="Green Bay"/>
    <x v="22"/>
    <n v="54302"/>
    <s v="Central"/>
    <s v="TEC-AC-10001432"/>
    <x v="2"/>
    <x v="9"/>
    <x v="82"/>
    <n v="468.90000000000003"/>
    <n v="6"/>
    <n v="0"/>
    <n v="206.31600000000006"/>
  </r>
  <r>
    <n v="86"/>
    <s v="US-2023-123400"/>
    <x v="23"/>
    <x v="23"/>
    <s v="Standard Class"/>
    <s v="EB-13930"/>
    <s v="Eric Barreto"/>
    <x v="0"/>
    <x v="0"/>
    <s v="Saint Petersburg"/>
    <x v="16"/>
    <n v="33710"/>
    <s v="South"/>
    <s v="OFF-BI-10000666"/>
    <x v="0"/>
    <x v="1"/>
    <x v="83"/>
    <n v="18.336000000000002"/>
    <n v="2"/>
    <n v="0.7"/>
    <n v="-12.224"/>
  </r>
  <r>
    <n v="87"/>
    <s v="US-2023-139857"/>
    <x v="23"/>
    <x v="24"/>
    <s v="Standard Class"/>
    <s v="CD-12790"/>
    <s v="Cynthia Delaney"/>
    <x v="1"/>
    <x v="0"/>
    <s v="San Diego"/>
    <x v="5"/>
    <n v="92037"/>
    <s v="West"/>
    <s v="OFF-FA-10001843"/>
    <x v="0"/>
    <x v="6"/>
    <x v="84"/>
    <n v="12.350000000000001"/>
    <n v="5"/>
    <n v="0"/>
    <n v="5.8045"/>
  </r>
  <r>
    <n v="88"/>
    <s v="US-2023-123400"/>
    <x v="23"/>
    <x v="23"/>
    <s v="Standard Class"/>
    <s v="EB-13930"/>
    <s v="Eric Barreto"/>
    <x v="0"/>
    <x v="0"/>
    <s v="Saint Petersburg"/>
    <x v="16"/>
    <n v="33710"/>
    <s v="South"/>
    <s v="TEC-PH-10002890"/>
    <x v="2"/>
    <x v="7"/>
    <x v="85"/>
    <n v="180.96"/>
    <n v="5"/>
    <n v="0.2"/>
    <n v="13.571999999999996"/>
  </r>
  <r>
    <n v="89"/>
    <s v="US-2023-111059"/>
    <x v="24"/>
    <x v="24"/>
    <s v="Second Class"/>
    <s v="TB-21400"/>
    <s v="Tom Boeckenhauer"/>
    <x v="0"/>
    <x v="0"/>
    <s v="Seattle"/>
    <x v="23"/>
    <n v="98105"/>
    <s v="West"/>
    <s v="OFF-BI-10002827"/>
    <x v="0"/>
    <x v="1"/>
    <x v="86"/>
    <n v="13.272000000000002"/>
    <n v="3"/>
    <n v="0.2"/>
    <n v="4.3133999999999997"/>
  </r>
  <r>
    <n v="90"/>
    <s v="US-2023-111059"/>
    <x v="24"/>
    <x v="24"/>
    <s v="Second Class"/>
    <s v="TB-21400"/>
    <s v="Tom Boeckenhauer"/>
    <x v="0"/>
    <x v="0"/>
    <s v="Seattle"/>
    <x v="23"/>
    <n v="98105"/>
    <s v="West"/>
    <s v="OFF-BI-10004593"/>
    <x v="0"/>
    <x v="1"/>
    <x v="87"/>
    <n v="83.84"/>
    <n v="2"/>
    <n v="0.2"/>
    <n v="27.247999999999998"/>
  </r>
  <r>
    <n v="91"/>
    <s v="US-2023-104808"/>
    <x v="25"/>
    <x v="25"/>
    <s v="Second Class"/>
    <s v="MH-17440"/>
    <s v="Mark Haberlin"/>
    <x v="2"/>
    <x v="0"/>
    <s v="Escondido"/>
    <x v="5"/>
    <n v="92025"/>
    <s v="West"/>
    <s v="OFF-BI-10003676"/>
    <x v="0"/>
    <x v="1"/>
    <x v="40"/>
    <n v="17.248000000000001"/>
    <n v="2"/>
    <n v="0.2"/>
    <n v="6.0367999999999986"/>
  </r>
  <r>
    <n v="92"/>
    <s v="US-2023-107181"/>
    <x v="25"/>
    <x v="25"/>
    <s v="Standard Class"/>
    <s v="DB-13270"/>
    <s v="Deborah Brumfield"/>
    <x v="1"/>
    <x v="0"/>
    <s v="San Diego"/>
    <x v="5"/>
    <n v="92024"/>
    <s v="West"/>
    <s v="OFF-BI-10004230"/>
    <x v="0"/>
    <x v="1"/>
    <x v="88"/>
    <n v="82.896000000000001"/>
    <n v="3"/>
    <n v="0.2"/>
    <n v="29.0136"/>
  </r>
  <r>
    <n v="93"/>
    <s v="US-2023-107181"/>
    <x v="25"/>
    <x v="25"/>
    <s v="Standard Class"/>
    <s v="DB-13270"/>
    <s v="Deborah Brumfield"/>
    <x v="1"/>
    <x v="0"/>
    <s v="San Diego"/>
    <x v="5"/>
    <n v="92024"/>
    <s v="West"/>
    <s v="OFF-PA-10000350"/>
    <x v="0"/>
    <x v="0"/>
    <x v="89"/>
    <n v="34.24"/>
    <n v="4"/>
    <n v="0"/>
    <n v="16.0928"/>
  </r>
  <r>
    <n v="94"/>
    <s v="US-2023-108182"/>
    <x v="26"/>
    <x v="26"/>
    <s v="Second Class"/>
    <s v="DL-13315"/>
    <s v="Delfina Latchford"/>
    <x v="0"/>
    <x v="0"/>
    <s v="Romeoville"/>
    <x v="1"/>
    <n v="60441"/>
    <s v="Central"/>
    <s v="OFF-BI-10001196"/>
    <x v="0"/>
    <x v="1"/>
    <x v="90"/>
    <n v="8.9519999999999982"/>
    <n v="2"/>
    <n v="0.8"/>
    <n v="-14.770800000000001"/>
  </r>
  <r>
    <n v="95"/>
    <s v="US-2023-131905"/>
    <x v="26"/>
    <x v="23"/>
    <s v="First Class"/>
    <s v="ND-18460"/>
    <s v="Neil Ducich"/>
    <x v="2"/>
    <x v="0"/>
    <s v="Chesapeake"/>
    <x v="6"/>
    <n v="23320"/>
    <s v="South"/>
    <s v="OFF-LA-10002787"/>
    <x v="0"/>
    <x v="2"/>
    <x v="91"/>
    <n v="15"/>
    <n v="4"/>
    <n v="0"/>
    <n v="7.1999999999999993"/>
  </r>
  <r>
    <n v="96"/>
    <s v="US-2023-131905"/>
    <x v="26"/>
    <x v="23"/>
    <s v="First Class"/>
    <s v="ND-18460"/>
    <s v="Neil Ducich"/>
    <x v="2"/>
    <x v="0"/>
    <s v="Chesapeake"/>
    <x v="6"/>
    <n v="23320"/>
    <s v="South"/>
    <s v="TEC-PH-10001615"/>
    <x v="2"/>
    <x v="7"/>
    <x v="92"/>
    <n v="144.94999999999999"/>
    <n v="5"/>
    <n v="0"/>
    <n v="42.035499999999985"/>
  </r>
  <r>
    <n v="97"/>
    <s v="US-2023-131905"/>
    <x v="26"/>
    <x v="23"/>
    <s v="First Class"/>
    <s v="ND-18460"/>
    <s v="Neil Ducich"/>
    <x v="2"/>
    <x v="0"/>
    <s v="Chesapeake"/>
    <x v="6"/>
    <n v="23320"/>
    <s v="South"/>
    <s v="TEC-PH-10003645"/>
    <x v="2"/>
    <x v="7"/>
    <x v="93"/>
    <n v="161.61000000000001"/>
    <n v="1"/>
    <n v="0"/>
    <n v="42.018600000000006"/>
  </r>
  <r>
    <n v="98"/>
    <s v="US-2023-169390"/>
    <x v="27"/>
    <x v="26"/>
    <s v="Second Class"/>
    <s v="CS-12250"/>
    <s v="Chris Selesnick"/>
    <x v="2"/>
    <x v="0"/>
    <s v="New York City"/>
    <x v="21"/>
    <n v="10024"/>
    <s v="East"/>
    <s v="OFF-ST-10001558"/>
    <x v="0"/>
    <x v="3"/>
    <x v="94"/>
    <n v="64.959999999999994"/>
    <n v="4"/>
    <n v="0"/>
    <n v="9.7439999999999998"/>
  </r>
  <r>
    <n v="99"/>
    <s v="US-2023-107755"/>
    <x v="27"/>
    <x v="27"/>
    <s v="Standard Class"/>
    <s v="CK-12760"/>
    <s v="Cyma Kinney"/>
    <x v="2"/>
    <x v="0"/>
    <s v="Linden"/>
    <x v="24"/>
    <n v="7036"/>
    <s v="East"/>
    <s v="TEC-AC-10000710"/>
    <x v="2"/>
    <x v="9"/>
    <x v="95"/>
    <n v="115.36"/>
    <n v="7"/>
    <n v="0"/>
    <n v="49.604800000000012"/>
  </r>
  <r>
    <n v="100"/>
    <s v="US-2023-125759"/>
    <x v="28"/>
    <x v="23"/>
    <s v="First Class"/>
    <s v="NM-18445"/>
    <s v="Nathan Mautz"/>
    <x v="1"/>
    <x v="0"/>
    <s v="North Las Vegas"/>
    <x v="19"/>
    <n v="89031"/>
    <s v="West"/>
    <s v="FUR-FU-10002111"/>
    <x v="1"/>
    <x v="8"/>
    <x v="96"/>
    <n v="14.56"/>
    <n v="2"/>
    <n v="0"/>
    <n v="5.5327999999999999"/>
  </r>
  <r>
    <n v="101"/>
    <s v="US-2023-168368"/>
    <x v="29"/>
    <x v="28"/>
    <s v="Second Class"/>
    <s v="GA-14725"/>
    <s v="Guy Armstrong"/>
    <x v="0"/>
    <x v="0"/>
    <s v="Columbia"/>
    <x v="25"/>
    <n v="65203"/>
    <s v="Central"/>
    <s v="FUR-CH-10001146"/>
    <x v="1"/>
    <x v="5"/>
    <x v="97"/>
    <n v="60.89"/>
    <n v="1"/>
    <n v="0"/>
    <n v="15.222499999999997"/>
  </r>
  <r>
    <n v="102"/>
    <s v="US-2023-168368"/>
    <x v="29"/>
    <x v="28"/>
    <s v="Second Class"/>
    <s v="GA-14725"/>
    <s v="Guy Armstrong"/>
    <x v="0"/>
    <x v="0"/>
    <s v="Columbia"/>
    <x v="25"/>
    <n v="65203"/>
    <s v="Central"/>
    <s v="FUR-FU-10002298"/>
    <x v="1"/>
    <x v="8"/>
    <x v="98"/>
    <n v="332.94"/>
    <n v="3"/>
    <n v="0"/>
    <n v="53.270399999999995"/>
  </r>
  <r>
    <n v="103"/>
    <s v="US-2023-127614"/>
    <x v="29"/>
    <x v="28"/>
    <s v="Standard Class"/>
    <s v="NF-18385"/>
    <s v="Natalie Fritzler"/>
    <x v="0"/>
    <x v="0"/>
    <s v="Chesapeake"/>
    <x v="6"/>
    <n v="23320"/>
    <s v="South"/>
    <s v="FUR-TA-10003715"/>
    <x v="1"/>
    <x v="13"/>
    <x v="99"/>
    <n v="1256.22"/>
    <n v="6"/>
    <n v="0"/>
    <n v="75.37319999999994"/>
  </r>
  <r>
    <n v="104"/>
    <s v="US-2023-127614"/>
    <x v="29"/>
    <x v="28"/>
    <s v="Standard Class"/>
    <s v="NF-18385"/>
    <s v="Natalie Fritzler"/>
    <x v="0"/>
    <x v="0"/>
    <s v="Chesapeake"/>
    <x v="6"/>
    <n v="23320"/>
    <s v="South"/>
    <s v="OFF-BI-10003291"/>
    <x v="0"/>
    <x v="1"/>
    <x v="100"/>
    <n v="17.46"/>
    <n v="2"/>
    <n v="0"/>
    <n v="8.2061999999999991"/>
  </r>
  <r>
    <n v="105"/>
    <s v="US-2023-168368"/>
    <x v="29"/>
    <x v="28"/>
    <s v="Second Class"/>
    <s v="GA-14725"/>
    <s v="Guy Armstrong"/>
    <x v="0"/>
    <x v="0"/>
    <s v="Columbia"/>
    <x v="25"/>
    <n v="65203"/>
    <s v="Central"/>
    <s v="OFF-BI-10004654"/>
    <x v="0"/>
    <x v="1"/>
    <x v="101"/>
    <n v="51.900000000000006"/>
    <n v="3"/>
    <n v="0"/>
    <n v="24.393000000000001"/>
  </r>
  <r>
    <n v="106"/>
    <s v="US-2023-168368"/>
    <x v="29"/>
    <x v="28"/>
    <s v="Second Class"/>
    <s v="GA-14725"/>
    <s v="Guy Armstrong"/>
    <x v="0"/>
    <x v="0"/>
    <s v="Columbia"/>
    <x v="25"/>
    <n v="65203"/>
    <s v="Central"/>
    <s v="OFF-BI-10004728"/>
    <x v="0"/>
    <x v="1"/>
    <x v="102"/>
    <n v="9.64"/>
    <n v="2"/>
    <n v="0"/>
    <n v="4.4344000000000001"/>
  </r>
  <r>
    <n v="107"/>
    <s v="US-2023-168368"/>
    <x v="29"/>
    <x v="28"/>
    <s v="Second Class"/>
    <s v="GA-14725"/>
    <s v="Guy Armstrong"/>
    <x v="0"/>
    <x v="0"/>
    <s v="Columbia"/>
    <x v="25"/>
    <n v="65203"/>
    <s v="Central"/>
    <s v="OFF-LA-10004853"/>
    <x v="0"/>
    <x v="2"/>
    <x v="103"/>
    <n v="14.940000000000001"/>
    <n v="3"/>
    <n v="0"/>
    <n v="6.8723999999999998"/>
  </r>
  <r>
    <n v="108"/>
    <s v="US-2023-168368"/>
    <x v="29"/>
    <x v="28"/>
    <s v="Second Class"/>
    <s v="GA-14725"/>
    <s v="Guy Armstrong"/>
    <x v="0"/>
    <x v="0"/>
    <s v="Columbia"/>
    <x v="25"/>
    <n v="65203"/>
    <s v="Central"/>
    <s v="OFF-ST-10002583"/>
    <x v="0"/>
    <x v="3"/>
    <x v="104"/>
    <n v="64.959999999999994"/>
    <n v="2"/>
    <n v="0"/>
    <n v="2.598399999999998"/>
  </r>
  <r>
    <n v="109"/>
    <s v="US-2023-127614"/>
    <x v="29"/>
    <x v="28"/>
    <s v="Standard Class"/>
    <s v="NF-18385"/>
    <s v="Natalie Fritzler"/>
    <x v="0"/>
    <x v="0"/>
    <s v="Chesapeake"/>
    <x v="6"/>
    <n v="23320"/>
    <s v="South"/>
    <s v="TEC-AC-10001432"/>
    <x v="2"/>
    <x v="9"/>
    <x v="82"/>
    <n v="234.45000000000002"/>
    <n v="3"/>
    <n v="0"/>
    <n v="103.15800000000003"/>
  </r>
  <r>
    <n v="110"/>
    <s v="US-2023-110674"/>
    <x v="30"/>
    <x v="29"/>
    <s v="Standard Class"/>
    <s v="SC-20095"/>
    <s v="Sanjit Chand"/>
    <x v="0"/>
    <x v="0"/>
    <s v="Concord"/>
    <x v="5"/>
    <n v="94521"/>
    <s v="West"/>
    <s v="FUR-CH-10000225"/>
    <x v="1"/>
    <x v="5"/>
    <x v="105"/>
    <n v="129.56800000000001"/>
    <n v="2"/>
    <n v="0.2"/>
    <n v="-24.294000000000018"/>
  </r>
  <r>
    <n v="111"/>
    <s v="US-2023-121762"/>
    <x v="31"/>
    <x v="29"/>
    <s v="Standard Class"/>
    <s v="ML-17395"/>
    <s v="Marina Lichtenstein"/>
    <x v="2"/>
    <x v="0"/>
    <s v="Seattle"/>
    <x v="23"/>
    <n v="98103"/>
    <s v="West"/>
    <s v="OFF-AP-10001293"/>
    <x v="0"/>
    <x v="12"/>
    <x v="106"/>
    <n v="81.96"/>
    <n v="2"/>
    <n v="0"/>
    <n v="22.948799999999999"/>
  </r>
  <r>
    <n v="112"/>
    <s v="US-2023-107706"/>
    <x v="31"/>
    <x v="30"/>
    <s v="Second Class"/>
    <s v="ST-20530"/>
    <s v="Shui Tom"/>
    <x v="0"/>
    <x v="0"/>
    <s v="Houston"/>
    <x v="0"/>
    <n v="77095"/>
    <s v="Central"/>
    <s v="OFF-PA-10000466"/>
    <x v="0"/>
    <x v="0"/>
    <x v="107"/>
    <n v="16.176000000000002"/>
    <n v="3"/>
    <n v="0.2"/>
    <n v="6.0659999999999989"/>
  </r>
  <r>
    <n v="113"/>
    <s v="US-2023-121762"/>
    <x v="31"/>
    <x v="29"/>
    <s v="Standard Class"/>
    <s v="ML-17395"/>
    <s v="Marina Lichtenstein"/>
    <x v="2"/>
    <x v="0"/>
    <s v="Seattle"/>
    <x v="23"/>
    <n v="98103"/>
    <s v="West"/>
    <s v="OFF-SU-10000157"/>
    <x v="0"/>
    <x v="14"/>
    <x v="108"/>
    <n v="238.62"/>
    <n v="2"/>
    <n v="0"/>
    <n v="4.7724000000000046"/>
  </r>
  <r>
    <n v="114"/>
    <s v="US-2023-121762"/>
    <x v="31"/>
    <x v="29"/>
    <s v="Standard Class"/>
    <s v="ML-17395"/>
    <s v="Marina Lichtenstein"/>
    <x v="2"/>
    <x v="0"/>
    <s v="Seattle"/>
    <x v="23"/>
    <n v="98103"/>
    <s v="West"/>
    <s v="TEC-AC-10000736"/>
    <x v="2"/>
    <x v="9"/>
    <x v="109"/>
    <n v="239.96999999999997"/>
    <n v="3"/>
    <n v="0"/>
    <n v="86.389199999999988"/>
  </r>
  <r>
    <n v="115"/>
    <s v="US-2023-165568"/>
    <x v="32"/>
    <x v="30"/>
    <s v="Standard Class"/>
    <s v="BF-11020"/>
    <s v="Barry Französisch"/>
    <x v="2"/>
    <x v="0"/>
    <s v="Seattle"/>
    <x v="23"/>
    <n v="98105"/>
    <s v="West"/>
    <s v="OFF-BI-10001031"/>
    <x v="0"/>
    <x v="1"/>
    <x v="110"/>
    <n v="21.36"/>
    <n v="5"/>
    <n v="0.2"/>
    <n v="7.2089999999999996"/>
  </r>
  <r>
    <n v="116"/>
    <s v="US-2023-122567"/>
    <x v="33"/>
    <x v="31"/>
    <s v="Standard Class"/>
    <s v="MN-17935"/>
    <s v="Michael Nguyen"/>
    <x v="0"/>
    <x v="0"/>
    <s v="Dallas"/>
    <x v="0"/>
    <n v="75220"/>
    <s v="Central"/>
    <s v="OFF-AP-10001303"/>
    <x v="0"/>
    <x v="12"/>
    <x v="111"/>
    <n v="7.9599999999999973"/>
    <n v="2"/>
    <n v="0.8"/>
    <n v="-13.930000000000003"/>
  </r>
  <r>
    <n v="117"/>
    <s v="US-2023-122567"/>
    <x v="33"/>
    <x v="31"/>
    <s v="Standard Class"/>
    <s v="MN-17935"/>
    <s v="Michael Nguyen"/>
    <x v="0"/>
    <x v="0"/>
    <s v="Dallas"/>
    <x v="0"/>
    <n v="75220"/>
    <s v="Central"/>
    <s v="OFF-BI-10002012"/>
    <x v="0"/>
    <x v="1"/>
    <x v="112"/>
    <n v="1.0799999999999998"/>
    <n v="3"/>
    <n v="0.8"/>
    <n v="-1.7280000000000002"/>
  </r>
  <r>
    <n v="118"/>
    <s v="US-2023-154165"/>
    <x v="34"/>
    <x v="32"/>
    <s v="Standard Class"/>
    <s v="DL-13315"/>
    <s v="Delfina Latchford"/>
    <x v="0"/>
    <x v="0"/>
    <s v="Chicago"/>
    <x v="1"/>
    <n v="60653"/>
    <s v="Central"/>
    <s v="OFF-AR-10003631"/>
    <x v="0"/>
    <x v="4"/>
    <x v="113"/>
    <n v="54.207999999999998"/>
    <n v="14"/>
    <n v="0.2"/>
    <n v="8.808799999999998"/>
  </r>
  <r>
    <n v="119"/>
    <s v="US-2023-165589"/>
    <x v="35"/>
    <x v="29"/>
    <s v="Same Day"/>
    <s v="TB-21595"/>
    <s v="Troy Blackwell"/>
    <x v="0"/>
    <x v="0"/>
    <s v="Lubbock"/>
    <x v="0"/>
    <n v="79424"/>
    <s v="Central"/>
    <s v="FUR-FU-10002396"/>
    <x v="1"/>
    <x v="8"/>
    <x v="114"/>
    <n v="25.16"/>
    <n v="5"/>
    <n v="0.6"/>
    <n v="-11.321999999999999"/>
  </r>
  <r>
    <n v="120"/>
    <s v="US-2023-152905"/>
    <x v="35"/>
    <x v="32"/>
    <s v="Standard Class"/>
    <s v="AB-10015"/>
    <s v="Aaron Bergman"/>
    <x v="0"/>
    <x v="0"/>
    <s v="Arlington"/>
    <x v="0"/>
    <n v="76017"/>
    <s v="Central"/>
    <s v="OFF-ST-10000321"/>
    <x v="0"/>
    <x v="3"/>
    <x v="115"/>
    <n v="12.624000000000001"/>
    <n v="2"/>
    <n v="0.2"/>
    <n v="-2.5248000000000022"/>
  </r>
  <r>
    <n v="121"/>
    <s v="US-2023-109491"/>
    <x v="36"/>
    <x v="33"/>
    <s v="Standard Class"/>
    <s v="LC-16930"/>
    <s v="Linda Cazamias"/>
    <x v="2"/>
    <x v="0"/>
    <s v="Richmond"/>
    <x v="18"/>
    <n v="47374"/>
    <s v="Central"/>
    <s v="FUR-FU-10000221"/>
    <x v="1"/>
    <x v="8"/>
    <x v="116"/>
    <n v="20.32"/>
    <n v="4"/>
    <n v="0"/>
    <n v="6.9087999999999994"/>
  </r>
  <r>
    <n v="122"/>
    <s v="US-2023-164903"/>
    <x v="36"/>
    <x v="32"/>
    <s v="Standard Class"/>
    <s v="SR-20740"/>
    <s v="Steven Roelle"/>
    <x v="1"/>
    <x v="0"/>
    <s v="Los Angeles"/>
    <x v="5"/>
    <n v="90049"/>
    <s v="West"/>
    <s v="OFF-PA-10003363"/>
    <x v="0"/>
    <x v="0"/>
    <x v="117"/>
    <n v="12.96"/>
    <n v="2"/>
    <n v="0"/>
    <n v="6.2208000000000006"/>
  </r>
  <r>
    <n v="123"/>
    <s v="US-2023-109491"/>
    <x v="36"/>
    <x v="33"/>
    <s v="Standard Class"/>
    <s v="LC-16930"/>
    <s v="Linda Cazamias"/>
    <x v="2"/>
    <x v="0"/>
    <s v="Richmond"/>
    <x v="18"/>
    <n v="47374"/>
    <s v="Central"/>
    <s v="TEC-AC-10001284"/>
    <x v="2"/>
    <x v="9"/>
    <x v="118"/>
    <n v="62.31"/>
    <n v="3"/>
    <n v="0"/>
    <n v="22.4316"/>
  </r>
  <r>
    <n v="124"/>
    <s v="US-2023-165540"/>
    <x v="37"/>
    <x v="34"/>
    <s v="Standard Class"/>
    <s v="TM-21010"/>
    <s v="Tamara Manning"/>
    <x v="0"/>
    <x v="0"/>
    <s v="Woodstock"/>
    <x v="1"/>
    <n v="60098"/>
    <s v="Central"/>
    <s v="OFF-BI-10004094"/>
    <x v="0"/>
    <x v="1"/>
    <x v="1"/>
    <n v="8.8499999999999979"/>
    <n v="5"/>
    <n v="0.8"/>
    <n v="-13.717499999999998"/>
  </r>
  <r>
    <n v="125"/>
    <s v="US-2023-133354"/>
    <x v="38"/>
    <x v="32"/>
    <s v="First Class"/>
    <s v="SA-20830"/>
    <s v="Sue Ann Reed"/>
    <x v="0"/>
    <x v="0"/>
    <s v="Moreno Valley"/>
    <x v="5"/>
    <n v="92553"/>
    <s v="West"/>
    <s v="OFF-PA-10001800"/>
    <x v="0"/>
    <x v="0"/>
    <x v="119"/>
    <n v="19.440000000000001"/>
    <n v="3"/>
    <n v="0"/>
    <n v="9.3312000000000008"/>
  </r>
  <r>
    <n v="126"/>
    <s v="US-2023-103744"/>
    <x v="39"/>
    <x v="35"/>
    <s v="Standard Class"/>
    <s v="MG-17875"/>
    <s v="Michael Grace"/>
    <x v="1"/>
    <x v="0"/>
    <s v="El Paso"/>
    <x v="0"/>
    <n v="79907"/>
    <s v="Central"/>
    <s v="OFF-BI-10000320"/>
    <x v="0"/>
    <x v="1"/>
    <x v="120"/>
    <n v="4.427999999999999"/>
    <n v="3"/>
    <n v="0.8"/>
    <n v="-6.8633999999999986"/>
  </r>
  <r>
    <n v="127"/>
    <s v="US-2023-103744"/>
    <x v="39"/>
    <x v="35"/>
    <s v="Standard Class"/>
    <s v="MG-17875"/>
    <s v="Michael Grace"/>
    <x v="1"/>
    <x v="0"/>
    <s v="El Paso"/>
    <x v="0"/>
    <n v="79907"/>
    <s v="Central"/>
    <s v="OFF-LA-10004425"/>
    <x v="0"/>
    <x v="2"/>
    <x v="121"/>
    <n v="6.9360000000000008"/>
    <n v="3"/>
    <n v="0.2"/>
    <n v="2.3409000000000004"/>
  </r>
  <r>
    <n v="128"/>
    <s v="US-2023-137680"/>
    <x v="40"/>
    <x v="36"/>
    <s v="Standard Class"/>
    <s v="JH-15430"/>
    <s v="Jennifer Halladay"/>
    <x v="0"/>
    <x v="0"/>
    <s v="Medford"/>
    <x v="11"/>
    <n v="97504"/>
    <s v="West"/>
    <s v="OFF-PA-10000069"/>
    <x v="0"/>
    <x v="0"/>
    <x v="122"/>
    <n v="22.776000000000003"/>
    <n v="3"/>
    <n v="0.2"/>
    <n v="7.6868999999999996"/>
  </r>
  <r>
    <n v="129"/>
    <s v="US-2023-137680"/>
    <x v="40"/>
    <x v="36"/>
    <s v="Standard Class"/>
    <s v="JH-15430"/>
    <s v="Jennifer Halladay"/>
    <x v="0"/>
    <x v="0"/>
    <s v="Medford"/>
    <x v="11"/>
    <n v="97504"/>
    <s v="West"/>
    <s v="OFF-PA-10000174"/>
    <x v="0"/>
    <x v="0"/>
    <x v="0"/>
    <n v="32.896000000000001"/>
    <n v="4"/>
    <n v="0.2"/>
    <n v="11.102399999999996"/>
  </r>
  <r>
    <n v="130"/>
    <s v="US-2023-156545"/>
    <x v="41"/>
    <x v="37"/>
    <s v="First Class"/>
    <s v="JS-16030"/>
    <s v="Joy Smith"/>
    <x v="0"/>
    <x v="0"/>
    <s v="Columbus"/>
    <x v="9"/>
    <n v="43229"/>
    <s v="East"/>
    <s v="OFF-AR-10003560"/>
    <x v="0"/>
    <x v="4"/>
    <x v="123"/>
    <n v="19.456000000000003"/>
    <n v="4"/>
    <n v="0.2"/>
    <n v="3.4047999999999981"/>
  </r>
  <r>
    <n v="131"/>
    <s v="US-2023-113880"/>
    <x v="42"/>
    <x v="38"/>
    <s v="Standard Class"/>
    <s v="VF-21715"/>
    <s v="Vicky Freymann"/>
    <x v="1"/>
    <x v="0"/>
    <s v="Elmhurst"/>
    <x v="1"/>
    <n v="60126"/>
    <s v="Central"/>
    <s v="FUR-CH-10000863"/>
    <x v="1"/>
    <x v="5"/>
    <x v="124"/>
    <n v="634.11599999999999"/>
    <n v="6"/>
    <n v="0.3"/>
    <n v="-172.11720000000003"/>
  </r>
  <r>
    <n v="132"/>
    <s v="US-2023-131009"/>
    <x v="42"/>
    <x v="38"/>
    <s v="Standard Class"/>
    <s v="SC-20380"/>
    <s v="Shahid Collister"/>
    <x v="0"/>
    <x v="0"/>
    <s v="El Paso"/>
    <x v="0"/>
    <n v="79907"/>
    <s v="Central"/>
    <s v="FUR-CH-10001270"/>
    <x v="1"/>
    <x v="5"/>
    <x v="125"/>
    <n v="362.24999999999994"/>
    <n v="6"/>
    <n v="0.3"/>
    <n v="0"/>
  </r>
  <r>
    <n v="133"/>
    <s v="US-2023-104269"/>
    <x v="42"/>
    <x v="39"/>
    <s v="Second Class"/>
    <s v="DB-13060"/>
    <s v="Dave Brooks"/>
    <x v="0"/>
    <x v="0"/>
    <s v="Seattle"/>
    <x v="23"/>
    <n v="98115"/>
    <s v="West"/>
    <s v="FUR-CH-10004063"/>
    <x v="1"/>
    <x v="5"/>
    <x v="5"/>
    <n v="457.56800000000004"/>
    <n v="2"/>
    <n v="0.2"/>
    <n v="51.476399999999941"/>
  </r>
  <r>
    <n v="134"/>
    <s v="US-2023-131009"/>
    <x v="42"/>
    <x v="38"/>
    <s v="Standard Class"/>
    <s v="SC-20380"/>
    <s v="Shahid Collister"/>
    <x v="0"/>
    <x v="0"/>
    <s v="El Paso"/>
    <x v="0"/>
    <n v="79907"/>
    <s v="Central"/>
    <s v="FUR-FU-10001095"/>
    <x v="1"/>
    <x v="8"/>
    <x v="34"/>
    <n v="63.552000000000007"/>
    <n v="6"/>
    <n v="0.6"/>
    <n v="-34.953600000000002"/>
  </r>
  <r>
    <n v="135"/>
    <s v="US-2023-168312"/>
    <x v="42"/>
    <x v="40"/>
    <s v="Standard Class"/>
    <s v="GW-14605"/>
    <s v="Giulietta Weimer"/>
    <x v="0"/>
    <x v="0"/>
    <s v="Houston"/>
    <x v="0"/>
    <n v="77036"/>
    <s v="Central"/>
    <s v="FUR-TA-10001866"/>
    <x v="1"/>
    <x v="13"/>
    <x v="126"/>
    <n v="376.50899999999996"/>
    <n v="3"/>
    <n v="0.3"/>
    <n v="-43.029600000000045"/>
  </r>
  <r>
    <n v="136"/>
    <s v="US-2023-131009"/>
    <x v="42"/>
    <x v="38"/>
    <s v="Standard Class"/>
    <s v="SC-20380"/>
    <s v="Shahid Collister"/>
    <x v="0"/>
    <x v="0"/>
    <s v="El Paso"/>
    <x v="0"/>
    <n v="79907"/>
    <s v="Central"/>
    <s v="OFF-FA-10004395"/>
    <x v="0"/>
    <x v="6"/>
    <x v="127"/>
    <n v="18.84"/>
    <n v="5"/>
    <n v="0.2"/>
    <n v="-3.5324999999999998"/>
  </r>
  <r>
    <n v="137"/>
    <s v="US-2023-113880"/>
    <x v="42"/>
    <x v="38"/>
    <s v="Standard Class"/>
    <s v="VF-21715"/>
    <s v="Vicky Freymann"/>
    <x v="1"/>
    <x v="0"/>
    <s v="Elmhurst"/>
    <x v="1"/>
    <n v="60126"/>
    <s v="Central"/>
    <s v="OFF-PA-10003036"/>
    <x v="0"/>
    <x v="0"/>
    <x v="128"/>
    <n v="17.472000000000001"/>
    <n v="3"/>
    <n v="0.2"/>
    <n v="5.6783999999999981"/>
  </r>
  <r>
    <n v="138"/>
    <s v="US-2023-131009"/>
    <x v="42"/>
    <x v="38"/>
    <s v="Standard Class"/>
    <s v="SC-20380"/>
    <s v="Shahid Collister"/>
    <x v="0"/>
    <x v="0"/>
    <s v="El Paso"/>
    <x v="0"/>
    <n v="79907"/>
    <s v="Central"/>
    <s v="OFF-ST-10001469"/>
    <x v="0"/>
    <x v="3"/>
    <x v="129"/>
    <n v="129.55199999999999"/>
    <n v="3"/>
    <n v="0.2"/>
    <n v="-22.671600000000005"/>
  </r>
  <r>
    <n v="139"/>
    <s v="US-2023-168312"/>
    <x v="42"/>
    <x v="40"/>
    <s v="Standard Class"/>
    <s v="GW-14605"/>
    <s v="Giulietta Weimer"/>
    <x v="0"/>
    <x v="0"/>
    <s v="Houston"/>
    <x v="0"/>
    <n v="77036"/>
    <s v="Central"/>
    <s v="OFF-ST-10003692"/>
    <x v="0"/>
    <x v="3"/>
    <x v="77"/>
    <n v="137.352"/>
    <n v="3"/>
    <n v="0.2"/>
    <n v="8.5844999999999914"/>
  </r>
  <r>
    <n v="140"/>
    <s v="US-2023-143707"/>
    <x v="42"/>
    <x v="38"/>
    <s v="Standard Class"/>
    <s v="HR-14770"/>
    <s v="Hallie Redmond"/>
    <x v="1"/>
    <x v="0"/>
    <s v="New York City"/>
    <x v="21"/>
    <n v="10035"/>
    <s v="East"/>
    <s v="TEC-PH-10003655"/>
    <x v="2"/>
    <x v="7"/>
    <x v="130"/>
    <n v="5.9399999999999995"/>
    <n v="3"/>
    <n v="0"/>
    <n v="1.6037999999999999"/>
  </r>
  <r>
    <n v="141"/>
    <s v="US-2023-107524"/>
    <x v="43"/>
    <x v="41"/>
    <s v="Standard Class"/>
    <s v="KN-16705"/>
    <s v="Kristina Nunn"/>
    <x v="1"/>
    <x v="0"/>
    <s v="New York City"/>
    <x v="21"/>
    <n v="10009"/>
    <s v="East"/>
    <s v="OFF-EN-10001990"/>
    <x v="0"/>
    <x v="11"/>
    <x v="27"/>
    <n v="11.36"/>
    <n v="2"/>
    <n v="0"/>
    <n v="5.3391999999999991"/>
  </r>
  <r>
    <n v="142"/>
    <s v="US-2023-111157"/>
    <x v="43"/>
    <x v="39"/>
    <s v="Standard Class"/>
    <s v="NH-18610"/>
    <s v="Nicole Hansen"/>
    <x v="2"/>
    <x v="0"/>
    <s v="Philadelphia"/>
    <x v="2"/>
    <n v="19120"/>
    <s v="East"/>
    <s v="OFF-PA-10000327"/>
    <x v="0"/>
    <x v="0"/>
    <x v="131"/>
    <n v="3.4240000000000004"/>
    <n v="1"/>
    <n v="0.2"/>
    <n v="1.0699999999999996"/>
  </r>
  <r>
    <n v="143"/>
    <s v="US-2023-107524"/>
    <x v="43"/>
    <x v="41"/>
    <s v="Standard Class"/>
    <s v="KN-16705"/>
    <s v="Kristina Nunn"/>
    <x v="1"/>
    <x v="0"/>
    <s v="New York City"/>
    <x v="21"/>
    <n v="10009"/>
    <s v="East"/>
    <s v="OFF-PA-10000587"/>
    <x v="0"/>
    <x v="0"/>
    <x v="132"/>
    <n v="36.4"/>
    <n v="5"/>
    <n v="0"/>
    <n v="17.472000000000001"/>
  </r>
  <r>
    <n v="144"/>
    <s v="US-2023-111157"/>
    <x v="43"/>
    <x v="39"/>
    <s v="Standard Class"/>
    <s v="NH-18610"/>
    <s v="Nicole Hansen"/>
    <x v="2"/>
    <x v="0"/>
    <s v="Philadelphia"/>
    <x v="2"/>
    <n v="19120"/>
    <s v="East"/>
    <s v="TEC-AC-10004353"/>
    <x v="2"/>
    <x v="9"/>
    <x v="133"/>
    <n v="151.20000000000002"/>
    <n v="3"/>
    <n v="0.2"/>
    <n v="32.130000000000003"/>
  </r>
  <r>
    <n v="145"/>
    <s v="US-2023-127978"/>
    <x v="44"/>
    <x v="41"/>
    <s v="Standard Class"/>
    <s v="JS-15595"/>
    <s v="Jill Stevenson"/>
    <x v="2"/>
    <x v="0"/>
    <s v="Columbus"/>
    <x v="9"/>
    <n v="43229"/>
    <s v="East"/>
    <s v="FUR-BO-10001972"/>
    <x v="1"/>
    <x v="10"/>
    <x v="39"/>
    <n v="302.45"/>
    <n v="5"/>
    <n v="0.5"/>
    <n v="-199.61700000000002"/>
  </r>
  <r>
    <n v="146"/>
    <s v="US-2023-105648"/>
    <x v="44"/>
    <x v="40"/>
    <s v="Standard Class"/>
    <s v="EJ-14155"/>
    <s v="Eva Jacobs"/>
    <x v="0"/>
    <x v="0"/>
    <s v="San Diego"/>
    <x v="5"/>
    <n v="92037"/>
    <s v="West"/>
    <s v="FUR-TA-10002958"/>
    <x v="1"/>
    <x v="13"/>
    <x v="134"/>
    <n v="626.35200000000009"/>
    <n v="3"/>
    <n v="0.2"/>
    <n v="-23.488200000000091"/>
  </r>
  <r>
    <n v="147"/>
    <s v="US-2023-130421"/>
    <x v="44"/>
    <x v="40"/>
    <s v="Standard Class"/>
    <s v="SC-20020"/>
    <s v="Sam Craven"/>
    <x v="0"/>
    <x v="0"/>
    <s v="Houston"/>
    <x v="0"/>
    <n v="77095"/>
    <s v="Central"/>
    <s v="OFF-AP-10002534"/>
    <x v="0"/>
    <x v="12"/>
    <x v="135"/>
    <n v="176.77199999999996"/>
    <n v="3"/>
    <n v="0.8"/>
    <n v="-459.60720000000003"/>
  </r>
  <r>
    <n v="148"/>
    <s v="US-2023-155852"/>
    <x v="44"/>
    <x v="40"/>
    <s v="Second Class"/>
    <s v="AJ-10945"/>
    <s v="Ashley Jarboe"/>
    <x v="0"/>
    <x v="0"/>
    <s v="Wilmington"/>
    <x v="26"/>
    <n v="28403"/>
    <s v="South"/>
    <s v="OFF-AR-10003560"/>
    <x v="0"/>
    <x v="4"/>
    <x v="123"/>
    <n v="19.456000000000003"/>
    <n v="4"/>
    <n v="0.2"/>
    <n v="3.4047999999999981"/>
  </r>
  <r>
    <n v="149"/>
    <s v="US-2023-127964"/>
    <x v="44"/>
    <x v="41"/>
    <s v="Standard Class"/>
    <s v="AP-10720"/>
    <s v="Anne Pryor"/>
    <x v="1"/>
    <x v="0"/>
    <s v="New York City"/>
    <x v="21"/>
    <n v="10035"/>
    <s v="East"/>
    <s v="OFF-BI-10003429"/>
    <x v="0"/>
    <x v="1"/>
    <x v="136"/>
    <n v="25.32"/>
    <n v="5"/>
    <n v="0.2"/>
    <n v="9.1785000000000014"/>
  </r>
  <r>
    <n v="150"/>
    <s v="US-2023-127964"/>
    <x v="44"/>
    <x v="41"/>
    <s v="Standard Class"/>
    <s v="AP-10720"/>
    <s v="Anne Pryor"/>
    <x v="1"/>
    <x v="0"/>
    <s v="New York City"/>
    <x v="21"/>
    <n v="10035"/>
    <s v="East"/>
    <s v="OFF-BI-10004593"/>
    <x v="0"/>
    <x v="1"/>
    <x v="87"/>
    <n v="125.76"/>
    <n v="3"/>
    <n v="0.2"/>
    <n v="40.872"/>
  </r>
  <r>
    <n v="151"/>
    <s v="US-2023-127978"/>
    <x v="44"/>
    <x v="41"/>
    <s v="Standard Class"/>
    <s v="JS-15595"/>
    <s v="Jill Stevenson"/>
    <x v="2"/>
    <x v="0"/>
    <s v="Columbus"/>
    <x v="9"/>
    <n v="43229"/>
    <s v="East"/>
    <s v="OFF-LA-10000305"/>
    <x v="0"/>
    <x v="2"/>
    <x v="137"/>
    <n v="15.120000000000001"/>
    <n v="3"/>
    <n v="0.2"/>
    <n v="4.9139999999999988"/>
  </r>
  <r>
    <n v="152"/>
    <s v="US-2023-127978"/>
    <x v="44"/>
    <x v="41"/>
    <s v="Standard Class"/>
    <s v="JS-15595"/>
    <s v="Jill Stevenson"/>
    <x v="2"/>
    <x v="0"/>
    <s v="Columbus"/>
    <x v="9"/>
    <n v="43229"/>
    <s v="East"/>
    <s v="OFF-ST-10002486"/>
    <x v="0"/>
    <x v="3"/>
    <x v="138"/>
    <n v="44.672000000000004"/>
    <n v="8"/>
    <n v="0.2"/>
    <n v="-10.051200000000003"/>
  </r>
  <r>
    <n v="153"/>
    <s v="US-2023-127964"/>
    <x v="44"/>
    <x v="41"/>
    <s v="Standard Class"/>
    <s v="AP-10720"/>
    <s v="Anne Pryor"/>
    <x v="1"/>
    <x v="0"/>
    <s v="New York City"/>
    <x v="21"/>
    <n v="10035"/>
    <s v="East"/>
    <s v="TEC-PH-10004700"/>
    <x v="2"/>
    <x v="7"/>
    <x v="139"/>
    <n v="9.99"/>
    <n v="1"/>
    <n v="0"/>
    <n v="4.5953999999999997"/>
  </r>
  <r>
    <n v="154"/>
    <s v="US-2023-117016"/>
    <x v="45"/>
    <x v="42"/>
    <s v="Standard Class"/>
    <s v="SC-20095"/>
    <s v="Sanjit Chand"/>
    <x v="0"/>
    <x v="0"/>
    <s v="Margate"/>
    <x v="16"/>
    <n v="33063"/>
    <s v="South"/>
    <s v="OFF-AR-10001374"/>
    <x v="0"/>
    <x v="4"/>
    <x v="140"/>
    <n v="15.552000000000003"/>
    <n v="3"/>
    <n v="0.2"/>
    <n v="2.3327999999999989"/>
  </r>
  <r>
    <n v="155"/>
    <s v="US-2023-116239"/>
    <x v="45"/>
    <x v="43"/>
    <s v="Same Day"/>
    <s v="CL-12565"/>
    <s v="Clay Ludtke"/>
    <x v="0"/>
    <x v="0"/>
    <s v="Columbia"/>
    <x v="8"/>
    <n v="29203"/>
    <s v="South"/>
    <s v="OFF-ST-10001370"/>
    <x v="0"/>
    <x v="3"/>
    <x v="141"/>
    <n v="354.90000000000003"/>
    <n v="5"/>
    <n v="0"/>
    <n v="17.744999999999962"/>
  </r>
  <r>
    <n v="156"/>
    <s v="US-2023-169061"/>
    <x v="46"/>
    <x v="41"/>
    <s v="Second Class"/>
    <s v="AB-10150"/>
    <s v="Aimee Bixby"/>
    <x v="0"/>
    <x v="0"/>
    <s v="Yonkers"/>
    <x v="21"/>
    <n v="10701"/>
    <s v="East"/>
    <s v="OFF-AR-10000588"/>
    <x v="0"/>
    <x v="4"/>
    <x v="142"/>
    <n v="59.519999999999996"/>
    <n v="3"/>
    <n v="0"/>
    <n v="15.475200000000001"/>
  </r>
  <r>
    <n v="157"/>
    <s v="US-2023-169061"/>
    <x v="46"/>
    <x v="41"/>
    <s v="Second Class"/>
    <s v="AB-10150"/>
    <s v="Aimee Bixby"/>
    <x v="0"/>
    <x v="0"/>
    <s v="Yonkers"/>
    <x v="21"/>
    <n v="10701"/>
    <s v="East"/>
    <s v="OFF-BI-10001617"/>
    <x v="0"/>
    <x v="1"/>
    <x v="143"/>
    <n v="49.632000000000005"/>
    <n v="6"/>
    <n v="0.2"/>
    <n v="16.750799999999998"/>
  </r>
  <r>
    <n v="158"/>
    <s v="US-2023-169061"/>
    <x v="46"/>
    <x v="41"/>
    <s v="Second Class"/>
    <s v="AB-10150"/>
    <s v="Aimee Bixby"/>
    <x v="0"/>
    <x v="0"/>
    <s v="Yonkers"/>
    <x v="21"/>
    <n v="10701"/>
    <s v="East"/>
    <s v="OFF-PA-10001878"/>
    <x v="0"/>
    <x v="0"/>
    <x v="144"/>
    <n v="97.82"/>
    <n v="2"/>
    <n v="0"/>
    <n v="45.975399999999993"/>
  </r>
  <r>
    <n v="159"/>
    <s v="US-2023-169061"/>
    <x v="46"/>
    <x v="41"/>
    <s v="Second Class"/>
    <s v="AB-10150"/>
    <s v="Aimee Bixby"/>
    <x v="0"/>
    <x v="0"/>
    <s v="Yonkers"/>
    <x v="21"/>
    <n v="10701"/>
    <s v="East"/>
    <s v="OFF-SU-10000381"/>
    <x v="0"/>
    <x v="14"/>
    <x v="145"/>
    <n v="18.62"/>
    <n v="2"/>
    <n v="0"/>
    <n v="5.399799999999999"/>
  </r>
  <r>
    <n v="160"/>
    <s v="US-2023-169061"/>
    <x v="46"/>
    <x v="41"/>
    <s v="Second Class"/>
    <s v="AB-10150"/>
    <s v="Aimee Bixby"/>
    <x v="0"/>
    <x v="0"/>
    <s v="Yonkers"/>
    <x v="21"/>
    <n v="10701"/>
    <s v="East"/>
    <s v="TEC-AC-10002001"/>
    <x v="2"/>
    <x v="9"/>
    <x v="146"/>
    <n v="479.97"/>
    <n v="3"/>
    <n v="0"/>
    <n v="177.58890000000002"/>
  </r>
  <r>
    <n v="161"/>
    <s v="US-2023-104563"/>
    <x v="47"/>
    <x v="44"/>
    <s v="Standard Class"/>
    <s v="CM-12715"/>
    <s v="Craig Molinari"/>
    <x v="2"/>
    <x v="0"/>
    <s v="Seattle"/>
    <x v="23"/>
    <n v="98103"/>
    <s v="West"/>
    <s v="FUR-CH-10002780"/>
    <x v="1"/>
    <x v="5"/>
    <x v="147"/>
    <n v="436.70400000000006"/>
    <n v="6"/>
    <n v="0.2"/>
    <n v="21.835199999999986"/>
  </r>
  <r>
    <n v="162"/>
    <s v="US-2023-156587"/>
    <x v="47"/>
    <x v="41"/>
    <s v="First Class"/>
    <s v="AB-10015"/>
    <s v="Aaron Bergman"/>
    <x v="0"/>
    <x v="0"/>
    <s v="Seattle"/>
    <x v="23"/>
    <n v="98103"/>
    <s v="West"/>
    <s v="FUR-CH-10004477"/>
    <x v="1"/>
    <x v="5"/>
    <x v="148"/>
    <n v="48.712000000000003"/>
    <n v="1"/>
    <n v="0.2"/>
    <n v="5.4800999999999966"/>
  </r>
  <r>
    <n v="163"/>
    <s v="US-2023-104563"/>
    <x v="47"/>
    <x v="44"/>
    <s v="Standard Class"/>
    <s v="CM-12715"/>
    <s v="Craig Molinari"/>
    <x v="2"/>
    <x v="0"/>
    <s v="Seattle"/>
    <x v="23"/>
    <n v="98103"/>
    <s v="West"/>
    <s v="FUR-CH-10004495"/>
    <x v="1"/>
    <x v="5"/>
    <x v="149"/>
    <n v="481.56800000000004"/>
    <n v="2"/>
    <n v="0.2"/>
    <n v="54.17639999999993"/>
  </r>
  <r>
    <n v="164"/>
    <s v="US-2023-104563"/>
    <x v="47"/>
    <x v="44"/>
    <s v="Standard Class"/>
    <s v="CM-12715"/>
    <s v="Craig Molinari"/>
    <x v="2"/>
    <x v="0"/>
    <s v="Seattle"/>
    <x v="23"/>
    <n v="98103"/>
    <s v="West"/>
    <s v="OFF-AR-10000390"/>
    <x v="0"/>
    <x v="4"/>
    <x v="150"/>
    <n v="20.65"/>
    <n v="5"/>
    <n v="0"/>
    <n v="9.4989999999999988"/>
  </r>
  <r>
    <n v="165"/>
    <s v="US-2023-156587"/>
    <x v="47"/>
    <x v="41"/>
    <s v="First Class"/>
    <s v="AB-10015"/>
    <s v="Aaron Bergman"/>
    <x v="0"/>
    <x v="0"/>
    <s v="Seattle"/>
    <x v="23"/>
    <n v="98103"/>
    <s v="West"/>
    <s v="OFF-AR-10001427"/>
    <x v="0"/>
    <x v="4"/>
    <x v="151"/>
    <n v="17.940000000000001"/>
    <n v="3"/>
    <n v="0"/>
    <n v="4.6644000000000005"/>
  </r>
  <r>
    <n v="166"/>
    <s v="US-2023-131982"/>
    <x v="47"/>
    <x v="45"/>
    <s v="Second Class"/>
    <s v="NP-18685"/>
    <s v="Nora Pelletier"/>
    <x v="1"/>
    <x v="0"/>
    <s v="Des Moines"/>
    <x v="23"/>
    <n v="98198"/>
    <s v="West"/>
    <s v="OFF-BI-10004224"/>
    <x v="0"/>
    <x v="1"/>
    <x v="152"/>
    <n v="107.64800000000001"/>
    <n v="2"/>
    <n v="0.2"/>
    <n v="33.639999999999986"/>
  </r>
  <r>
    <n v="167"/>
    <s v="US-2023-104563"/>
    <x v="47"/>
    <x v="44"/>
    <s v="Standard Class"/>
    <s v="CM-12715"/>
    <s v="Craig Molinari"/>
    <x v="2"/>
    <x v="0"/>
    <s v="Seattle"/>
    <x v="23"/>
    <n v="98103"/>
    <s v="West"/>
    <s v="OFF-ST-10000934"/>
    <x v="0"/>
    <x v="3"/>
    <x v="153"/>
    <n v="204.89999999999998"/>
    <n v="5"/>
    <n v="0"/>
    <n v="0"/>
  </r>
  <r>
    <n v="168"/>
    <s v="US-2023-156587"/>
    <x v="47"/>
    <x v="41"/>
    <s v="First Class"/>
    <s v="AB-10015"/>
    <s v="Aaron Bergman"/>
    <x v="0"/>
    <x v="0"/>
    <s v="Seattle"/>
    <x v="23"/>
    <n v="98103"/>
    <s v="West"/>
    <s v="OFF-ST-10002344"/>
    <x v="0"/>
    <x v="3"/>
    <x v="154"/>
    <n v="242.94"/>
    <n v="3"/>
    <n v="0"/>
    <n v="4.8588000000000164"/>
  </r>
  <r>
    <n v="169"/>
    <s v="US-2023-140116"/>
    <x v="48"/>
    <x v="46"/>
    <s v="Standard Class"/>
    <s v="KT-16480"/>
    <s v="Kean Thornton"/>
    <x v="0"/>
    <x v="0"/>
    <s v="Denver"/>
    <x v="27"/>
    <n v="80219"/>
    <s v="West"/>
    <s v="OFF-AR-10001044"/>
    <x v="0"/>
    <x v="4"/>
    <x v="155"/>
    <n v="83.168000000000006"/>
    <n v="4"/>
    <n v="0.2"/>
    <n v="9.3563999999999936"/>
  </r>
  <r>
    <n v="170"/>
    <s v="US-2023-100279"/>
    <x v="48"/>
    <x v="47"/>
    <s v="Standard Class"/>
    <s v="SW-20275"/>
    <s v="Scott Williamson"/>
    <x v="0"/>
    <x v="0"/>
    <s v="Royal Oak"/>
    <x v="14"/>
    <n v="48073"/>
    <s v="Central"/>
    <s v="OFF-PA-10002259"/>
    <x v="0"/>
    <x v="0"/>
    <x v="156"/>
    <n v="22.38"/>
    <n v="2"/>
    <n v="0"/>
    <n v="10.7424"/>
  </r>
  <r>
    <n v="171"/>
    <s v="US-2023-140116"/>
    <x v="48"/>
    <x v="46"/>
    <s v="Standard Class"/>
    <s v="KT-16480"/>
    <s v="Kean Thornton"/>
    <x v="0"/>
    <x v="0"/>
    <s v="Denver"/>
    <x v="27"/>
    <n v="80219"/>
    <s v="West"/>
    <s v="OFF-ST-10000078"/>
    <x v="0"/>
    <x v="3"/>
    <x v="30"/>
    <n v="636.40800000000013"/>
    <n v="3"/>
    <n v="0.2"/>
    <n v="-15.910200000000088"/>
  </r>
  <r>
    <n v="172"/>
    <s v="US-2023-166884"/>
    <x v="49"/>
    <x v="48"/>
    <s v="Second Class"/>
    <s v="CK-12205"/>
    <s v="Chloris Kastensmidt"/>
    <x v="0"/>
    <x v="0"/>
    <s v="Columbus"/>
    <x v="9"/>
    <n v="43229"/>
    <s v="East"/>
    <s v="FUR-FU-10003981"/>
    <x v="1"/>
    <x v="8"/>
    <x v="157"/>
    <n v="8.32"/>
    <n v="5"/>
    <n v="0.2"/>
    <n v="2.2880000000000003"/>
  </r>
  <r>
    <n v="173"/>
    <s v="US-2023-114790"/>
    <x v="49"/>
    <x v="49"/>
    <s v="Second Class"/>
    <s v="FM-14215"/>
    <s v="Filia McAdams"/>
    <x v="2"/>
    <x v="0"/>
    <s v="Richmond"/>
    <x v="3"/>
    <n v="40475"/>
    <s v="South"/>
    <s v="OFF-AP-10002578"/>
    <x v="0"/>
    <x v="12"/>
    <x v="158"/>
    <n v="146.76"/>
    <n v="3"/>
    <n v="0"/>
    <n v="38.157600000000002"/>
  </r>
  <r>
    <n v="174"/>
    <s v="US-2023-103338"/>
    <x v="49"/>
    <x v="50"/>
    <s v="Standard Class"/>
    <s v="RB-19435"/>
    <s v="Richard Bierner"/>
    <x v="0"/>
    <x v="0"/>
    <s v="Roseville"/>
    <x v="5"/>
    <n v="95661"/>
    <s v="West"/>
    <s v="OFF-AR-10001770"/>
    <x v="0"/>
    <x v="4"/>
    <x v="159"/>
    <n v="7.98"/>
    <n v="3"/>
    <n v="0"/>
    <n v="2.0747999999999998"/>
  </r>
  <r>
    <n v="175"/>
    <s v="US-2023-166884"/>
    <x v="49"/>
    <x v="48"/>
    <s v="Second Class"/>
    <s v="CK-12205"/>
    <s v="Chloris Kastensmidt"/>
    <x v="0"/>
    <x v="0"/>
    <s v="Columbus"/>
    <x v="9"/>
    <n v="43229"/>
    <s v="East"/>
    <s v="OFF-FA-10001561"/>
    <x v="0"/>
    <x v="6"/>
    <x v="160"/>
    <n v="10.464000000000002"/>
    <n v="6"/>
    <n v="0.2"/>
    <n v="1.7003999999999992"/>
  </r>
  <r>
    <n v="176"/>
    <s v="US-2023-114790"/>
    <x v="49"/>
    <x v="49"/>
    <s v="Second Class"/>
    <s v="FM-14215"/>
    <s v="Filia McAdams"/>
    <x v="2"/>
    <x v="0"/>
    <s v="Richmond"/>
    <x v="3"/>
    <n v="40475"/>
    <s v="South"/>
    <s v="OFF-PA-10000213"/>
    <x v="0"/>
    <x v="0"/>
    <x v="161"/>
    <n v="14.940000000000001"/>
    <n v="3"/>
    <n v="0"/>
    <n v="7.0218000000000007"/>
  </r>
  <r>
    <n v="177"/>
    <s v="US-2023-158337"/>
    <x v="49"/>
    <x v="47"/>
    <s v="Second Class"/>
    <s v="KA-16525"/>
    <s v="Kelly Andreada"/>
    <x v="0"/>
    <x v="0"/>
    <s v="New York City"/>
    <x v="21"/>
    <n v="10024"/>
    <s v="East"/>
    <s v="OFF-PA-10002137"/>
    <x v="0"/>
    <x v="0"/>
    <x v="162"/>
    <n v="108.92"/>
    <n v="14"/>
    <n v="0"/>
    <n v="49.013999999999996"/>
  </r>
  <r>
    <n v="178"/>
    <s v="US-2023-114790"/>
    <x v="49"/>
    <x v="49"/>
    <s v="Second Class"/>
    <s v="FM-14215"/>
    <s v="Filia McAdams"/>
    <x v="2"/>
    <x v="0"/>
    <s v="Richmond"/>
    <x v="3"/>
    <n v="40475"/>
    <s v="South"/>
    <s v="TEC-AC-10000710"/>
    <x v="2"/>
    <x v="9"/>
    <x v="95"/>
    <n v="32.96"/>
    <n v="2"/>
    <n v="0"/>
    <n v="14.172800000000002"/>
  </r>
  <r>
    <n v="179"/>
    <s v="US-2023-114790"/>
    <x v="49"/>
    <x v="49"/>
    <s v="Second Class"/>
    <s v="FM-14215"/>
    <s v="Filia McAdams"/>
    <x v="2"/>
    <x v="0"/>
    <s v="Richmond"/>
    <x v="3"/>
    <n v="40475"/>
    <s v="South"/>
    <s v="TEC-PH-10000984"/>
    <x v="2"/>
    <x v="7"/>
    <x v="163"/>
    <n v="587.97"/>
    <n v="3"/>
    <n v="0"/>
    <n v="164.63160000000005"/>
  </r>
  <r>
    <n v="180"/>
    <s v="CA-2023-139675"/>
    <x v="50"/>
    <x v="51"/>
    <s v="Second Class"/>
    <s v="NF-18595"/>
    <s v="Nicole Fjeld"/>
    <x v="1"/>
    <x v="1"/>
    <s v="Calgary"/>
    <x v="28"/>
    <s v="T2C"/>
    <s v="West"/>
    <s v="FUR-CH-10004063"/>
    <x v="1"/>
    <x v="5"/>
    <x v="5"/>
    <n v="915.14"/>
    <n v="4"/>
    <n v="0.2"/>
    <n v="102.95"/>
  </r>
  <r>
    <n v="181"/>
    <s v="CA-2023-139675"/>
    <x v="50"/>
    <x v="51"/>
    <s v="Second Class"/>
    <s v="NF-18595"/>
    <s v="Nicole Fjeld"/>
    <x v="1"/>
    <x v="1"/>
    <s v="Calgary"/>
    <x v="28"/>
    <s v="T2C"/>
    <s v="West"/>
    <s v="FUR-FU-10001979"/>
    <x v="1"/>
    <x v="8"/>
    <x v="164"/>
    <n v="327.76"/>
    <n v="8"/>
    <n v="0"/>
    <n v="91.77"/>
  </r>
  <r>
    <n v="182"/>
    <s v="US-2023-125521"/>
    <x v="51"/>
    <x v="52"/>
    <s v="Standard Class"/>
    <s v="CK-12325"/>
    <s v="Christine Kargatis"/>
    <x v="1"/>
    <x v="0"/>
    <s v="Chesapeake"/>
    <x v="6"/>
    <n v="23320"/>
    <s v="South"/>
    <s v="FUR-CH-10003379"/>
    <x v="1"/>
    <x v="5"/>
    <x v="165"/>
    <n v="1139.92"/>
    <n v="4"/>
    <n v="0"/>
    <n v="284.98"/>
  </r>
  <r>
    <n v="183"/>
    <s v="US-2023-157623"/>
    <x v="51"/>
    <x v="51"/>
    <s v="Standard Class"/>
    <s v="DK-13225"/>
    <s v="Dean Katz"/>
    <x v="2"/>
    <x v="0"/>
    <s v="Huntington Beach"/>
    <x v="5"/>
    <n v="92646"/>
    <s v="West"/>
    <s v="OFF-AR-10003723"/>
    <x v="0"/>
    <x v="4"/>
    <x v="166"/>
    <n v="3.38"/>
    <n v="1"/>
    <n v="0"/>
    <n v="1.2505999999999999"/>
  </r>
  <r>
    <n v="184"/>
    <s v="US-2023-114510"/>
    <x v="51"/>
    <x v="52"/>
    <s v="Standard Class"/>
    <s v="JF-15295"/>
    <s v="Jason Fortune-"/>
    <x v="0"/>
    <x v="0"/>
    <s v="Logan"/>
    <x v="29"/>
    <n v="84321"/>
    <s v="West"/>
    <s v="OFF-BI-10001617"/>
    <x v="0"/>
    <x v="1"/>
    <x v="143"/>
    <n v="33.088000000000001"/>
    <n v="4"/>
    <n v="0.2"/>
    <n v="11.167199999999999"/>
  </r>
  <r>
    <n v="185"/>
    <s v="US-2023-114510"/>
    <x v="51"/>
    <x v="52"/>
    <s v="Standard Class"/>
    <s v="JF-15295"/>
    <s v="Jason Fortune-"/>
    <x v="0"/>
    <x v="0"/>
    <s v="Logan"/>
    <x v="29"/>
    <n v="84321"/>
    <s v="West"/>
    <s v="OFF-BI-10003007"/>
    <x v="0"/>
    <x v="1"/>
    <x v="167"/>
    <n v="62.048000000000002"/>
    <n v="2"/>
    <n v="0.2"/>
    <n v="20.165599999999998"/>
  </r>
  <r>
    <n v="186"/>
    <s v="US-2023-100293"/>
    <x v="51"/>
    <x v="51"/>
    <s v="Standard Class"/>
    <s v="NF-18475"/>
    <s v="Neil Französisch"/>
    <x v="1"/>
    <x v="0"/>
    <s v="Jacksonville"/>
    <x v="16"/>
    <n v="32216"/>
    <s v="South"/>
    <s v="OFF-PA-10000176"/>
    <x v="0"/>
    <x v="0"/>
    <x v="168"/>
    <n v="91.055999999999997"/>
    <n v="6"/>
    <n v="0.2"/>
    <n v="31.869599999999995"/>
  </r>
  <r>
    <n v="187"/>
    <s v="US-2023-157623"/>
    <x v="51"/>
    <x v="51"/>
    <s v="Standard Class"/>
    <s v="DK-13225"/>
    <s v="Dean Katz"/>
    <x v="2"/>
    <x v="0"/>
    <s v="Huntington Beach"/>
    <x v="5"/>
    <n v="92646"/>
    <s v="West"/>
    <s v="OFF-PA-10001204"/>
    <x v="0"/>
    <x v="0"/>
    <x v="79"/>
    <n v="10.56"/>
    <n v="2"/>
    <n v="0"/>
    <n v="4.7519999999999998"/>
  </r>
  <r>
    <n v="188"/>
    <s v="US-2023-152618"/>
    <x v="51"/>
    <x v="46"/>
    <s v="First Class"/>
    <s v="RB-19465"/>
    <s v="Rick Bensley"/>
    <x v="1"/>
    <x v="0"/>
    <s v="Chicago"/>
    <x v="1"/>
    <n v="60653"/>
    <s v="Central"/>
    <s v="OFF-PA-10001215"/>
    <x v="0"/>
    <x v="0"/>
    <x v="169"/>
    <n v="8.4480000000000004"/>
    <n v="2"/>
    <n v="0.2"/>
    <n v="2.6399999999999997"/>
  </r>
  <r>
    <n v="189"/>
    <s v="US-2023-114510"/>
    <x v="51"/>
    <x v="52"/>
    <s v="Standard Class"/>
    <s v="JF-15295"/>
    <s v="Jason Fortune-"/>
    <x v="0"/>
    <x v="0"/>
    <s v="Logan"/>
    <x v="29"/>
    <n v="84321"/>
    <s v="West"/>
    <s v="OFF-ST-10000736"/>
    <x v="0"/>
    <x v="3"/>
    <x v="170"/>
    <n v="80.98"/>
    <n v="1"/>
    <n v="0"/>
    <n v="3.2391999999999967"/>
  </r>
  <r>
    <n v="190"/>
    <s v="US-2023-114510"/>
    <x v="51"/>
    <x v="52"/>
    <s v="Standard Class"/>
    <s v="JF-15295"/>
    <s v="Jason Fortune-"/>
    <x v="0"/>
    <x v="0"/>
    <s v="Logan"/>
    <x v="29"/>
    <n v="84321"/>
    <s v="West"/>
    <s v="OFF-ST-10003221"/>
    <x v="0"/>
    <x v="3"/>
    <x v="171"/>
    <n v="21.36"/>
    <n v="2"/>
    <n v="0"/>
    <n v="5.7672000000000008"/>
  </r>
  <r>
    <n v="191"/>
    <s v="US-2023-114510"/>
    <x v="51"/>
    <x v="52"/>
    <s v="Standard Class"/>
    <s v="JF-15295"/>
    <s v="Jason Fortune-"/>
    <x v="0"/>
    <x v="0"/>
    <s v="Logan"/>
    <x v="29"/>
    <n v="84321"/>
    <s v="West"/>
    <s v="TEC-AC-10004877"/>
    <x v="2"/>
    <x v="9"/>
    <x v="172"/>
    <n v="82.800000000000011"/>
    <n v="12"/>
    <n v="0"/>
    <n v="6.6239999999999952"/>
  </r>
  <r>
    <n v="192"/>
    <s v="US-2023-152618"/>
    <x v="51"/>
    <x v="46"/>
    <s v="First Class"/>
    <s v="RB-19465"/>
    <s v="Rick Bensley"/>
    <x v="1"/>
    <x v="0"/>
    <s v="Chicago"/>
    <x v="1"/>
    <n v="60653"/>
    <s v="Central"/>
    <s v="TEC-MA-10003626"/>
    <x v="2"/>
    <x v="15"/>
    <x v="173"/>
    <n v="574.91"/>
    <n v="2"/>
    <n v="0.3"/>
    <n v="156.04699999999997"/>
  </r>
  <r>
    <n v="193"/>
    <s v="US-2023-149958"/>
    <x v="52"/>
    <x v="52"/>
    <s v="Standard Class"/>
    <s v="AS-10240"/>
    <s v="Alan Shonely"/>
    <x v="0"/>
    <x v="0"/>
    <s v="Tampa"/>
    <x v="16"/>
    <n v="33614"/>
    <s v="South"/>
    <s v="FUR-FU-10001756"/>
    <x v="1"/>
    <x v="8"/>
    <x v="174"/>
    <n v="45.695999999999998"/>
    <n v="3"/>
    <n v="0.2"/>
    <n v="5.1407999999999916"/>
  </r>
  <r>
    <n v="194"/>
    <s v="US-2023-149958"/>
    <x v="52"/>
    <x v="52"/>
    <s v="Standard Class"/>
    <s v="AS-10240"/>
    <s v="Alan Shonely"/>
    <x v="0"/>
    <x v="0"/>
    <s v="Tampa"/>
    <x v="16"/>
    <n v="33614"/>
    <s v="South"/>
    <s v="OFF-BI-10000773"/>
    <x v="0"/>
    <x v="1"/>
    <x v="175"/>
    <n v="7.218"/>
    <n v="3"/>
    <n v="0.7"/>
    <n v="-5.5338000000000012"/>
  </r>
  <r>
    <n v="195"/>
    <s v="US-2023-149958"/>
    <x v="52"/>
    <x v="52"/>
    <s v="Standard Class"/>
    <s v="AS-10240"/>
    <s v="Alan Shonely"/>
    <x v="0"/>
    <x v="0"/>
    <s v="Tampa"/>
    <x v="16"/>
    <n v="33614"/>
    <s v="South"/>
    <s v="OFF-BI-10001543"/>
    <x v="0"/>
    <x v="1"/>
    <x v="176"/>
    <n v="43.188000000000009"/>
    <n v="4"/>
    <n v="0.7"/>
    <n v="-31.671199999999999"/>
  </r>
  <r>
    <n v="196"/>
    <s v="US-2023-149958"/>
    <x v="52"/>
    <x v="52"/>
    <s v="Standard Class"/>
    <s v="AS-10240"/>
    <s v="Alan Shonely"/>
    <x v="0"/>
    <x v="0"/>
    <s v="Tampa"/>
    <x v="16"/>
    <n v="33614"/>
    <s v="South"/>
    <s v="OFF-PA-10002120"/>
    <x v="0"/>
    <x v="0"/>
    <x v="177"/>
    <n v="131.904"/>
    <n v="3"/>
    <n v="0.2"/>
    <n v="47.815200000000004"/>
  </r>
  <r>
    <n v="197"/>
    <s v="US-2023-149958"/>
    <x v="52"/>
    <x v="52"/>
    <s v="Standard Class"/>
    <s v="AS-10240"/>
    <s v="Alan Shonely"/>
    <x v="0"/>
    <x v="0"/>
    <s v="Tampa"/>
    <x v="16"/>
    <n v="33614"/>
    <s v="South"/>
    <s v="OFF-ST-10001490"/>
    <x v="0"/>
    <x v="3"/>
    <x v="178"/>
    <n v="142.77600000000001"/>
    <n v="1"/>
    <n v="0.2"/>
    <n v="17.84699999999998"/>
  </r>
  <r>
    <n v="198"/>
    <s v="US-2023-157609"/>
    <x v="53"/>
    <x v="53"/>
    <s v="Second Class"/>
    <s v="KN-16705"/>
    <s v="Kristina Nunn"/>
    <x v="1"/>
    <x v="0"/>
    <s v="Raleigh"/>
    <x v="26"/>
    <n v="27604"/>
    <s v="South"/>
    <s v="TEC-PH-10002415"/>
    <x v="2"/>
    <x v="7"/>
    <x v="179"/>
    <n v="471.92"/>
    <n v="2"/>
    <n v="0.2"/>
    <n v="29.495000000000019"/>
  </r>
  <r>
    <n v="199"/>
    <s v="US-2023-148838"/>
    <x v="54"/>
    <x v="53"/>
    <s v="Standard Class"/>
    <s v="CP-12340"/>
    <s v="Christine Phan"/>
    <x v="2"/>
    <x v="0"/>
    <s v="New York City"/>
    <x v="21"/>
    <n v="10024"/>
    <s v="East"/>
    <s v="FUR-TA-10001950"/>
    <x v="1"/>
    <x v="13"/>
    <x v="180"/>
    <n v="1071.576"/>
    <n v="4"/>
    <n v="0.4"/>
    <n v="-553.64760000000001"/>
  </r>
  <r>
    <n v="200"/>
    <s v="US-2023-148838"/>
    <x v="54"/>
    <x v="53"/>
    <s v="Standard Class"/>
    <s v="CP-12340"/>
    <s v="Christine Phan"/>
    <x v="2"/>
    <x v="0"/>
    <s v="New York City"/>
    <x v="21"/>
    <n v="10024"/>
    <s v="East"/>
    <s v="FUR-TA-10003473"/>
    <x v="1"/>
    <x v="13"/>
    <x v="181"/>
    <n v="1579.7460000000001"/>
    <n v="7"/>
    <n v="0.4"/>
    <n v="-447.59469999999988"/>
  </r>
  <r>
    <n v="201"/>
    <s v="US-2023-148838"/>
    <x v="54"/>
    <x v="53"/>
    <s v="Standard Class"/>
    <s v="CP-12340"/>
    <s v="Christine Phan"/>
    <x v="2"/>
    <x v="0"/>
    <s v="New York City"/>
    <x v="21"/>
    <n v="10024"/>
    <s v="East"/>
    <s v="FUR-TA-10004175"/>
    <x v="1"/>
    <x v="13"/>
    <x v="182"/>
    <n v="613.90800000000002"/>
    <n v="3"/>
    <n v="0.4"/>
    <n v="-122.78160000000003"/>
  </r>
  <r>
    <n v="202"/>
    <s v="US-2023-118339"/>
    <x v="54"/>
    <x v="54"/>
    <s v="Standard Class"/>
    <s v="BN-11515"/>
    <s v="Bradley Nguyen"/>
    <x v="0"/>
    <x v="0"/>
    <s v="Lakeville"/>
    <x v="30"/>
    <n v="55044"/>
    <s v="Central"/>
    <s v="OFF-AP-10001154"/>
    <x v="0"/>
    <x v="12"/>
    <x v="183"/>
    <n v="93.78"/>
    <n v="2"/>
    <n v="0"/>
    <n v="36.574200000000005"/>
  </r>
  <r>
    <n v="203"/>
    <s v="US-2023-164763"/>
    <x v="54"/>
    <x v="53"/>
    <s v="Standard Class"/>
    <s v="MH-17440"/>
    <s v="Mark Haberlin"/>
    <x v="2"/>
    <x v="0"/>
    <s v="Jackson"/>
    <x v="31"/>
    <n v="39212"/>
    <s v="South"/>
    <s v="OFF-AP-10003971"/>
    <x v="0"/>
    <x v="12"/>
    <x v="184"/>
    <n v="32.67"/>
    <n v="3"/>
    <n v="0"/>
    <n v="8.4942000000000011"/>
  </r>
  <r>
    <n v="204"/>
    <s v="US-2023-158442"/>
    <x v="54"/>
    <x v="46"/>
    <s v="Same Day"/>
    <s v="AZ-10750"/>
    <s v="Annie Zypern"/>
    <x v="0"/>
    <x v="0"/>
    <s v="Dallas"/>
    <x v="0"/>
    <n v="75217"/>
    <s v="Central"/>
    <s v="OFF-AR-10003732"/>
    <x v="0"/>
    <x v="4"/>
    <x v="185"/>
    <n v="4.4479999999999995"/>
    <n v="2"/>
    <n v="0.2"/>
    <n v="0.3335999999999999"/>
  </r>
  <r>
    <n v="205"/>
    <s v="US-2023-118339"/>
    <x v="54"/>
    <x v="54"/>
    <s v="Standard Class"/>
    <s v="BN-11515"/>
    <s v="Bradley Nguyen"/>
    <x v="0"/>
    <x v="0"/>
    <s v="Lakeville"/>
    <x v="30"/>
    <n v="55044"/>
    <s v="Central"/>
    <s v="OFF-AR-10003829"/>
    <x v="0"/>
    <x v="4"/>
    <x v="186"/>
    <n v="19.68"/>
    <n v="6"/>
    <n v="0"/>
    <n v="5.7071999999999976"/>
  </r>
  <r>
    <n v="206"/>
    <s v="US-2023-118339"/>
    <x v="54"/>
    <x v="54"/>
    <s v="Standard Class"/>
    <s v="BN-11515"/>
    <s v="Bradley Nguyen"/>
    <x v="0"/>
    <x v="0"/>
    <s v="Lakeville"/>
    <x v="30"/>
    <n v="55044"/>
    <s v="Central"/>
    <s v="OFF-BI-10000136"/>
    <x v="0"/>
    <x v="1"/>
    <x v="187"/>
    <n v="35.880000000000003"/>
    <n v="6"/>
    <n v="0"/>
    <n v="17.2224"/>
  </r>
  <r>
    <n v="207"/>
    <s v="US-2023-164763"/>
    <x v="54"/>
    <x v="53"/>
    <s v="Standard Class"/>
    <s v="MH-17440"/>
    <s v="Mark Haberlin"/>
    <x v="2"/>
    <x v="0"/>
    <s v="Jackson"/>
    <x v="31"/>
    <n v="39212"/>
    <s v="South"/>
    <s v="OFF-BI-10000309"/>
    <x v="0"/>
    <x v="1"/>
    <x v="188"/>
    <n v="30.44"/>
    <n v="2"/>
    <n v="0"/>
    <n v="14.9156"/>
  </r>
  <r>
    <n v="208"/>
    <s v="US-2023-164763"/>
    <x v="54"/>
    <x v="53"/>
    <s v="Standard Class"/>
    <s v="MH-17440"/>
    <s v="Mark Haberlin"/>
    <x v="2"/>
    <x v="0"/>
    <s v="Jackson"/>
    <x v="31"/>
    <n v="39212"/>
    <s v="South"/>
    <s v="OFF-BI-10000605"/>
    <x v="0"/>
    <x v="1"/>
    <x v="51"/>
    <n v="11.43"/>
    <n v="3"/>
    <n v="0"/>
    <n v="5.3720999999999997"/>
  </r>
  <r>
    <n v="209"/>
    <s v="US-2023-118339"/>
    <x v="54"/>
    <x v="54"/>
    <s v="Standard Class"/>
    <s v="BN-11515"/>
    <s v="Bradley Nguyen"/>
    <x v="0"/>
    <x v="0"/>
    <s v="Lakeville"/>
    <x v="30"/>
    <n v="55044"/>
    <s v="Central"/>
    <s v="OFF-BI-10001758"/>
    <x v="0"/>
    <x v="1"/>
    <x v="69"/>
    <n v="53.4"/>
    <n v="10"/>
    <n v="0"/>
    <n v="25.097999999999999"/>
  </r>
  <r>
    <n v="210"/>
    <s v="US-2023-118339"/>
    <x v="54"/>
    <x v="54"/>
    <s v="Standard Class"/>
    <s v="BN-11515"/>
    <s v="Bradley Nguyen"/>
    <x v="0"/>
    <x v="0"/>
    <s v="Lakeville"/>
    <x v="30"/>
    <n v="55044"/>
    <s v="Central"/>
    <s v="OFF-PA-10000466"/>
    <x v="0"/>
    <x v="0"/>
    <x v="107"/>
    <n v="47.18"/>
    <n v="7"/>
    <n v="0"/>
    <n v="23.59"/>
  </r>
  <r>
    <n v="211"/>
    <s v="US-2023-148838"/>
    <x v="54"/>
    <x v="53"/>
    <s v="Standard Class"/>
    <s v="CP-12340"/>
    <s v="Christine Phan"/>
    <x v="2"/>
    <x v="0"/>
    <s v="New York City"/>
    <x v="21"/>
    <n v="10024"/>
    <s v="East"/>
    <s v="OFF-PA-10000919"/>
    <x v="0"/>
    <x v="0"/>
    <x v="189"/>
    <n v="155.04"/>
    <n v="4"/>
    <n v="0"/>
    <n v="75.9696"/>
  </r>
  <r>
    <n v="212"/>
    <s v="US-2023-158442"/>
    <x v="54"/>
    <x v="46"/>
    <s v="Same Day"/>
    <s v="AZ-10750"/>
    <s v="Annie Zypern"/>
    <x v="0"/>
    <x v="0"/>
    <s v="Dallas"/>
    <x v="0"/>
    <n v="75217"/>
    <s v="Central"/>
    <s v="OFF-PA-10002195"/>
    <x v="0"/>
    <x v="0"/>
    <x v="190"/>
    <n v="5.1840000000000011"/>
    <n v="1"/>
    <n v="0.2"/>
    <n v="1.8792"/>
  </r>
  <r>
    <n v="213"/>
    <s v="US-2023-158442"/>
    <x v="54"/>
    <x v="46"/>
    <s v="Same Day"/>
    <s v="AZ-10750"/>
    <s v="Annie Zypern"/>
    <x v="0"/>
    <x v="0"/>
    <s v="Dallas"/>
    <x v="0"/>
    <n v="75217"/>
    <s v="Central"/>
    <s v="OFF-PA-10002365"/>
    <x v="0"/>
    <x v="0"/>
    <x v="191"/>
    <n v="15.552000000000003"/>
    <n v="3"/>
    <n v="0.2"/>
    <n v="5.4432"/>
  </r>
  <r>
    <n v="214"/>
    <s v="US-2023-148838"/>
    <x v="54"/>
    <x v="53"/>
    <s v="Standard Class"/>
    <s v="CP-12340"/>
    <s v="Christine Phan"/>
    <x v="2"/>
    <x v="0"/>
    <s v="New York City"/>
    <x v="21"/>
    <n v="10024"/>
    <s v="East"/>
    <s v="OFF-PA-10002960"/>
    <x v="0"/>
    <x v="0"/>
    <x v="192"/>
    <n v="34.86"/>
    <n v="7"/>
    <n v="0"/>
    <n v="16.3842"/>
  </r>
  <r>
    <n v="215"/>
    <s v="US-2023-164763"/>
    <x v="54"/>
    <x v="53"/>
    <s v="Standard Class"/>
    <s v="MH-17440"/>
    <s v="Mark Haberlin"/>
    <x v="2"/>
    <x v="0"/>
    <s v="Jackson"/>
    <x v="31"/>
    <n v="39212"/>
    <s v="South"/>
    <s v="OFF-PA-10003063"/>
    <x v="0"/>
    <x v="0"/>
    <x v="193"/>
    <n v="16"/>
    <n v="4"/>
    <n v="0"/>
    <n v="7.68"/>
  </r>
  <r>
    <n v="216"/>
    <s v="US-2023-164763"/>
    <x v="54"/>
    <x v="53"/>
    <s v="Standard Class"/>
    <s v="MH-17440"/>
    <s v="Mark Haberlin"/>
    <x v="2"/>
    <x v="0"/>
    <s v="Jackson"/>
    <x v="31"/>
    <n v="39212"/>
    <s v="South"/>
    <s v="OFF-PA-10003349"/>
    <x v="0"/>
    <x v="0"/>
    <x v="194"/>
    <n v="12.96"/>
    <n v="2"/>
    <n v="0"/>
    <n v="6.3504000000000005"/>
  </r>
  <r>
    <n v="217"/>
    <s v="US-2023-127859"/>
    <x v="54"/>
    <x v="55"/>
    <s v="Second Class"/>
    <s v="QJ-19255"/>
    <s v="Quincy Jones"/>
    <x v="2"/>
    <x v="0"/>
    <s v="Philadelphia"/>
    <x v="2"/>
    <n v="19134"/>
    <s v="East"/>
    <s v="OFF-PA-10003641"/>
    <x v="0"/>
    <x v="0"/>
    <x v="195"/>
    <n v="126.624"/>
    <n v="6"/>
    <n v="0.2"/>
    <n v="41.152799999999992"/>
  </r>
  <r>
    <n v="218"/>
    <s v="US-2023-111871"/>
    <x v="55"/>
    <x v="53"/>
    <s v="Second Class"/>
    <s v="EK-13795"/>
    <s v="Eileen Kiefer"/>
    <x v="1"/>
    <x v="0"/>
    <s v="San Francisco"/>
    <x v="5"/>
    <n v="94110"/>
    <s v="West"/>
    <s v="FUR-BO-10004218"/>
    <x v="1"/>
    <x v="10"/>
    <x v="196"/>
    <n v="1198.33"/>
    <n v="10"/>
    <n v="0.15"/>
    <n v="70.490000000000009"/>
  </r>
  <r>
    <n v="219"/>
    <s v="US-2023-145317"/>
    <x v="55"/>
    <x v="56"/>
    <s v="Standard Class"/>
    <s v="SM-20320"/>
    <s v="Sean Miller"/>
    <x v="1"/>
    <x v="0"/>
    <s v="Jacksonville"/>
    <x v="16"/>
    <n v="32216"/>
    <s v="South"/>
    <s v="FUR-FU-10001986"/>
    <x v="1"/>
    <x v="8"/>
    <x v="197"/>
    <n v="122.352"/>
    <n v="3"/>
    <n v="0.2"/>
    <n v="15.29399999999999"/>
  </r>
  <r>
    <n v="220"/>
    <s v="US-2023-145317"/>
    <x v="55"/>
    <x v="56"/>
    <s v="Standard Class"/>
    <s v="SM-20320"/>
    <s v="Sean Miller"/>
    <x v="1"/>
    <x v="0"/>
    <s v="Jacksonville"/>
    <x v="16"/>
    <n v="32216"/>
    <s v="South"/>
    <s v="FUR-FU-10004270"/>
    <x v="1"/>
    <x v="8"/>
    <x v="198"/>
    <n v="30.768000000000001"/>
    <n v="2"/>
    <n v="0.2"/>
    <n v="8.0766000000000027"/>
  </r>
  <r>
    <n v="221"/>
    <s v="US-2023-131275"/>
    <x v="55"/>
    <x v="54"/>
    <s v="Standard Class"/>
    <s v="SC-20050"/>
    <s v="Sample Company A"/>
    <x v="1"/>
    <x v="0"/>
    <s v="Burbank"/>
    <x v="5"/>
    <n v="91505"/>
    <s v="West"/>
    <s v="FUR-FU-10004597"/>
    <x v="1"/>
    <x v="8"/>
    <x v="199"/>
    <n v="111"/>
    <n v="2"/>
    <n v="0"/>
    <n v="14.430000000000007"/>
  </r>
  <r>
    <n v="222"/>
    <s v="US-2023-145317"/>
    <x v="55"/>
    <x v="56"/>
    <s v="Standard Class"/>
    <s v="SM-20320"/>
    <s v="Sean Miller"/>
    <x v="1"/>
    <x v="0"/>
    <s v="Jacksonville"/>
    <x v="16"/>
    <n v="32216"/>
    <s v="South"/>
    <s v="OFF-AR-10003183"/>
    <x v="0"/>
    <x v="4"/>
    <x v="200"/>
    <n v="8.016"/>
    <n v="3"/>
    <n v="0.2"/>
    <n v="1.0019999999999993"/>
  </r>
  <r>
    <n v="223"/>
    <s v="US-2023-145317"/>
    <x v="55"/>
    <x v="56"/>
    <s v="Standard Class"/>
    <s v="SM-20320"/>
    <s v="Sean Miller"/>
    <x v="1"/>
    <x v="0"/>
    <s v="Jacksonville"/>
    <x v="16"/>
    <n v="32216"/>
    <s v="South"/>
    <s v="OFF-FA-10003112"/>
    <x v="0"/>
    <x v="6"/>
    <x v="84"/>
    <n v="18.936"/>
    <n v="3"/>
    <n v="0.2"/>
    <n v="5.9174999999999986"/>
  </r>
  <r>
    <n v="224"/>
    <s v="US-2023-145317"/>
    <x v="55"/>
    <x v="56"/>
    <s v="Standard Class"/>
    <s v="SM-20320"/>
    <s v="Sean Miller"/>
    <x v="1"/>
    <x v="0"/>
    <s v="Jacksonville"/>
    <x v="16"/>
    <n v="32216"/>
    <s v="South"/>
    <s v="OFF-PA-10001804"/>
    <x v="0"/>
    <x v="0"/>
    <x v="65"/>
    <n v="21.376000000000001"/>
    <n v="4"/>
    <n v="0.2"/>
    <n v="7.4815999999999994"/>
  </r>
  <r>
    <n v="225"/>
    <s v="US-2023-131275"/>
    <x v="55"/>
    <x v="54"/>
    <s v="Standard Class"/>
    <s v="SC-20050"/>
    <s v="Sample Company A"/>
    <x v="1"/>
    <x v="0"/>
    <s v="Burbank"/>
    <x v="5"/>
    <n v="91505"/>
    <s v="West"/>
    <s v="OFF-ST-10000078"/>
    <x v="0"/>
    <x v="3"/>
    <x v="30"/>
    <n v="1856.19"/>
    <n v="7"/>
    <n v="0"/>
    <n v="334.11419999999987"/>
  </r>
  <r>
    <n v="226"/>
    <s v="US-2023-131275"/>
    <x v="55"/>
    <x v="54"/>
    <s v="Standard Class"/>
    <s v="SC-20050"/>
    <s v="Sample Company A"/>
    <x v="1"/>
    <x v="0"/>
    <s v="Burbank"/>
    <x v="5"/>
    <n v="91505"/>
    <s v="West"/>
    <s v="TEC-MA-10001148"/>
    <x v="2"/>
    <x v="15"/>
    <x v="201"/>
    <n v="1279.9680000000001"/>
    <n v="4"/>
    <n v="0.2"/>
    <n v="415.98959999999994"/>
  </r>
  <r>
    <n v="227"/>
    <s v="US-2023-145317"/>
    <x v="55"/>
    <x v="56"/>
    <s v="Standard Class"/>
    <s v="SM-20320"/>
    <s v="Sean Miller"/>
    <x v="1"/>
    <x v="0"/>
    <s v="Jacksonville"/>
    <x v="16"/>
    <n v="32216"/>
    <s v="South"/>
    <s v="TEC-MA-10002412"/>
    <x v="2"/>
    <x v="15"/>
    <x v="202"/>
    <n v="22638.48"/>
    <n v="6"/>
    <n v="0.5"/>
    <n v="-1811.0784000000021"/>
  </r>
  <r>
    <n v="228"/>
    <s v="US-2023-145317"/>
    <x v="55"/>
    <x v="56"/>
    <s v="Standard Class"/>
    <s v="SM-20320"/>
    <s v="Sean Miller"/>
    <x v="1"/>
    <x v="0"/>
    <s v="Jacksonville"/>
    <x v="16"/>
    <n v="32216"/>
    <s v="South"/>
    <s v="TEC-MA-10003626"/>
    <x v="2"/>
    <x v="15"/>
    <x v="173"/>
    <n v="821.3"/>
    <n v="4"/>
    <n v="0.5"/>
    <n v="-16.426000000000045"/>
  </r>
  <r>
    <n v="229"/>
    <s v="US-2023-103989"/>
    <x v="56"/>
    <x v="53"/>
    <s v="First Class"/>
    <s v="MC-17605"/>
    <s v="Matt Connell"/>
    <x v="2"/>
    <x v="0"/>
    <s v="Lakeland"/>
    <x v="16"/>
    <n v="33801"/>
    <s v="South"/>
    <s v="FUR-FU-10002508"/>
    <x v="1"/>
    <x v="8"/>
    <x v="203"/>
    <n v="20.016000000000002"/>
    <n v="3"/>
    <n v="0.2"/>
    <n v="5.5044000000000013"/>
  </r>
  <r>
    <n v="230"/>
    <s v="US-2023-103989"/>
    <x v="56"/>
    <x v="53"/>
    <s v="First Class"/>
    <s v="MC-17605"/>
    <s v="Matt Connell"/>
    <x v="2"/>
    <x v="0"/>
    <s v="Lakeland"/>
    <x v="16"/>
    <n v="33801"/>
    <s v="South"/>
    <s v="FUR-FU-10003981"/>
    <x v="1"/>
    <x v="8"/>
    <x v="157"/>
    <n v="4.9920000000000009"/>
    <n v="3"/>
    <n v="0.2"/>
    <n v="1.3728000000000002"/>
  </r>
  <r>
    <n v="231"/>
    <s v="US-2023-103989"/>
    <x v="56"/>
    <x v="53"/>
    <s v="First Class"/>
    <s v="MC-17605"/>
    <s v="Matt Connell"/>
    <x v="2"/>
    <x v="0"/>
    <s v="Lakeland"/>
    <x v="16"/>
    <n v="33801"/>
    <s v="South"/>
    <s v="OFF-BI-10001196"/>
    <x v="0"/>
    <x v="1"/>
    <x v="90"/>
    <n v="33.57"/>
    <n v="5"/>
    <n v="0.7"/>
    <n v="-25.737000000000002"/>
  </r>
  <r>
    <n v="232"/>
    <s v="US-2023-103989"/>
    <x v="56"/>
    <x v="53"/>
    <s v="First Class"/>
    <s v="MC-17605"/>
    <s v="Matt Connell"/>
    <x v="2"/>
    <x v="0"/>
    <s v="Lakeland"/>
    <x v="16"/>
    <n v="33801"/>
    <s v="South"/>
    <s v="OFF-LA-10000443"/>
    <x v="0"/>
    <x v="2"/>
    <x v="204"/>
    <n v="11.808"/>
    <n v="4"/>
    <n v="0.2"/>
    <n v="3.9851999999999999"/>
  </r>
  <r>
    <n v="233"/>
    <s v="US-2023-103989"/>
    <x v="56"/>
    <x v="53"/>
    <s v="First Class"/>
    <s v="MC-17605"/>
    <s v="Matt Connell"/>
    <x v="2"/>
    <x v="0"/>
    <s v="Lakeland"/>
    <x v="16"/>
    <n v="33801"/>
    <s v="South"/>
    <s v="OFF-ST-10000918"/>
    <x v="0"/>
    <x v="3"/>
    <x v="205"/>
    <n v="26.160000000000004"/>
    <n v="3"/>
    <n v="0.2"/>
    <n v="1.961999999999998"/>
  </r>
  <r>
    <n v="234"/>
    <s v="US-2023-103989"/>
    <x v="56"/>
    <x v="53"/>
    <s v="First Class"/>
    <s v="MC-17605"/>
    <s v="Matt Connell"/>
    <x v="2"/>
    <x v="0"/>
    <s v="Lakeland"/>
    <x v="16"/>
    <n v="33801"/>
    <s v="South"/>
    <s v="TEC-AC-10002647"/>
    <x v="2"/>
    <x v="9"/>
    <x v="206"/>
    <n v="170.24"/>
    <n v="2"/>
    <n v="0.2"/>
    <n v="53.199999999999989"/>
  </r>
  <r>
    <n v="235"/>
    <s v="US-2023-103989"/>
    <x v="56"/>
    <x v="53"/>
    <s v="First Class"/>
    <s v="MC-17605"/>
    <s v="Matt Connell"/>
    <x v="2"/>
    <x v="0"/>
    <s v="Lakeland"/>
    <x v="16"/>
    <n v="33801"/>
    <s v="South"/>
    <s v="TEC-PH-10004667"/>
    <x v="2"/>
    <x v="7"/>
    <x v="207"/>
    <n v="323.97600000000006"/>
    <n v="3"/>
    <n v="0.2"/>
    <n v="28.347899999999981"/>
  </r>
  <r>
    <n v="236"/>
    <s v="US-2023-155544"/>
    <x v="57"/>
    <x v="57"/>
    <s v="Standard Class"/>
    <s v="GM-14440"/>
    <s v="Gary McGarr"/>
    <x v="0"/>
    <x v="0"/>
    <s v="Knoxville"/>
    <x v="15"/>
    <n v="37918"/>
    <s v="South"/>
    <s v="FUR-CH-10000422"/>
    <x v="1"/>
    <x v="5"/>
    <x v="22"/>
    <n v="218.376"/>
    <n v="3"/>
    <n v="0.2"/>
    <n v="-10.918799999999983"/>
  </r>
  <r>
    <n v="237"/>
    <s v="US-2023-155544"/>
    <x v="57"/>
    <x v="57"/>
    <s v="Standard Class"/>
    <s v="GM-14440"/>
    <s v="Gary McGarr"/>
    <x v="0"/>
    <x v="0"/>
    <s v="Knoxville"/>
    <x v="15"/>
    <n v="37918"/>
    <s v="South"/>
    <s v="FUR-FU-10001473"/>
    <x v="1"/>
    <x v="8"/>
    <x v="208"/>
    <n v="32.952000000000005"/>
    <n v="3"/>
    <n v="0.2"/>
    <n v="6.5903999999999989"/>
  </r>
  <r>
    <n v="238"/>
    <s v="US-2023-163223"/>
    <x v="57"/>
    <x v="57"/>
    <s v="Standard Class"/>
    <s v="KH-16690"/>
    <s v="Kristen Hastings"/>
    <x v="2"/>
    <x v="0"/>
    <s v="Springfield"/>
    <x v="6"/>
    <n v="22153"/>
    <s v="South"/>
    <s v="OFF-AR-10001573"/>
    <x v="0"/>
    <x v="4"/>
    <x v="209"/>
    <n v="9.32"/>
    <n v="4"/>
    <n v="0"/>
    <n v="2.702799999999999"/>
  </r>
  <r>
    <n v="239"/>
    <s v="US-2023-140004"/>
    <x v="57"/>
    <x v="57"/>
    <s v="Standard Class"/>
    <s v="CB-12025"/>
    <s v="Cassandra Brandow"/>
    <x v="0"/>
    <x v="0"/>
    <s v="Hamilton"/>
    <x v="9"/>
    <n v="45011"/>
    <s v="East"/>
    <s v="OFF-AR-10004027"/>
    <x v="0"/>
    <x v="4"/>
    <x v="210"/>
    <n v="6.048"/>
    <n v="3"/>
    <n v="0.2"/>
    <n v="1.5876000000000006"/>
  </r>
  <r>
    <n v="240"/>
    <s v="US-2023-140004"/>
    <x v="57"/>
    <x v="57"/>
    <s v="Standard Class"/>
    <s v="CB-12025"/>
    <s v="Cassandra Brandow"/>
    <x v="0"/>
    <x v="0"/>
    <s v="Hamilton"/>
    <x v="9"/>
    <n v="45011"/>
    <s v="East"/>
    <s v="OFF-AR-10004685"/>
    <x v="0"/>
    <x v="4"/>
    <x v="211"/>
    <n v="7.4080000000000004"/>
    <n v="2"/>
    <n v="0.2"/>
    <n v="1.2037999999999995"/>
  </r>
  <r>
    <n v="241"/>
    <s v="US-2023-163223"/>
    <x v="57"/>
    <x v="57"/>
    <s v="Standard Class"/>
    <s v="KH-16690"/>
    <s v="Kristen Hastings"/>
    <x v="2"/>
    <x v="0"/>
    <s v="Springfield"/>
    <x v="6"/>
    <n v="22153"/>
    <s v="South"/>
    <s v="OFF-BI-10001597"/>
    <x v="0"/>
    <x v="1"/>
    <x v="212"/>
    <n v="122.94"/>
    <n v="3"/>
    <n v="0"/>
    <n v="59.011199999999988"/>
  </r>
  <r>
    <n v="242"/>
    <s v="US-2023-163223"/>
    <x v="57"/>
    <x v="57"/>
    <s v="Standard Class"/>
    <s v="KH-16690"/>
    <s v="Kristen Hastings"/>
    <x v="2"/>
    <x v="0"/>
    <s v="Springfield"/>
    <x v="6"/>
    <n v="22153"/>
    <s v="South"/>
    <s v="OFF-LA-10004409"/>
    <x v="0"/>
    <x v="2"/>
    <x v="213"/>
    <n v="14.399999999999999"/>
    <n v="5"/>
    <n v="0"/>
    <n v="6.6239999999999988"/>
  </r>
  <r>
    <n v="243"/>
    <s v="US-2023-155544"/>
    <x v="57"/>
    <x v="57"/>
    <s v="Standard Class"/>
    <s v="GM-14440"/>
    <s v="Gary McGarr"/>
    <x v="0"/>
    <x v="0"/>
    <s v="Knoxville"/>
    <x v="15"/>
    <n v="37918"/>
    <s v="South"/>
    <s v="OFF-LA-10004544"/>
    <x v="0"/>
    <x v="2"/>
    <x v="214"/>
    <n v="59.20000000000001"/>
    <n v="5"/>
    <n v="0.2"/>
    <n v="22.199999999999996"/>
  </r>
  <r>
    <n v="244"/>
    <s v="US-2023-163223"/>
    <x v="57"/>
    <x v="57"/>
    <s v="Standard Class"/>
    <s v="KH-16690"/>
    <s v="Kristen Hastings"/>
    <x v="2"/>
    <x v="0"/>
    <s v="Springfield"/>
    <x v="6"/>
    <n v="22153"/>
    <s v="South"/>
    <s v="OFF-PA-10000675"/>
    <x v="0"/>
    <x v="0"/>
    <x v="215"/>
    <n v="122.97"/>
    <n v="3"/>
    <n v="0"/>
    <n v="60.255300000000005"/>
  </r>
  <r>
    <n v="245"/>
    <s v="US-2023-107405"/>
    <x v="57"/>
    <x v="57"/>
    <s v="Standard Class"/>
    <s v="TS-21205"/>
    <s v="Thomas Seio"/>
    <x v="2"/>
    <x v="0"/>
    <s v="Asheville"/>
    <x v="26"/>
    <n v="28806"/>
    <s v="South"/>
    <s v="OFF-ST-10002301"/>
    <x v="0"/>
    <x v="3"/>
    <x v="216"/>
    <n v="16.272000000000002"/>
    <n v="1"/>
    <n v="0.2"/>
    <n v="-3.864600000000002"/>
  </r>
  <r>
    <n v="246"/>
    <s v="US-2023-163223"/>
    <x v="57"/>
    <x v="57"/>
    <s v="Standard Class"/>
    <s v="KH-16690"/>
    <s v="Kristen Hastings"/>
    <x v="2"/>
    <x v="0"/>
    <s v="Springfield"/>
    <x v="6"/>
    <n v="22153"/>
    <s v="South"/>
    <s v="TEC-PH-10000730"/>
    <x v="2"/>
    <x v="7"/>
    <x v="217"/>
    <n v="3499.9300000000003"/>
    <n v="7"/>
    <n v="0"/>
    <n v="909.98180000000025"/>
  </r>
  <r>
    <n v="247"/>
    <s v="US-2023-148040"/>
    <x v="58"/>
    <x v="58"/>
    <s v="Standard Class"/>
    <s v="BF-11275"/>
    <s v="Beth Fritzler"/>
    <x v="2"/>
    <x v="0"/>
    <s v="Tucson"/>
    <x v="12"/>
    <n v="85705"/>
    <s v="West"/>
    <s v="FUR-CH-10001482"/>
    <x v="1"/>
    <x v="5"/>
    <x v="218"/>
    <n v="314.35199999999998"/>
    <n v="3"/>
    <n v="0.2"/>
    <n v="-35.36460000000001"/>
  </r>
  <r>
    <n v="248"/>
    <s v="US-2023-129609"/>
    <x v="58"/>
    <x v="59"/>
    <s v="Same Day"/>
    <s v="VM-21835"/>
    <s v="Vivian Mathis"/>
    <x v="0"/>
    <x v="0"/>
    <s v="Portage"/>
    <x v="18"/>
    <n v="46368"/>
    <s v="Central"/>
    <s v="OFF-AR-10003478"/>
    <x v="0"/>
    <x v="4"/>
    <x v="4"/>
    <n v="16.28"/>
    <n v="2"/>
    <n v="0"/>
    <n v="6.5120000000000005"/>
  </r>
  <r>
    <n v="249"/>
    <s v="US-2023-158057"/>
    <x v="58"/>
    <x v="58"/>
    <s v="Standard Class"/>
    <s v="CC-12685"/>
    <s v="Craig Carroll"/>
    <x v="0"/>
    <x v="0"/>
    <s v="Greensboro"/>
    <x v="26"/>
    <n v="27405"/>
    <s v="South"/>
    <s v="OFF-BI-10002735"/>
    <x v="0"/>
    <x v="1"/>
    <x v="219"/>
    <n v="51.465000000000018"/>
    <n v="5"/>
    <n v="0.7"/>
    <n v="-39.456499999999991"/>
  </r>
  <r>
    <n v="250"/>
    <s v="US-2023-158057"/>
    <x v="58"/>
    <x v="58"/>
    <s v="Standard Class"/>
    <s v="CC-12685"/>
    <s v="Craig Carroll"/>
    <x v="0"/>
    <x v="0"/>
    <s v="Greensboro"/>
    <x v="26"/>
    <n v="27405"/>
    <s v="South"/>
    <s v="OFF-BI-10004410"/>
    <x v="0"/>
    <x v="1"/>
    <x v="220"/>
    <n v="7.644000000000001"/>
    <n v="4"/>
    <n v="0.7"/>
    <n v="-5.8603999999999985"/>
  </r>
  <r>
    <n v="251"/>
    <s v="US-2023-148040"/>
    <x v="58"/>
    <x v="58"/>
    <s v="Standard Class"/>
    <s v="BF-11275"/>
    <s v="Beth Fritzler"/>
    <x v="2"/>
    <x v="0"/>
    <s v="Tucson"/>
    <x v="12"/>
    <n v="85705"/>
    <s v="West"/>
    <s v="OFF-PA-10002581"/>
    <x v="0"/>
    <x v="0"/>
    <x v="221"/>
    <n v="74.352000000000004"/>
    <n v="3"/>
    <n v="0.2"/>
    <n v="23.234999999999992"/>
  </r>
  <r>
    <n v="252"/>
    <s v="US-2023-164749"/>
    <x v="59"/>
    <x v="58"/>
    <s v="First Class"/>
    <s v="BG-11740"/>
    <s v="Bruce Geld"/>
    <x v="0"/>
    <x v="0"/>
    <s v="Delray Beach"/>
    <x v="16"/>
    <n v="33445"/>
    <s v="South"/>
    <s v="OFF-LA-10004484"/>
    <x v="0"/>
    <x v="2"/>
    <x v="222"/>
    <n v="9.9120000000000008"/>
    <n v="3"/>
    <n v="0.2"/>
    <n v="3.2213999999999996"/>
  </r>
  <r>
    <n v="253"/>
    <s v="US-2023-120838"/>
    <x v="59"/>
    <x v="58"/>
    <s v="Second Class"/>
    <s v="PO-18865"/>
    <s v="Patrick O'Donnell"/>
    <x v="0"/>
    <x v="0"/>
    <s v="Los Angeles"/>
    <x v="5"/>
    <n v="90036"/>
    <s v="West"/>
    <s v="OFF-ST-10000585"/>
    <x v="0"/>
    <x v="3"/>
    <x v="223"/>
    <n v="330.4"/>
    <n v="2"/>
    <n v="0"/>
    <n v="85.903999999999996"/>
  </r>
  <r>
    <n v="254"/>
    <s v="US-2023-120838"/>
    <x v="59"/>
    <x v="58"/>
    <s v="Second Class"/>
    <s v="PO-18865"/>
    <s v="Patrick O'Donnell"/>
    <x v="0"/>
    <x v="0"/>
    <s v="Los Angeles"/>
    <x v="5"/>
    <n v="90036"/>
    <s v="West"/>
    <s v="TEC-PH-10003484"/>
    <x v="2"/>
    <x v="7"/>
    <x v="224"/>
    <n v="604.75199999999995"/>
    <n v="6"/>
    <n v="0.2"/>
    <n v="37.797000000000025"/>
  </r>
  <r>
    <n v="255"/>
    <s v="US-2023-143637"/>
    <x v="60"/>
    <x v="60"/>
    <s v="Second Class"/>
    <s v="MS-17710"/>
    <s v="Maurice Satty"/>
    <x v="0"/>
    <x v="0"/>
    <s v="Fresno"/>
    <x v="5"/>
    <n v="93727"/>
    <s v="West"/>
    <s v="FUR-FU-10002813"/>
    <x v="1"/>
    <x v="8"/>
    <x v="225"/>
    <n v="40.479999999999997"/>
    <n v="2"/>
    <n v="0"/>
    <n v="14.572799999999997"/>
  </r>
  <r>
    <n v="256"/>
    <s v="US-2023-147235"/>
    <x v="60"/>
    <x v="61"/>
    <s v="Standard Class"/>
    <s v="CD-11920"/>
    <s v="Carlos Daly"/>
    <x v="0"/>
    <x v="0"/>
    <s v="New York City"/>
    <x v="21"/>
    <n v="10024"/>
    <s v="East"/>
    <s v="OFF-PA-10004948"/>
    <x v="0"/>
    <x v="0"/>
    <x v="226"/>
    <n v="24.900000000000002"/>
    <n v="5"/>
    <n v="0"/>
    <n v="11.703000000000001"/>
  </r>
  <r>
    <n v="257"/>
    <s v="US-2023-148586"/>
    <x v="61"/>
    <x v="62"/>
    <s v="Standard Class"/>
    <s v="AZ-10750"/>
    <s v="Annie Zypern"/>
    <x v="0"/>
    <x v="0"/>
    <s v="New York City"/>
    <x v="21"/>
    <n v="10009"/>
    <s v="East"/>
    <s v="FUR-CH-10002439"/>
    <x v="1"/>
    <x v="5"/>
    <x v="227"/>
    <n v="366.786"/>
    <n v="7"/>
    <n v="0.1"/>
    <n v="65.206400000000002"/>
  </r>
  <r>
    <n v="258"/>
    <s v="US-2023-128237"/>
    <x v="61"/>
    <x v="63"/>
    <s v="Standard Class"/>
    <s v="CA-12265"/>
    <s v="Christina Anderson"/>
    <x v="0"/>
    <x v="0"/>
    <s v="San Francisco"/>
    <x v="5"/>
    <n v="94110"/>
    <s v="West"/>
    <s v="OFF-AR-10000034"/>
    <x v="0"/>
    <x v="4"/>
    <x v="228"/>
    <n v="25.44"/>
    <n v="6"/>
    <n v="0"/>
    <n v="9.9215999999999998"/>
  </r>
  <r>
    <n v="259"/>
    <s v="US-2023-128237"/>
    <x v="61"/>
    <x v="63"/>
    <s v="Standard Class"/>
    <s v="CA-12265"/>
    <s v="Christina Anderson"/>
    <x v="0"/>
    <x v="0"/>
    <s v="San Francisco"/>
    <x v="5"/>
    <n v="94110"/>
    <s v="West"/>
    <s v="OFF-AR-10003338"/>
    <x v="0"/>
    <x v="4"/>
    <x v="229"/>
    <n v="14.88"/>
    <n v="2"/>
    <n v="0"/>
    <n v="3.7200000000000006"/>
  </r>
  <r>
    <n v="260"/>
    <s v="US-2023-128237"/>
    <x v="61"/>
    <x v="63"/>
    <s v="Standard Class"/>
    <s v="CA-12265"/>
    <s v="Christina Anderson"/>
    <x v="0"/>
    <x v="0"/>
    <s v="San Francisco"/>
    <x v="5"/>
    <n v="94110"/>
    <s v="West"/>
    <s v="OFF-AR-10003829"/>
    <x v="0"/>
    <x v="4"/>
    <x v="186"/>
    <n v="6.56"/>
    <n v="2"/>
    <n v="0"/>
    <n v="1.9023999999999992"/>
  </r>
  <r>
    <n v="261"/>
    <s v="US-2023-128237"/>
    <x v="61"/>
    <x v="63"/>
    <s v="Standard Class"/>
    <s v="CA-12265"/>
    <s v="Christina Anderson"/>
    <x v="0"/>
    <x v="0"/>
    <s v="San Francisco"/>
    <x v="5"/>
    <n v="94110"/>
    <s v="West"/>
    <s v="TEC-AC-10002558"/>
    <x v="2"/>
    <x v="9"/>
    <x v="230"/>
    <n v="45.48"/>
    <n v="4"/>
    <n v="0"/>
    <n v="15.917999999999999"/>
  </r>
  <r>
    <n v="262"/>
    <s v="US-2023-141838"/>
    <x v="62"/>
    <x v="64"/>
    <s v="Second Class"/>
    <s v="DK-12835"/>
    <s v="Damala Kotsonis"/>
    <x v="2"/>
    <x v="0"/>
    <s v="San Francisco"/>
    <x v="5"/>
    <n v="94122"/>
    <s v="West"/>
    <s v="OFF-AR-10004272"/>
    <x v="0"/>
    <x v="4"/>
    <x v="231"/>
    <n v="3.36"/>
    <n v="2"/>
    <n v="0"/>
    <n v="0.83999999999999986"/>
  </r>
  <r>
    <n v="263"/>
    <s v="US-2023-141838"/>
    <x v="62"/>
    <x v="64"/>
    <s v="Second Class"/>
    <s v="DK-12835"/>
    <s v="Damala Kotsonis"/>
    <x v="2"/>
    <x v="0"/>
    <s v="San Francisco"/>
    <x v="5"/>
    <n v="94122"/>
    <s v="West"/>
    <s v="OFF-BI-10003291"/>
    <x v="0"/>
    <x v="1"/>
    <x v="100"/>
    <n v="27.936000000000003"/>
    <n v="4"/>
    <n v="0.2"/>
    <n v="9.4283999999999963"/>
  </r>
  <r>
    <n v="264"/>
    <s v="US-2023-100860"/>
    <x v="62"/>
    <x v="63"/>
    <s v="Second Class"/>
    <s v="CS-12505"/>
    <s v="Cindy Stewart"/>
    <x v="0"/>
    <x v="0"/>
    <s v="Pomona"/>
    <x v="5"/>
    <n v="91767"/>
    <s v="West"/>
    <s v="OFF-LA-10001982"/>
    <x v="0"/>
    <x v="2"/>
    <x v="232"/>
    <n v="18.75"/>
    <n v="5"/>
    <n v="0"/>
    <n v="9"/>
  </r>
  <r>
    <n v="265"/>
    <s v="US-2023-138436"/>
    <x v="62"/>
    <x v="63"/>
    <s v="Standard Class"/>
    <s v="JD-15895"/>
    <s v="Jonathan Doherty"/>
    <x v="2"/>
    <x v="0"/>
    <s v="Los Angeles"/>
    <x v="5"/>
    <n v="90036"/>
    <s v="West"/>
    <s v="TEC-AC-10002323"/>
    <x v="2"/>
    <x v="9"/>
    <x v="233"/>
    <n v="66.300000000000011"/>
    <n v="3"/>
    <n v="0"/>
    <n v="8.6190000000000033"/>
  </r>
  <r>
    <n v="266"/>
    <s v="US-2023-141838"/>
    <x v="62"/>
    <x v="64"/>
    <s v="Second Class"/>
    <s v="DK-12835"/>
    <s v="Damala Kotsonis"/>
    <x v="2"/>
    <x v="0"/>
    <s v="San Francisco"/>
    <x v="5"/>
    <n v="94122"/>
    <s v="West"/>
    <s v="TEC-PH-10004100"/>
    <x v="2"/>
    <x v="7"/>
    <x v="234"/>
    <n v="28.783999999999999"/>
    <n v="2"/>
    <n v="0.2"/>
    <n v="2.878400000000001"/>
  </r>
  <r>
    <n v="267"/>
    <s v="US-2023-117380"/>
    <x v="63"/>
    <x v="65"/>
    <s v="Standard Class"/>
    <s v="MP-18175"/>
    <s v="Mike Pelletier"/>
    <x v="1"/>
    <x v="0"/>
    <s v="Springfield"/>
    <x v="9"/>
    <n v="45503"/>
    <s v="East"/>
    <s v="FUR-TA-10000198"/>
    <x v="1"/>
    <x v="13"/>
    <x v="235"/>
    <n v="330.58800000000002"/>
    <n v="1"/>
    <n v="0.4"/>
    <n v="-143.25480000000002"/>
  </r>
  <r>
    <n v="268"/>
    <s v="US-2023-137869"/>
    <x v="63"/>
    <x v="66"/>
    <s v="Standard Class"/>
    <s v="CV-12295"/>
    <s v="Christina VanderZanden"/>
    <x v="0"/>
    <x v="0"/>
    <s v="Des Moines"/>
    <x v="32"/>
    <n v="50315"/>
    <s v="Central"/>
    <s v="FUR-TA-10003954"/>
    <x v="1"/>
    <x v="13"/>
    <x v="236"/>
    <n v="1184.72"/>
    <n v="4"/>
    <n v="0"/>
    <n v="106.62480000000005"/>
  </r>
  <r>
    <n v="269"/>
    <s v="US-2023-137869"/>
    <x v="63"/>
    <x v="66"/>
    <s v="Standard Class"/>
    <s v="CV-12295"/>
    <s v="Christina VanderZanden"/>
    <x v="0"/>
    <x v="0"/>
    <s v="Des Moines"/>
    <x v="32"/>
    <n v="50315"/>
    <s v="Central"/>
    <s v="OFF-EN-10001509"/>
    <x v="0"/>
    <x v="11"/>
    <x v="237"/>
    <n v="6.12"/>
    <n v="3"/>
    <n v="0"/>
    <n v="2.8763999999999994"/>
  </r>
  <r>
    <n v="270"/>
    <s v="US-2023-100881"/>
    <x v="63"/>
    <x v="62"/>
    <s v="Standard Class"/>
    <s v="DR-12940"/>
    <s v="Daniel Raglin"/>
    <x v="1"/>
    <x v="0"/>
    <s v="Albuquerque"/>
    <x v="33"/>
    <n v="87105"/>
    <s v="West"/>
    <s v="TEC-PH-10003273"/>
    <x v="2"/>
    <x v="7"/>
    <x v="238"/>
    <n v="302.37599999999998"/>
    <n v="3"/>
    <n v="0.2"/>
    <n v="22.678200000000018"/>
  </r>
  <r>
    <n v="271"/>
    <s v="US-2023-137274"/>
    <x v="64"/>
    <x v="66"/>
    <s v="Standard Class"/>
    <s v="MG-18145"/>
    <s v="Mike Gockenbach"/>
    <x v="0"/>
    <x v="0"/>
    <s v="Plano"/>
    <x v="0"/>
    <n v="75023"/>
    <s v="Central"/>
    <s v="FUR-TA-10001889"/>
    <x v="1"/>
    <x v="13"/>
    <x v="239"/>
    <n v="890.84099999999989"/>
    <n v="3"/>
    <n v="0.3"/>
    <n v="-152.71559999999999"/>
  </r>
  <r>
    <n v="272"/>
    <s v="US-2023-131247"/>
    <x v="65"/>
    <x v="67"/>
    <s v="Standard Class"/>
    <s v="GA-14725"/>
    <s v="Guy Armstrong"/>
    <x v="0"/>
    <x v="0"/>
    <s v="San Francisco"/>
    <x v="5"/>
    <n v="94110"/>
    <s v="West"/>
    <s v="FUR-BO-10001337"/>
    <x v="1"/>
    <x v="10"/>
    <x v="240"/>
    <n v="205.666"/>
    <n v="2"/>
    <n v="0.15"/>
    <n v="-12.097999999999999"/>
  </r>
  <r>
    <n v="273"/>
    <s v="US-2023-162089"/>
    <x v="65"/>
    <x v="62"/>
    <s v="First Class"/>
    <s v="MP-17470"/>
    <s v="Mark Packer"/>
    <x v="1"/>
    <x v="0"/>
    <s v="Brownsville"/>
    <x v="0"/>
    <n v="78521"/>
    <s v="Central"/>
    <s v="FUR-CH-10002304"/>
    <x v="1"/>
    <x v="5"/>
    <x v="241"/>
    <n v="127.30199999999999"/>
    <n v="7"/>
    <n v="0.3"/>
    <n v="-9.0929999999999964"/>
  </r>
  <r>
    <n v="274"/>
    <s v="US-2023-105151"/>
    <x v="65"/>
    <x v="64"/>
    <s v="First Class"/>
    <s v="SG-20890"/>
    <s v="Susan Gilcrest"/>
    <x v="2"/>
    <x v="0"/>
    <s v="New York City"/>
    <x v="21"/>
    <n v="10009"/>
    <s v="East"/>
    <s v="OFF-AR-10001231"/>
    <x v="0"/>
    <x v="4"/>
    <x v="242"/>
    <n v="10.5"/>
    <n v="5"/>
    <n v="0"/>
    <n v="2.9400000000000004"/>
  </r>
  <r>
    <n v="275"/>
    <s v="US-2023-169033"/>
    <x v="65"/>
    <x v="65"/>
    <s v="Standard Class"/>
    <s v="KM-16720"/>
    <s v="Kunst Miller"/>
    <x v="0"/>
    <x v="0"/>
    <s v="Long Beach"/>
    <x v="21"/>
    <n v="11561"/>
    <s v="East"/>
    <s v="OFF-AR-10001915"/>
    <x v="0"/>
    <x v="4"/>
    <x v="243"/>
    <n v="49.65"/>
    <n v="5"/>
    <n v="0"/>
    <n v="20.853000000000002"/>
  </r>
  <r>
    <n v="276"/>
    <s v="US-2023-162089"/>
    <x v="65"/>
    <x v="62"/>
    <s v="First Class"/>
    <s v="MP-17470"/>
    <s v="Mark Packer"/>
    <x v="1"/>
    <x v="0"/>
    <s v="Brownsville"/>
    <x v="0"/>
    <n v="78521"/>
    <s v="Central"/>
    <s v="OFF-EN-10002230"/>
    <x v="0"/>
    <x v="11"/>
    <x v="244"/>
    <n v="335.72"/>
    <n v="5"/>
    <n v="0.2"/>
    <n v="113.30549999999999"/>
  </r>
  <r>
    <n v="277"/>
    <s v="US-2023-133424"/>
    <x v="65"/>
    <x v="67"/>
    <s v="Standard Class"/>
    <s v="Dl-13600"/>
    <s v="Dorris liebe"/>
    <x v="2"/>
    <x v="0"/>
    <s v="Seattle"/>
    <x v="23"/>
    <n v="98105"/>
    <s v="West"/>
    <s v="OFF-LA-10002312"/>
    <x v="0"/>
    <x v="2"/>
    <x v="245"/>
    <n v="44.400000000000006"/>
    <n v="3"/>
    <n v="0"/>
    <n v="22.200000000000003"/>
  </r>
  <r>
    <n v="278"/>
    <s v="US-2023-113124"/>
    <x v="65"/>
    <x v="68"/>
    <s v="Standard Class"/>
    <s v="NC-18340"/>
    <s v="Nat Carroll"/>
    <x v="0"/>
    <x v="0"/>
    <s v="Apple Valley"/>
    <x v="30"/>
    <n v="55124"/>
    <s v="Central"/>
    <s v="OFF-ST-10001511"/>
    <x v="0"/>
    <x v="3"/>
    <x v="246"/>
    <n v="129.30000000000001"/>
    <n v="2"/>
    <n v="0"/>
    <n v="6.4649999999999892"/>
  </r>
  <r>
    <n v="279"/>
    <s v="US-2023-133424"/>
    <x v="65"/>
    <x v="67"/>
    <s v="Standard Class"/>
    <s v="Dl-13600"/>
    <s v="Dorris liebe"/>
    <x v="2"/>
    <x v="0"/>
    <s v="Seattle"/>
    <x v="23"/>
    <n v="98105"/>
    <s v="West"/>
    <s v="OFF-ST-10002957"/>
    <x v="0"/>
    <x v="3"/>
    <x v="247"/>
    <n v="15.84"/>
    <n v="3"/>
    <n v="0"/>
    <n v="0"/>
  </r>
  <r>
    <n v="280"/>
    <s v="US-2023-162089"/>
    <x v="65"/>
    <x v="62"/>
    <s v="First Class"/>
    <s v="MP-17470"/>
    <s v="Mark Packer"/>
    <x v="1"/>
    <x v="0"/>
    <s v="Brownsville"/>
    <x v="0"/>
    <n v="78521"/>
    <s v="Central"/>
    <s v="TEC-PH-10001819"/>
    <x v="2"/>
    <x v="7"/>
    <x v="248"/>
    <n v="251.94400000000002"/>
    <n v="7"/>
    <n v="0.2"/>
    <n v="88.180399999999977"/>
  </r>
  <r>
    <n v="281"/>
    <s v="US-2023-130428"/>
    <x v="66"/>
    <x v="64"/>
    <s v="Same Day"/>
    <s v="TG-21640"/>
    <s v="Trudy Glocke"/>
    <x v="0"/>
    <x v="0"/>
    <s v="Tampa"/>
    <x v="16"/>
    <n v="33614"/>
    <s v="South"/>
    <s v="FUR-CH-10002965"/>
    <x v="1"/>
    <x v="5"/>
    <x v="249"/>
    <n v="1125.4879999999998"/>
    <n v="7"/>
    <n v="0.2"/>
    <n v="98.480200000000082"/>
  </r>
  <r>
    <n v="282"/>
    <s v="US-2023-128055"/>
    <x v="66"/>
    <x v="68"/>
    <s v="Standard Class"/>
    <s v="AA-10315"/>
    <s v="Alex Avila"/>
    <x v="0"/>
    <x v="0"/>
    <s v="San Francisco"/>
    <x v="5"/>
    <n v="94122"/>
    <s v="West"/>
    <s v="OFF-AP-10002765"/>
    <x v="0"/>
    <x v="12"/>
    <x v="250"/>
    <n v="52.98"/>
    <n v="2"/>
    <n v="0"/>
    <n v="14.834400000000002"/>
  </r>
  <r>
    <n v="283"/>
    <s v="US-2023-130428"/>
    <x v="66"/>
    <x v="64"/>
    <s v="Same Day"/>
    <s v="TG-21640"/>
    <s v="Trudy Glocke"/>
    <x v="0"/>
    <x v="0"/>
    <s v="Tampa"/>
    <x v="16"/>
    <n v="33614"/>
    <s v="South"/>
    <s v="OFF-AR-10004027"/>
    <x v="0"/>
    <x v="4"/>
    <x v="210"/>
    <n v="4.032"/>
    <n v="2"/>
    <n v="0.2"/>
    <n v="1.0584000000000002"/>
  </r>
  <r>
    <n v="284"/>
    <s v="US-2023-101770"/>
    <x v="66"/>
    <x v="67"/>
    <s v="Standard Class"/>
    <s v="KB-16240"/>
    <s v="Karen Bern"/>
    <x v="2"/>
    <x v="0"/>
    <s v="Miami"/>
    <x v="16"/>
    <n v="33180"/>
    <s v="South"/>
    <s v="OFF-BI-10001097"/>
    <x v="0"/>
    <x v="1"/>
    <x v="251"/>
    <n v="1.8690000000000004"/>
    <n v="1"/>
    <n v="0.7"/>
    <n v="-1.3082999999999996"/>
  </r>
  <r>
    <n v="285"/>
    <s v="US-2023-130428"/>
    <x v="66"/>
    <x v="64"/>
    <s v="Same Day"/>
    <s v="TG-21640"/>
    <s v="Trudy Glocke"/>
    <x v="0"/>
    <x v="0"/>
    <s v="Tampa"/>
    <x v="16"/>
    <n v="33614"/>
    <s v="South"/>
    <s v="OFF-BI-10001636"/>
    <x v="0"/>
    <x v="1"/>
    <x v="252"/>
    <n v="12.645000000000001"/>
    <n v="5"/>
    <n v="0.7"/>
    <n v="-10.116"/>
  </r>
  <r>
    <n v="286"/>
    <s v="US-2023-104759"/>
    <x v="66"/>
    <x v="67"/>
    <s v="Standard Class"/>
    <s v="DD-13570"/>
    <s v="Dorothy Dickinson"/>
    <x v="0"/>
    <x v="0"/>
    <s v="Chicago"/>
    <x v="1"/>
    <n v="60610"/>
    <s v="Central"/>
    <s v="OFF-BI-10002071"/>
    <x v="0"/>
    <x v="1"/>
    <x v="253"/>
    <n v="8.1339999999999986"/>
    <n v="7"/>
    <n v="0.8"/>
    <n v="-13.827800000000003"/>
  </r>
  <r>
    <n v="287"/>
    <s v="US-2023-112403"/>
    <x v="66"/>
    <x v="64"/>
    <s v="Same Day"/>
    <s v="JO-15280"/>
    <s v="Jas O'Carroll"/>
    <x v="0"/>
    <x v="0"/>
    <s v="Philadelphia"/>
    <x v="2"/>
    <n v="19120"/>
    <s v="East"/>
    <s v="OFF-BI-10003529"/>
    <x v="0"/>
    <x v="1"/>
    <x v="254"/>
    <n v="0.85200000000000009"/>
    <n v="1"/>
    <n v="0.7"/>
    <n v="-0.59639999999999982"/>
  </r>
  <r>
    <n v="288"/>
    <s v="US-2023-128055"/>
    <x v="66"/>
    <x v="68"/>
    <s v="Standard Class"/>
    <s v="AA-10315"/>
    <s v="Alex Avila"/>
    <x v="0"/>
    <x v="0"/>
    <s v="San Francisco"/>
    <x v="5"/>
    <n v="94122"/>
    <s v="West"/>
    <s v="OFF-BI-10004390"/>
    <x v="0"/>
    <x v="1"/>
    <x v="255"/>
    <n v="673.5680000000001"/>
    <n v="2"/>
    <n v="0.2"/>
    <n v="252.58799999999999"/>
  </r>
  <r>
    <n v="289"/>
    <s v="US-2023-104759"/>
    <x v="66"/>
    <x v="67"/>
    <s v="Standard Class"/>
    <s v="DD-13570"/>
    <s v="Dorothy Dickinson"/>
    <x v="0"/>
    <x v="0"/>
    <s v="Chicago"/>
    <x v="1"/>
    <n v="60610"/>
    <s v="Central"/>
    <s v="TEC-AC-10004901"/>
    <x v="2"/>
    <x v="9"/>
    <x v="256"/>
    <n v="79.984000000000009"/>
    <n v="2"/>
    <n v="0.2"/>
    <n v="13.997199999999999"/>
  </r>
  <r>
    <n v="290"/>
    <s v="US-2023-157021"/>
    <x v="67"/>
    <x v="69"/>
    <s v="Second Class"/>
    <s v="KM-16720"/>
    <s v="Kunst Miller"/>
    <x v="0"/>
    <x v="0"/>
    <s v="Vallejo"/>
    <x v="5"/>
    <n v="94591"/>
    <s v="West"/>
    <s v="OFF-BI-10000042"/>
    <x v="0"/>
    <x v="1"/>
    <x v="257"/>
    <n v="17.088000000000001"/>
    <n v="4"/>
    <n v="0.2"/>
    <n v="5.5535999999999994"/>
  </r>
  <r>
    <n v="291"/>
    <s v="US-2023-138359"/>
    <x v="67"/>
    <x v="69"/>
    <s v="Standard Class"/>
    <s v="KH-16330"/>
    <s v="Katharine Harms"/>
    <x v="2"/>
    <x v="0"/>
    <s v="Revere"/>
    <x v="34"/>
    <n v="2151"/>
    <s v="East"/>
    <s v="OFF-BI-10000145"/>
    <x v="0"/>
    <x v="1"/>
    <x v="258"/>
    <n v="6.24"/>
    <n v="2"/>
    <n v="0"/>
    <n v="3.0575999999999999"/>
  </r>
  <r>
    <n v="292"/>
    <s v="US-2023-157021"/>
    <x v="67"/>
    <x v="69"/>
    <s v="Second Class"/>
    <s v="KM-16720"/>
    <s v="Kunst Miller"/>
    <x v="0"/>
    <x v="0"/>
    <s v="Vallejo"/>
    <x v="5"/>
    <n v="94591"/>
    <s v="West"/>
    <s v="OFF-LA-10002312"/>
    <x v="0"/>
    <x v="2"/>
    <x v="245"/>
    <n v="29.6"/>
    <n v="2"/>
    <n v="0"/>
    <n v="14.8"/>
  </r>
  <r>
    <n v="293"/>
    <s v="US-2023-138359"/>
    <x v="67"/>
    <x v="69"/>
    <s v="Standard Class"/>
    <s v="KH-16330"/>
    <s v="Katharine Harms"/>
    <x v="2"/>
    <x v="0"/>
    <s v="Revere"/>
    <x v="34"/>
    <n v="2151"/>
    <s v="East"/>
    <s v="OFF-ST-10000636"/>
    <x v="0"/>
    <x v="3"/>
    <x v="259"/>
    <n v="66.959999999999994"/>
    <n v="4"/>
    <n v="0"/>
    <n v="2.6783999999999963"/>
  </r>
  <r>
    <n v="294"/>
    <s v="US-2023-160276"/>
    <x v="68"/>
    <x v="70"/>
    <s v="Standard Class"/>
    <s v="AH-10690"/>
    <s v="Anna Häberlin"/>
    <x v="2"/>
    <x v="0"/>
    <s v="Virginia Beach"/>
    <x v="6"/>
    <n v="23464"/>
    <s v="South"/>
    <s v="FUR-FU-10003192"/>
    <x v="1"/>
    <x v="8"/>
    <x v="260"/>
    <n v="177.68"/>
    <n v="2"/>
    <n v="0"/>
    <n v="46.196799999999996"/>
  </r>
  <r>
    <n v="295"/>
    <s v="US-2023-164315"/>
    <x v="68"/>
    <x v="70"/>
    <s v="Standard Class"/>
    <s v="RD-19585"/>
    <s v="Rob Dowd"/>
    <x v="0"/>
    <x v="0"/>
    <s v="Athens"/>
    <x v="4"/>
    <n v="30605"/>
    <s v="South"/>
    <s v="OFF-AP-10003842"/>
    <x v="0"/>
    <x v="12"/>
    <x v="261"/>
    <n v="154.9"/>
    <n v="5"/>
    <n v="0"/>
    <n v="40.274000000000001"/>
  </r>
  <r>
    <n v="296"/>
    <s v="US-2023-157847"/>
    <x v="68"/>
    <x v="69"/>
    <s v="Second Class"/>
    <s v="SC-20020"/>
    <s v="Sam Craven"/>
    <x v="0"/>
    <x v="0"/>
    <s v="Houston"/>
    <x v="0"/>
    <n v="77095"/>
    <s v="Central"/>
    <s v="OFF-PA-10001593"/>
    <x v="0"/>
    <x v="0"/>
    <x v="262"/>
    <n v="33.488000000000007"/>
    <n v="7"/>
    <n v="0.2"/>
    <n v="10.464999999999998"/>
  </r>
  <r>
    <n v="297"/>
    <s v="US-2023-157847"/>
    <x v="68"/>
    <x v="69"/>
    <s v="Second Class"/>
    <s v="SC-20020"/>
    <s v="Sam Craven"/>
    <x v="0"/>
    <x v="0"/>
    <s v="Houston"/>
    <x v="0"/>
    <n v="77095"/>
    <s v="Central"/>
    <s v="OFF-PA-10002986"/>
    <x v="0"/>
    <x v="0"/>
    <x v="263"/>
    <n v="26.720000000000002"/>
    <n v="5"/>
    <n v="0.2"/>
    <n v="9.3520000000000003"/>
  </r>
  <r>
    <n v="298"/>
    <s v="US-2023-164315"/>
    <x v="68"/>
    <x v="70"/>
    <s v="Standard Class"/>
    <s v="RD-19585"/>
    <s v="Rob Dowd"/>
    <x v="0"/>
    <x v="0"/>
    <s v="Athens"/>
    <x v="4"/>
    <n v="30605"/>
    <s v="South"/>
    <s v="OFF-PA-10004248"/>
    <x v="0"/>
    <x v="0"/>
    <x v="264"/>
    <n v="15.84"/>
    <n v="3"/>
    <n v="0"/>
    <n v="7.1280000000000001"/>
  </r>
  <r>
    <n v="299"/>
    <s v="US-2023-164315"/>
    <x v="68"/>
    <x v="70"/>
    <s v="Standard Class"/>
    <s v="RD-19585"/>
    <s v="Rob Dowd"/>
    <x v="0"/>
    <x v="0"/>
    <s v="Athens"/>
    <x v="4"/>
    <n v="30605"/>
    <s v="South"/>
    <s v="TEC-PH-10001128"/>
    <x v="2"/>
    <x v="7"/>
    <x v="265"/>
    <n v="1049.93"/>
    <n v="7"/>
    <n v="0"/>
    <n v="293.98040000000003"/>
  </r>
  <r>
    <n v="300"/>
    <s v="US-2023-112291"/>
    <x v="69"/>
    <x v="70"/>
    <s v="Standard Class"/>
    <s v="KE-16420"/>
    <s v="Katrina Edelman"/>
    <x v="2"/>
    <x v="0"/>
    <s v="Los Angeles"/>
    <x v="5"/>
    <n v="90008"/>
    <s v="West"/>
    <s v="OFF-EN-10001415"/>
    <x v="0"/>
    <x v="11"/>
    <x v="27"/>
    <n v="11.16"/>
    <n v="2"/>
    <n v="0"/>
    <n v="5.58"/>
  </r>
  <r>
    <n v="301"/>
    <s v="US-2023-112291"/>
    <x v="69"/>
    <x v="70"/>
    <s v="Standard Class"/>
    <s v="KE-16420"/>
    <s v="Katrina Edelman"/>
    <x v="2"/>
    <x v="0"/>
    <s v="Los Angeles"/>
    <x v="5"/>
    <n v="90008"/>
    <s v="West"/>
    <s v="TEC-AC-10000736"/>
    <x v="2"/>
    <x v="9"/>
    <x v="109"/>
    <n v="159.97999999999999"/>
    <n v="2"/>
    <n v="0"/>
    <n v="57.592799999999997"/>
  </r>
  <r>
    <n v="302"/>
    <s v="US-2023-112291"/>
    <x v="69"/>
    <x v="70"/>
    <s v="Standard Class"/>
    <s v="KE-16420"/>
    <s v="Katrina Edelman"/>
    <x v="2"/>
    <x v="0"/>
    <s v="Los Angeles"/>
    <x v="5"/>
    <n v="90008"/>
    <s v="West"/>
    <s v="TEC-AC-10001284"/>
    <x v="2"/>
    <x v="9"/>
    <x v="118"/>
    <n v="62.31"/>
    <n v="3"/>
    <n v="0"/>
    <n v="22.4316"/>
  </r>
  <r>
    <n v="303"/>
    <s v="US-2023-133228"/>
    <x v="70"/>
    <x v="71"/>
    <s v="Standard Class"/>
    <s v="MS-17710"/>
    <s v="Maurice Satty"/>
    <x v="0"/>
    <x v="0"/>
    <s v="Detroit"/>
    <x v="14"/>
    <n v="48205"/>
    <s v="Central"/>
    <s v="FUR-FU-10004020"/>
    <x v="1"/>
    <x v="8"/>
    <x v="266"/>
    <n v="5.47"/>
    <n v="1"/>
    <n v="0"/>
    <n v="2.3521000000000001"/>
  </r>
  <r>
    <n v="304"/>
    <s v="US-2023-133228"/>
    <x v="70"/>
    <x v="71"/>
    <s v="Standard Class"/>
    <s v="MS-17710"/>
    <s v="Maurice Satty"/>
    <x v="0"/>
    <x v="0"/>
    <s v="Detroit"/>
    <x v="14"/>
    <n v="48205"/>
    <s v="Central"/>
    <s v="OFF-AR-10001955"/>
    <x v="0"/>
    <x v="4"/>
    <x v="267"/>
    <n v="79.36"/>
    <n v="4"/>
    <n v="0"/>
    <n v="23.807999999999993"/>
  </r>
  <r>
    <n v="305"/>
    <s v="US-2023-128685"/>
    <x v="70"/>
    <x v="68"/>
    <s v="First Class"/>
    <s v="MZ-17515"/>
    <s v="Mary Zewe"/>
    <x v="2"/>
    <x v="0"/>
    <s v="Los Angeles"/>
    <x v="5"/>
    <n v="90008"/>
    <s v="West"/>
    <s v="OFF-BI-10004140"/>
    <x v="0"/>
    <x v="1"/>
    <x v="268"/>
    <n v="7.1840000000000011"/>
    <n v="2"/>
    <n v="0.2"/>
    <n v="2.2449999999999992"/>
  </r>
  <r>
    <n v="306"/>
    <s v="US-2023-105172"/>
    <x v="70"/>
    <x v="71"/>
    <s v="Standard Class"/>
    <s v="PK-18910"/>
    <s v="Paul Knutson"/>
    <x v="1"/>
    <x v="0"/>
    <s v="San Francisco"/>
    <x v="5"/>
    <n v="94109"/>
    <s v="West"/>
    <s v="OFF-LA-10001641"/>
    <x v="0"/>
    <x v="2"/>
    <x v="269"/>
    <n v="18.899999999999999"/>
    <n v="6"/>
    <n v="0"/>
    <n v="9.0719999999999992"/>
  </r>
  <r>
    <n v="307"/>
    <s v="US-2023-149538"/>
    <x v="70"/>
    <x v="70"/>
    <s v="Standard Class"/>
    <s v="KB-16585"/>
    <s v="Ken Black"/>
    <x v="2"/>
    <x v="0"/>
    <s v="Lafayette"/>
    <x v="10"/>
    <n v="70506"/>
    <s v="South"/>
    <s v="OFF-PA-10002195"/>
    <x v="0"/>
    <x v="0"/>
    <x v="190"/>
    <n v="12.96"/>
    <n v="2"/>
    <n v="0"/>
    <n v="6.3504000000000005"/>
  </r>
  <r>
    <n v="308"/>
    <s v="US-2023-149538"/>
    <x v="70"/>
    <x v="70"/>
    <s v="Standard Class"/>
    <s v="KB-16585"/>
    <s v="Ken Black"/>
    <x v="2"/>
    <x v="0"/>
    <s v="Lafayette"/>
    <x v="10"/>
    <n v="70506"/>
    <s v="South"/>
    <s v="OFF-PA-10003797"/>
    <x v="0"/>
    <x v="0"/>
    <x v="270"/>
    <n v="19.440000000000001"/>
    <n v="3"/>
    <n v="0"/>
    <n v="9.3312000000000008"/>
  </r>
  <r>
    <n v="309"/>
    <s v="US-2023-149538"/>
    <x v="70"/>
    <x v="70"/>
    <s v="Standard Class"/>
    <s v="KB-16585"/>
    <s v="Ken Black"/>
    <x v="2"/>
    <x v="0"/>
    <s v="Lafayette"/>
    <x v="10"/>
    <n v="70506"/>
    <s v="South"/>
    <s v="OFF-ST-10004180"/>
    <x v="0"/>
    <x v="3"/>
    <x v="271"/>
    <n v="232.54999999999998"/>
    <n v="5"/>
    <n v="0"/>
    <n v="9.3019999999999925"/>
  </r>
  <r>
    <n v="310"/>
    <s v="US-2023-149538"/>
    <x v="70"/>
    <x v="70"/>
    <s v="Standard Class"/>
    <s v="KB-16585"/>
    <s v="Ken Black"/>
    <x v="2"/>
    <x v="0"/>
    <s v="Lafayette"/>
    <x v="10"/>
    <n v="70506"/>
    <s v="South"/>
    <s v="TEC-AC-10002926"/>
    <x v="2"/>
    <x v="9"/>
    <x v="272"/>
    <n v="99.98"/>
    <n v="2"/>
    <n v="0"/>
    <n v="42.991400000000006"/>
  </r>
  <r>
    <n v="311"/>
    <s v="US-2023-102988"/>
    <x v="71"/>
    <x v="71"/>
    <s v="Second Class"/>
    <s v="GM-14695"/>
    <s v="Greg Maxwell"/>
    <x v="2"/>
    <x v="0"/>
    <s v="Alexandria"/>
    <x v="6"/>
    <n v="22304"/>
    <s v="South"/>
    <s v="OFF-AR-10000127"/>
    <x v="0"/>
    <x v="4"/>
    <x v="273"/>
    <n v="22.959999999999997"/>
    <n v="7"/>
    <n v="0"/>
    <n v="6.6583999999999968"/>
  </r>
  <r>
    <n v="312"/>
    <s v="US-2023-149104"/>
    <x v="71"/>
    <x v="72"/>
    <s v="Second Class"/>
    <s v="RD-19900"/>
    <s v="Ruben Dartt"/>
    <x v="0"/>
    <x v="0"/>
    <s v="Dearborn Heights"/>
    <x v="14"/>
    <n v="48127"/>
    <s v="Central"/>
    <s v="OFF-AR-10002952"/>
    <x v="0"/>
    <x v="4"/>
    <x v="274"/>
    <n v="26.7"/>
    <n v="2"/>
    <n v="0"/>
    <n v="7.4759999999999991"/>
  </r>
  <r>
    <n v="313"/>
    <s v="US-2023-149104"/>
    <x v="71"/>
    <x v="72"/>
    <s v="Second Class"/>
    <s v="RD-19900"/>
    <s v="Ruben Dartt"/>
    <x v="0"/>
    <x v="0"/>
    <s v="Dearborn Heights"/>
    <x v="14"/>
    <n v="48127"/>
    <s v="Central"/>
    <s v="OFF-AR-10004685"/>
    <x v="0"/>
    <x v="4"/>
    <x v="211"/>
    <n v="13.89"/>
    <n v="3"/>
    <n v="0"/>
    <n v="4.5836999999999994"/>
  </r>
  <r>
    <n v="314"/>
    <s v="US-2023-102988"/>
    <x v="71"/>
    <x v="71"/>
    <s v="Second Class"/>
    <s v="GM-14695"/>
    <s v="Greg Maxwell"/>
    <x v="2"/>
    <x v="0"/>
    <s v="Alexandria"/>
    <x v="6"/>
    <n v="22304"/>
    <s v="South"/>
    <s v="OFF-AR-10004757"/>
    <x v="0"/>
    <x v="4"/>
    <x v="275"/>
    <n v="22.959999999999997"/>
    <n v="7"/>
    <n v="0"/>
    <n v="7.5767999999999986"/>
  </r>
  <r>
    <n v="315"/>
    <s v="US-2023-157231"/>
    <x v="71"/>
    <x v="71"/>
    <s v="Standard Class"/>
    <s v="RP-19855"/>
    <s v="Roy Phan"/>
    <x v="2"/>
    <x v="0"/>
    <s v="Richmond"/>
    <x v="3"/>
    <n v="40475"/>
    <s v="South"/>
    <s v="OFF-BI-10002852"/>
    <x v="0"/>
    <x v="1"/>
    <x v="276"/>
    <n v="115.36"/>
    <n v="7"/>
    <n v="0"/>
    <n v="56.526400000000002"/>
  </r>
  <r>
    <n v="316"/>
    <s v="US-2023-149104"/>
    <x v="71"/>
    <x v="72"/>
    <s v="Second Class"/>
    <s v="RD-19900"/>
    <s v="Ruben Dartt"/>
    <x v="0"/>
    <x v="0"/>
    <s v="Dearborn Heights"/>
    <x v="14"/>
    <n v="48127"/>
    <s v="Central"/>
    <s v="OFF-BI-10004209"/>
    <x v="0"/>
    <x v="1"/>
    <x v="277"/>
    <n v="40.199999999999996"/>
    <n v="5"/>
    <n v="0"/>
    <n v="18.089999999999996"/>
  </r>
  <r>
    <n v="317"/>
    <s v="US-2023-102988"/>
    <x v="71"/>
    <x v="71"/>
    <s v="Second Class"/>
    <s v="GM-14695"/>
    <s v="Greg Maxwell"/>
    <x v="2"/>
    <x v="0"/>
    <s v="Alexandria"/>
    <x v="6"/>
    <n v="22304"/>
    <s v="South"/>
    <s v="OFF-PA-10003349"/>
    <x v="0"/>
    <x v="0"/>
    <x v="194"/>
    <n v="12.96"/>
    <n v="2"/>
    <n v="0"/>
    <n v="6.3504000000000005"/>
  </r>
  <r>
    <n v="318"/>
    <s v="US-2023-113887"/>
    <x v="71"/>
    <x v="72"/>
    <s v="First Class"/>
    <s v="TH-21550"/>
    <s v="Tracy Hopkins"/>
    <x v="1"/>
    <x v="0"/>
    <s v="New York City"/>
    <x v="21"/>
    <n v="10035"/>
    <s v="East"/>
    <s v="OFF-PA-10004071"/>
    <x v="0"/>
    <x v="0"/>
    <x v="278"/>
    <n v="55.48"/>
    <n v="1"/>
    <n v="0"/>
    <n v="26.630399999999998"/>
  </r>
  <r>
    <n v="319"/>
    <s v="US-2023-149104"/>
    <x v="71"/>
    <x v="72"/>
    <s v="Second Class"/>
    <s v="RD-19900"/>
    <s v="Ruben Dartt"/>
    <x v="0"/>
    <x v="0"/>
    <s v="Dearborn Heights"/>
    <x v="14"/>
    <n v="48127"/>
    <s v="Central"/>
    <s v="OFF-ST-10000991"/>
    <x v="0"/>
    <x v="3"/>
    <x v="80"/>
    <n v="689.81999999999994"/>
    <n v="6"/>
    <n v="0"/>
    <n v="20.694600000000008"/>
  </r>
  <r>
    <n v="320"/>
    <s v="US-2023-151001"/>
    <x v="71"/>
    <x v="72"/>
    <s v="First Class"/>
    <s v="JG-15805"/>
    <s v="John Grady"/>
    <x v="2"/>
    <x v="0"/>
    <s v="Decatur"/>
    <x v="1"/>
    <n v="62521"/>
    <s v="Central"/>
    <s v="OFF-ST-10001031"/>
    <x v="0"/>
    <x v="3"/>
    <x v="279"/>
    <n v="52.096000000000004"/>
    <n v="4"/>
    <n v="0.2"/>
    <n v="3.9072000000000031"/>
  </r>
  <r>
    <n v="321"/>
    <s v="US-2023-151001"/>
    <x v="71"/>
    <x v="72"/>
    <s v="First Class"/>
    <s v="JG-15805"/>
    <s v="John Grady"/>
    <x v="2"/>
    <x v="0"/>
    <s v="Decatur"/>
    <x v="1"/>
    <n v="62521"/>
    <s v="Central"/>
    <s v="OFF-ST-10003455"/>
    <x v="0"/>
    <x v="3"/>
    <x v="280"/>
    <n v="49.632000000000005"/>
    <n v="4"/>
    <n v="0.2"/>
    <n v="3.7224000000000004"/>
  </r>
  <r>
    <n v="322"/>
    <s v="US-2023-102988"/>
    <x v="71"/>
    <x v="71"/>
    <s v="Second Class"/>
    <s v="GM-14695"/>
    <s v="Greg Maxwell"/>
    <x v="2"/>
    <x v="0"/>
    <s v="Alexandria"/>
    <x v="6"/>
    <n v="22304"/>
    <s v="South"/>
    <s v="OFF-SU-10002881"/>
    <x v="0"/>
    <x v="14"/>
    <x v="281"/>
    <n v="4164.0499999999993"/>
    <n v="5"/>
    <n v="0"/>
    <n v="83.281000000000063"/>
  </r>
  <r>
    <n v="323"/>
    <s v="US-2023-102988"/>
    <x v="71"/>
    <x v="71"/>
    <s v="Second Class"/>
    <s v="GM-14695"/>
    <s v="Greg Maxwell"/>
    <x v="2"/>
    <x v="0"/>
    <s v="Alexandria"/>
    <x v="6"/>
    <n v="22304"/>
    <s v="South"/>
    <s v="TEC-PH-10001615"/>
    <x v="2"/>
    <x v="7"/>
    <x v="92"/>
    <n v="28.99"/>
    <n v="1"/>
    <n v="0"/>
    <n v="8.4070999999999962"/>
  </r>
  <r>
    <n v="324"/>
    <s v="US-2023-102652"/>
    <x v="72"/>
    <x v="73"/>
    <s v="Standard Class"/>
    <s v="AY-10555"/>
    <s v="Andy Yotov"/>
    <x v="2"/>
    <x v="0"/>
    <s v="Los Angeles"/>
    <x v="5"/>
    <n v="90049"/>
    <s v="West"/>
    <s v="FUR-FU-10000747"/>
    <x v="1"/>
    <x v="8"/>
    <x v="282"/>
    <n v="91.96"/>
    <n v="2"/>
    <n v="0"/>
    <n v="15.633199999999988"/>
  </r>
  <r>
    <n v="325"/>
    <s v="US-2023-102652"/>
    <x v="72"/>
    <x v="73"/>
    <s v="Standard Class"/>
    <s v="AY-10555"/>
    <s v="Andy Yotov"/>
    <x v="2"/>
    <x v="0"/>
    <s v="Los Angeles"/>
    <x v="5"/>
    <n v="90049"/>
    <s v="West"/>
    <s v="FUR-FU-10001918"/>
    <x v="1"/>
    <x v="8"/>
    <x v="283"/>
    <n v="33.11"/>
    <n v="7"/>
    <n v="0"/>
    <n v="12.912900000000004"/>
  </r>
  <r>
    <n v="326"/>
    <s v="US-2023-169803"/>
    <x v="72"/>
    <x v="73"/>
    <s v="Standard Class"/>
    <s v="SC-20260"/>
    <s v="Scott Cohen"/>
    <x v="2"/>
    <x v="0"/>
    <s v="Seattle"/>
    <x v="23"/>
    <n v="98115"/>
    <s v="West"/>
    <s v="FUR-TA-10000688"/>
    <x v="1"/>
    <x v="13"/>
    <x v="284"/>
    <n v="653.54999999999995"/>
    <n v="3"/>
    <n v="0"/>
    <n v="111.10349999999994"/>
  </r>
  <r>
    <n v="327"/>
    <s v="US-2023-118486"/>
    <x v="72"/>
    <x v="70"/>
    <s v="First Class"/>
    <s v="SD-20485"/>
    <s v="Shirley Daniels"/>
    <x v="1"/>
    <x v="0"/>
    <s v="Philadelphia"/>
    <x v="2"/>
    <n v="19143"/>
    <s v="East"/>
    <s v="FUR-TA-10001039"/>
    <x v="1"/>
    <x v="13"/>
    <x v="285"/>
    <n v="154.76400000000001"/>
    <n v="3"/>
    <n v="0.4"/>
    <n v="-36.11160000000001"/>
  </r>
  <r>
    <n v="328"/>
    <s v="US-2023-153808"/>
    <x v="72"/>
    <x v="74"/>
    <s v="Second Class"/>
    <s v="FH-14275"/>
    <s v="Frank Hawley"/>
    <x v="2"/>
    <x v="0"/>
    <s v="Los Angeles"/>
    <x v="5"/>
    <n v="90004"/>
    <s v="West"/>
    <s v="OFF-AR-10001725"/>
    <x v="0"/>
    <x v="4"/>
    <x v="286"/>
    <n v="70.949999999999989"/>
    <n v="3"/>
    <n v="0"/>
    <n v="18.447000000000003"/>
  </r>
  <r>
    <n v="329"/>
    <s v="US-2023-153808"/>
    <x v="72"/>
    <x v="74"/>
    <s v="Second Class"/>
    <s v="FH-14275"/>
    <s v="Frank Hawley"/>
    <x v="2"/>
    <x v="0"/>
    <s v="Los Angeles"/>
    <x v="5"/>
    <n v="90004"/>
    <s v="West"/>
    <s v="OFF-BI-10002794"/>
    <x v="0"/>
    <x v="1"/>
    <x v="287"/>
    <n v="65.567999999999998"/>
    <n v="2"/>
    <n v="0.2"/>
    <n v="23.768399999999996"/>
  </r>
  <r>
    <n v="330"/>
    <s v="US-2023-136742"/>
    <x v="72"/>
    <x v="74"/>
    <s v="Standard Class"/>
    <s v="GP-14740"/>
    <s v="Guy Phonely"/>
    <x v="2"/>
    <x v="0"/>
    <s v="Lancaster"/>
    <x v="2"/>
    <n v="17602"/>
    <s v="East"/>
    <s v="OFF-BI-10003719"/>
    <x v="0"/>
    <x v="1"/>
    <x v="288"/>
    <n v="44.910000000000011"/>
    <n v="6"/>
    <n v="0.7"/>
    <n v="-35.927999999999997"/>
  </r>
  <r>
    <n v="331"/>
    <s v="US-2023-102652"/>
    <x v="72"/>
    <x v="73"/>
    <s v="Standard Class"/>
    <s v="AY-10555"/>
    <s v="Andy Yotov"/>
    <x v="2"/>
    <x v="0"/>
    <s v="Los Angeles"/>
    <x v="5"/>
    <n v="90049"/>
    <s v="West"/>
    <s v="OFF-PA-10001977"/>
    <x v="0"/>
    <x v="0"/>
    <x v="289"/>
    <n v="55.48"/>
    <n v="1"/>
    <n v="0"/>
    <n v="26.630399999999998"/>
  </r>
  <r>
    <n v="332"/>
    <s v="US-2023-102652"/>
    <x v="72"/>
    <x v="73"/>
    <s v="Standard Class"/>
    <s v="AY-10555"/>
    <s v="Andy Yotov"/>
    <x v="2"/>
    <x v="0"/>
    <s v="Los Angeles"/>
    <x v="5"/>
    <n v="90049"/>
    <s v="West"/>
    <s v="OFF-PA-10003309"/>
    <x v="0"/>
    <x v="0"/>
    <x v="290"/>
    <n v="19.440000000000001"/>
    <n v="3"/>
    <n v="0"/>
    <n v="9.3312000000000008"/>
  </r>
  <r>
    <n v="333"/>
    <s v="US-2023-118486"/>
    <x v="72"/>
    <x v="70"/>
    <s v="First Class"/>
    <s v="SD-20485"/>
    <s v="Shirley Daniels"/>
    <x v="1"/>
    <x v="0"/>
    <s v="Philadelphia"/>
    <x v="2"/>
    <n v="19143"/>
    <s v="East"/>
    <s v="OFF-SU-10004498"/>
    <x v="0"/>
    <x v="14"/>
    <x v="291"/>
    <n v="10.304000000000002"/>
    <n v="1"/>
    <n v="0.2"/>
    <n v="-2.1896000000000004"/>
  </r>
  <r>
    <n v="334"/>
    <s v="US-2023-169803"/>
    <x v="72"/>
    <x v="73"/>
    <s v="Standard Class"/>
    <s v="SC-20260"/>
    <s v="Scott Cohen"/>
    <x v="2"/>
    <x v="0"/>
    <s v="Seattle"/>
    <x v="23"/>
    <n v="98115"/>
    <s v="West"/>
    <s v="TEC-AC-10003441"/>
    <x v="2"/>
    <x v="9"/>
    <x v="292"/>
    <n v="33.9"/>
    <n v="2"/>
    <n v="0"/>
    <n v="2.0339999999999989"/>
  </r>
  <r>
    <n v="335"/>
    <s v="US-2023-153808"/>
    <x v="72"/>
    <x v="74"/>
    <s v="Second Class"/>
    <s v="FH-14275"/>
    <s v="Frank Hawley"/>
    <x v="2"/>
    <x v="0"/>
    <s v="Los Angeles"/>
    <x v="5"/>
    <n v="90004"/>
    <s v="West"/>
    <s v="TEC-AC-10004171"/>
    <x v="2"/>
    <x v="9"/>
    <x v="293"/>
    <n v="299.96999999999997"/>
    <n v="3"/>
    <n v="0"/>
    <n v="131.98680000000002"/>
  </r>
  <r>
    <n v="336"/>
    <s v="US-2023-118486"/>
    <x v="72"/>
    <x v="70"/>
    <s v="First Class"/>
    <s v="SD-20485"/>
    <s v="Shirley Daniels"/>
    <x v="1"/>
    <x v="0"/>
    <s v="Philadelphia"/>
    <x v="2"/>
    <n v="19143"/>
    <s v="East"/>
    <s v="TEC-AC-10004659"/>
    <x v="2"/>
    <x v="9"/>
    <x v="294"/>
    <n v="116.78399999999999"/>
    <n v="2"/>
    <n v="0.2"/>
    <n v="21.896999999999991"/>
  </r>
  <r>
    <n v="337"/>
    <s v="US-2023-124023"/>
    <x v="73"/>
    <x v="74"/>
    <s v="First Class"/>
    <s v="PJ-19015"/>
    <s v="Pauline Johnson"/>
    <x v="0"/>
    <x v="0"/>
    <s v="Mobile"/>
    <x v="35"/>
    <n v="36608"/>
    <s v="South"/>
    <s v="FUR-FU-10004415"/>
    <x v="1"/>
    <x v="8"/>
    <x v="295"/>
    <n v="8.9600000000000009"/>
    <n v="2"/>
    <n v="0"/>
    <n v="2.7775999999999996"/>
  </r>
  <r>
    <n v="338"/>
    <s v="US-2023-128846"/>
    <x v="73"/>
    <x v="73"/>
    <s v="Standard Class"/>
    <s v="RS-19765"/>
    <s v="Roland Schwarz"/>
    <x v="2"/>
    <x v="0"/>
    <s v="Columbia"/>
    <x v="8"/>
    <n v="29203"/>
    <s v="South"/>
    <s v="OFF-PA-10000100"/>
    <x v="0"/>
    <x v="0"/>
    <x v="296"/>
    <n v="122.97"/>
    <n v="3"/>
    <n v="0"/>
    <n v="60.255300000000005"/>
  </r>
  <r>
    <n v="339"/>
    <s v="US-2023-165806"/>
    <x v="73"/>
    <x v="72"/>
    <s v="Same Day"/>
    <s v="VM-21685"/>
    <s v="Valerie Mitchum"/>
    <x v="1"/>
    <x v="0"/>
    <s v="Marietta"/>
    <x v="4"/>
    <n v="30062"/>
    <s v="South"/>
    <s v="OFF-PA-10003441"/>
    <x v="0"/>
    <x v="0"/>
    <x v="297"/>
    <n v="58.320000000000007"/>
    <n v="9"/>
    <n v="0"/>
    <n v="27.993600000000001"/>
  </r>
  <r>
    <n v="340"/>
    <s v="US-2023-128846"/>
    <x v="73"/>
    <x v="73"/>
    <s v="Standard Class"/>
    <s v="RS-19765"/>
    <s v="Roland Schwarz"/>
    <x v="2"/>
    <x v="0"/>
    <s v="Columbia"/>
    <x v="8"/>
    <n v="29203"/>
    <s v="South"/>
    <s v="TEC-PH-10003273"/>
    <x v="2"/>
    <x v="7"/>
    <x v="238"/>
    <n v="629.94999999999993"/>
    <n v="5"/>
    <n v="0"/>
    <n v="163.78700000000003"/>
  </r>
  <r>
    <n v="341"/>
    <s v="US-2023-165806"/>
    <x v="73"/>
    <x v="72"/>
    <s v="Same Day"/>
    <s v="VM-21685"/>
    <s v="Valerie Mitchum"/>
    <x v="1"/>
    <x v="0"/>
    <s v="Marietta"/>
    <x v="4"/>
    <n v="30062"/>
    <s v="South"/>
    <s v="TEC-PH-10004922"/>
    <x v="2"/>
    <x v="7"/>
    <x v="298"/>
    <n v="200.96999999999997"/>
    <n v="3"/>
    <n v="0"/>
    <n v="50.242500000000007"/>
  </r>
  <r>
    <n v="342"/>
    <s v="US-2023-118997"/>
    <x v="74"/>
    <x v="73"/>
    <s v="Standard Class"/>
    <s v="RA-19885"/>
    <s v="Ruben Ausman"/>
    <x v="2"/>
    <x v="0"/>
    <s v="Decatur"/>
    <x v="35"/>
    <n v="35601"/>
    <s v="South"/>
    <s v="FUR-TA-10001086"/>
    <x v="1"/>
    <x v="13"/>
    <x v="299"/>
    <n v="1215.92"/>
    <n v="8"/>
    <n v="0"/>
    <n v="316.13920000000007"/>
  </r>
  <r>
    <n v="343"/>
    <s v="US-2023-150581"/>
    <x v="74"/>
    <x v="73"/>
    <s v="Standard Class"/>
    <s v="NM-18445"/>
    <s v="Nathan Mautz"/>
    <x v="1"/>
    <x v="0"/>
    <s v="Concord"/>
    <x v="5"/>
    <n v="94521"/>
    <s v="West"/>
    <s v="FUR-TA-10003748"/>
    <x v="1"/>
    <x v="13"/>
    <x v="300"/>
    <n v="99.591999999999999"/>
    <n v="1"/>
    <n v="0.2"/>
    <n v="2.4897999999999989"/>
  </r>
  <r>
    <n v="344"/>
    <s v="US-2023-121769"/>
    <x v="74"/>
    <x v="73"/>
    <s v="Standard Class"/>
    <s v="JS-15880"/>
    <s v="John Stevenson"/>
    <x v="0"/>
    <x v="0"/>
    <s v="Toledo"/>
    <x v="9"/>
    <n v="43615"/>
    <s v="East"/>
    <s v="FUR-TA-10004442"/>
    <x v="1"/>
    <x v="13"/>
    <x v="301"/>
    <n v="172.11"/>
    <n v="1"/>
    <n v="0.4"/>
    <n v="-94.660500000000013"/>
  </r>
  <r>
    <n v="345"/>
    <s v="US-2023-100363"/>
    <x v="74"/>
    <x v="75"/>
    <s v="Standard Class"/>
    <s v="JM-15655"/>
    <s v="Jim Mitchum"/>
    <x v="2"/>
    <x v="0"/>
    <s v="Glendale"/>
    <x v="12"/>
    <n v="85301"/>
    <s v="West"/>
    <s v="OFF-FA-10000611"/>
    <x v="0"/>
    <x v="6"/>
    <x v="302"/>
    <n v="2.3679999999999999"/>
    <n v="2"/>
    <n v="0.2"/>
    <n v="0.82879999999999987"/>
  </r>
  <r>
    <n v="346"/>
    <s v="US-2023-163797"/>
    <x v="74"/>
    <x v="76"/>
    <s v="Standard Class"/>
    <s v="PC-19000"/>
    <s v="Pauline Chand"/>
    <x v="1"/>
    <x v="0"/>
    <s v="Chandler"/>
    <x v="12"/>
    <n v="85224"/>
    <s v="West"/>
    <s v="OFF-FA-10001883"/>
    <x v="0"/>
    <x v="6"/>
    <x v="9"/>
    <n v="49.792000000000002"/>
    <n v="8"/>
    <n v="0.2"/>
    <n v="-11.825600000000001"/>
  </r>
  <r>
    <n v="347"/>
    <s v="US-2023-100363"/>
    <x v="74"/>
    <x v="75"/>
    <s v="Standard Class"/>
    <s v="JM-15655"/>
    <s v="Jim Mitchum"/>
    <x v="2"/>
    <x v="0"/>
    <s v="Glendale"/>
    <x v="12"/>
    <n v="85301"/>
    <s v="West"/>
    <s v="OFF-PA-10004733"/>
    <x v="0"/>
    <x v="0"/>
    <x v="303"/>
    <n v="19.008000000000003"/>
    <n v="3"/>
    <n v="0.2"/>
    <n v="6.8903999999999979"/>
  </r>
  <r>
    <n v="348"/>
    <s v="US-2023-150581"/>
    <x v="74"/>
    <x v="73"/>
    <s v="Standard Class"/>
    <s v="NM-18445"/>
    <s v="Nathan Mautz"/>
    <x v="1"/>
    <x v="0"/>
    <s v="Concord"/>
    <x v="5"/>
    <n v="94521"/>
    <s v="West"/>
    <s v="TEC-AC-10001908"/>
    <x v="2"/>
    <x v="9"/>
    <x v="304"/>
    <n v="399.96"/>
    <n v="4"/>
    <n v="0"/>
    <n v="139.98599999999999"/>
  </r>
  <r>
    <n v="349"/>
    <s v="US-2023-121734"/>
    <x v="75"/>
    <x v="77"/>
    <s v="Standard Class"/>
    <s v="SE-20110"/>
    <s v="Sanjit Engle"/>
    <x v="0"/>
    <x v="0"/>
    <s v="Lewiston"/>
    <x v="36"/>
    <n v="83501"/>
    <s v="West"/>
    <s v="OFF-BI-10004817"/>
    <x v="0"/>
    <x v="1"/>
    <x v="305"/>
    <n v="9.5840000000000014"/>
    <n v="1"/>
    <n v="0.2"/>
    <n v="3.3543999999999996"/>
  </r>
  <r>
    <n v="350"/>
    <s v="US-2023-102715"/>
    <x v="75"/>
    <x v="76"/>
    <s v="Second Class"/>
    <s v="JK-15370"/>
    <s v="Jay Kimmel"/>
    <x v="0"/>
    <x v="0"/>
    <s v="Miami"/>
    <x v="16"/>
    <n v="33180"/>
    <s v="South"/>
    <s v="OFF-FA-10001332"/>
    <x v="0"/>
    <x v="6"/>
    <x v="306"/>
    <n v="6.911999999999999"/>
    <n v="3"/>
    <n v="0.2"/>
    <n v="2.3327999999999998"/>
  </r>
  <r>
    <n v="351"/>
    <s v="US-2023-102715"/>
    <x v="75"/>
    <x v="76"/>
    <s v="Second Class"/>
    <s v="JK-15370"/>
    <s v="Jay Kimmel"/>
    <x v="0"/>
    <x v="0"/>
    <s v="Miami"/>
    <x v="16"/>
    <n v="33180"/>
    <s v="South"/>
    <s v="OFF-PA-10000029"/>
    <x v="0"/>
    <x v="0"/>
    <x v="307"/>
    <n v="10.368000000000002"/>
    <n v="2"/>
    <n v="0.2"/>
    <n v="3.6288"/>
  </r>
  <r>
    <n v="352"/>
    <s v="US-2023-110555"/>
    <x v="75"/>
    <x v="78"/>
    <s v="Standard Class"/>
    <s v="MM-18055"/>
    <s v="Michelle Moray"/>
    <x v="0"/>
    <x v="0"/>
    <s v="Great Falls"/>
    <x v="37"/>
    <n v="59405"/>
    <s v="West"/>
    <s v="OFF-ST-10000876"/>
    <x v="0"/>
    <x v="3"/>
    <x v="308"/>
    <n v="87.08"/>
    <n v="7"/>
    <n v="0"/>
    <n v="24.382400000000001"/>
  </r>
  <r>
    <n v="353"/>
    <s v="US-2023-102715"/>
    <x v="75"/>
    <x v="76"/>
    <s v="Second Class"/>
    <s v="JK-15370"/>
    <s v="Jay Kimmel"/>
    <x v="0"/>
    <x v="0"/>
    <s v="Miami"/>
    <x v="16"/>
    <n v="33180"/>
    <s v="South"/>
    <s v="TEC-AC-10001874"/>
    <x v="2"/>
    <x v="9"/>
    <x v="309"/>
    <n v="335.94400000000002"/>
    <n v="7"/>
    <n v="0.2"/>
    <n v="41.992999999999995"/>
  </r>
  <r>
    <n v="354"/>
    <s v="US-2023-102715"/>
    <x v="75"/>
    <x v="76"/>
    <s v="Second Class"/>
    <s v="JK-15370"/>
    <s v="Jay Kimmel"/>
    <x v="0"/>
    <x v="0"/>
    <s v="Miami"/>
    <x v="16"/>
    <n v="33180"/>
    <s v="South"/>
    <s v="TEC-AC-10002001"/>
    <x v="2"/>
    <x v="9"/>
    <x v="146"/>
    <n v="383.97600000000006"/>
    <n v="3"/>
    <n v="0.2"/>
    <n v="81.59490000000001"/>
  </r>
  <r>
    <n v="355"/>
    <s v="US-2023-110555"/>
    <x v="75"/>
    <x v="78"/>
    <s v="Standard Class"/>
    <s v="MM-18055"/>
    <s v="Michelle Moray"/>
    <x v="0"/>
    <x v="0"/>
    <s v="Great Falls"/>
    <x v="37"/>
    <n v="59405"/>
    <s v="West"/>
    <s v="TEC-AC-10003399"/>
    <x v="2"/>
    <x v="9"/>
    <x v="310"/>
    <n v="217.44"/>
    <n v="6"/>
    <n v="0"/>
    <n v="91.32480000000001"/>
  </r>
  <r>
    <n v="356"/>
    <s v="US-2023-110555"/>
    <x v="75"/>
    <x v="78"/>
    <s v="Standard Class"/>
    <s v="MM-18055"/>
    <s v="Michelle Moray"/>
    <x v="0"/>
    <x v="0"/>
    <s v="Great Falls"/>
    <x v="37"/>
    <n v="59405"/>
    <s v="West"/>
    <s v="TEC-PH-10000586"/>
    <x v="2"/>
    <x v="7"/>
    <x v="311"/>
    <n v="105.584"/>
    <n v="2"/>
    <n v="0.2"/>
    <n v="9.2386000000000053"/>
  </r>
  <r>
    <n v="357"/>
    <s v="US-2023-138940"/>
    <x v="75"/>
    <x v="77"/>
    <s v="Second Class"/>
    <s v="GM-14455"/>
    <s v="Gary Mitchum"/>
    <x v="1"/>
    <x v="0"/>
    <s v="Austin"/>
    <x v="0"/>
    <n v="78745"/>
    <s v="Central"/>
    <s v="TEC-PH-10001835"/>
    <x v="2"/>
    <x v="7"/>
    <x v="312"/>
    <n v="758.35200000000009"/>
    <n v="6"/>
    <n v="0.2"/>
    <n v="265.42320000000001"/>
  </r>
  <r>
    <n v="358"/>
    <s v="US-2023-154599"/>
    <x v="76"/>
    <x v="79"/>
    <s v="Standard Class"/>
    <s v="KN-16450"/>
    <s v="Kean Nguyen"/>
    <x v="2"/>
    <x v="0"/>
    <s v="Redondo Beach"/>
    <x v="5"/>
    <n v="90278"/>
    <s v="West"/>
    <s v="FUR-BO-10001337"/>
    <x v="1"/>
    <x v="10"/>
    <x v="240"/>
    <n v="308.49900000000002"/>
    <n v="3"/>
    <n v="0.15"/>
    <n v="-18.146999999999998"/>
  </r>
  <r>
    <n v="359"/>
    <s v="US-2023-142979"/>
    <x v="76"/>
    <x v="78"/>
    <s v="Standard Class"/>
    <s v="EH-13765"/>
    <s v="Edward Hooks"/>
    <x v="2"/>
    <x v="0"/>
    <s v="Lodi"/>
    <x v="5"/>
    <n v="95240"/>
    <s v="West"/>
    <s v="OFF-AR-10002987"/>
    <x v="0"/>
    <x v="4"/>
    <x v="313"/>
    <n v="39.68"/>
    <n v="2"/>
    <n v="0"/>
    <n v="16.268800000000002"/>
  </r>
  <r>
    <n v="360"/>
    <s v="US-2023-154599"/>
    <x v="76"/>
    <x v="79"/>
    <s v="Standard Class"/>
    <s v="KN-16450"/>
    <s v="Kean Nguyen"/>
    <x v="2"/>
    <x v="0"/>
    <s v="Redondo Beach"/>
    <x v="5"/>
    <n v="90278"/>
    <s v="West"/>
    <s v="OFF-BI-10002764"/>
    <x v="0"/>
    <x v="1"/>
    <x v="314"/>
    <n v="18.088000000000001"/>
    <n v="7"/>
    <n v="0.2"/>
    <n v="6.5569000000000006"/>
  </r>
  <r>
    <n v="361"/>
    <s v="US-2023-158365"/>
    <x v="76"/>
    <x v="79"/>
    <s v="Standard Class"/>
    <s v="SV-20785"/>
    <s v="Stewart Visinsky"/>
    <x v="0"/>
    <x v="0"/>
    <s v="Bloomington"/>
    <x v="18"/>
    <n v="47401"/>
    <s v="Central"/>
    <s v="OFF-PA-10000289"/>
    <x v="0"/>
    <x v="0"/>
    <x v="315"/>
    <n v="32.400000000000006"/>
    <n v="5"/>
    <n v="0"/>
    <n v="15.552000000000001"/>
  </r>
  <r>
    <n v="362"/>
    <s v="US-2023-154599"/>
    <x v="76"/>
    <x v="79"/>
    <s v="Standard Class"/>
    <s v="KN-16450"/>
    <s v="Kean Nguyen"/>
    <x v="2"/>
    <x v="0"/>
    <s v="Redondo Beach"/>
    <x v="5"/>
    <n v="90278"/>
    <s v="West"/>
    <s v="TEC-PH-10000576"/>
    <x v="2"/>
    <x v="7"/>
    <x v="316"/>
    <n v="438.36800000000005"/>
    <n v="4"/>
    <n v="0.2"/>
    <n v="38.357200000000006"/>
  </r>
  <r>
    <n v="363"/>
    <s v="US-2023-154599"/>
    <x v="76"/>
    <x v="79"/>
    <s v="Standard Class"/>
    <s v="KN-16450"/>
    <s v="Kean Nguyen"/>
    <x v="2"/>
    <x v="0"/>
    <s v="Redondo Beach"/>
    <x v="5"/>
    <n v="90278"/>
    <s v="West"/>
    <s v="TEC-PH-10001557"/>
    <x v="2"/>
    <x v="7"/>
    <x v="317"/>
    <n v="1075.088"/>
    <n v="14"/>
    <n v="0.2"/>
    <n v="94.070199999999943"/>
  </r>
  <r>
    <n v="364"/>
    <s v="US-2023-122336"/>
    <x v="77"/>
    <x v="79"/>
    <s v="Second Class"/>
    <s v="JD-15895"/>
    <s v="Jonathan Doherty"/>
    <x v="2"/>
    <x v="0"/>
    <s v="Philadelphia"/>
    <x v="2"/>
    <n v="19140"/>
    <s v="East"/>
    <s v="OFF-AR-10000122"/>
    <x v="0"/>
    <x v="4"/>
    <x v="318"/>
    <n v="17.856000000000002"/>
    <n v="4"/>
    <n v="0.2"/>
    <n v="1.1159999999999979"/>
  </r>
  <r>
    <n v="365"/>
    <s v="US-2023-122336"/>
    <x v="77"/>
    <x v="79"/>
    <s v="Second Class"/>
    <s v="JD-15895"/>
    <s v="Jonathan Doherty"/>
    <x v="2"/>
    <x v="0"/>
    <s v="Philadelphia"/>
    <x v="2"/>
    <n v="19140"/>
    <s v="East"/>
    <s v="OFF-BI-10003656"/>
    <x v="0"/>
    <x v="1"/>
    <x v="319"/>
    <n v="509.97000000000008"/>
    <n v="10"/>
    <n v="0.7"/>
    <n v="-407.97599999999989"/>
  </r>
  <r>
    <n v="366"/>
    <s v="US-2023-122336"/>
    <x v="77"/>
    <x v="79"/>
    <s v="Second Class"/>
    <s v="JD-15895"/>
    <s v="Jonathan Doherty"/>
    <x v="2"/>
    <x v="0"/>
    <s v="Philadelphia"/>
    <x v="2"/>
    <n v="19140"/>
    <s v="East"/>
    <s v="OFF-FA-10002780"/>
    <x v="0"/>
    <x v="6"/>
    <x v="84"/>
    <n v="30.991999999999997"/>
    <n v="13"/>
    <n v="0.2"/>
    <n v="10.072399999999996"/>
  </r>
  <r>
    <n v="367"/>
    <s v="US-2023-167724"/>
    <x v="77"/>
    <x v="78"/>
    <s v="Standard Class"/>
    <s v="BF-11170"/>
    <s v="Ben Ferrer"/>
    <x v="1"/>
    <x v="0"/>
    <s v="Baltimore"/>
    <x v="38"/>
    <n v="21215"/>
    <s v="East"/>
    <s v="OFF-LA-10002368"/>
    <x v="0"/>
    <x v="2"/>
    <x v="320"/>
    <n v="7.83"/>
    <n v="3"/>
    <n v="0"/>
    <n v="3.6017999999999999"/>
  </r>
  <r>
    <n v="368"/>
    <s v="US-2023-122336"/>
    <x v="77"/>
    <x v="79"/>
    <s v="Second Class"/>
    <s v="JD-15895"/>
    <s v="Jonathan Doherty"/>
    <x v="2"/>
    <x v="0"/>
    <s v="Philadelphia"/>
    <x v="2"/>
    <n v="19140"/>
    <s v="East"/>
    <s v="TEC-PH-10000702"/>
    <x v="2"/>
    <x v="7"/>
    <x v="321"/>
    <n v="71.927999999999997"/>
    <n v="12"/>
    <n v="0.4"/>
    <n v="8.3915999999999897"/>
  </r>
  <r>
    <n v="369"/>
    <s v="US-2023-120740"/>
    <x v="78"/>
    <x v="75"/>
    <s v="Same Day"/>
    <s v="PS-18970"/>
    <s v="Paul Stevenson"/>
    <x v="1"/>
    <x v="0"/>
    <s v="Los Angeles"/>
    <x v="5"/>
    <n v="90049"/>
    <s v="West"/>
    <s v="FUR-FU-10004091"/>
    <x v="1"/>
    <x v="8"/>
    <x v="322"/>
    <n v="187.76"/>
    <n v="4"/>
    <n v="0"/>
    <n v="76.9816"/>
  </r>
  <r>
    <n v="370"/>
    <s v="US-2023-120740"/>
    <x v="78"/>
    <x v="75"/>
    <s v="Same Day"/>
    <s v="PS-18970"/>
    <s v="Paul Stevenson"/>
    <x v="1"/>
    <x v="0"/>
    <s v="Los Angeles"/>
    <x v="5"/>
    <n v="90049"/>
    <s v="West"/>
    <s v="OFF-AP-10000240"/>
    <x v="0"/>
    <x v="12"/>
    <x v="323"/>
    <n v="106.96"/>
    <n v="2"/>
    <n v="0"/>
    <n v="31.018399999999986"/>
  </r>
  <r>
    <n v="371"/>
    <s v="US-2023-155208"/>
    <x v="79"/>
    <x v="80"/>
    <s v="Standard Class"/>
    <s v="SP-20650"/>
    <s v="Stephanie Phelps"/>
    <x v="2"/>
    <x v="0"/>
    <s v="Wilmington"/>
    <x v="26"/>
    <n v="28403"/>
    <s v="South"/>
    <s v="OFF-AR-10003478"/>
    <x v="0"/>
    <x v="4"/>
    <x v="4"/>
    <n v="39.072000000000003"/>
    <n v="6"/>
    <n v="0.2"/>
    <n v="9.7680000000000007"/>
  </r>
  <r>
    <n v="372"/>
    <s v="US-2023-100678"/>
    <x v="80"/>
    <x v="81"/>
    <s v="Standard Class"/>
    <s v="KM-16720"/>
    <s v="Kunst Miller"/>
    <x v="0"/>
    <x v="0"/>
    <s v="Houston"/>
    <x v="0"/>
    <n v="77095"/>
    <s v="Central"/>
    <s v="FUR-CH-10002602"/>
    <x v="1"/>
    <x v="5"/>
    <x v="324"/>
    <n v="317.05799999999999"/>
    <n v="3"/>
    <n v="0.3"/>
    <n v="-18.117599999999996"/>
  </r>
  <r>
    <n v="373"/>
    <s v="US-2023-110849"/>
    <x v="80"/>
    <x v="82"/>
    <s v="Standard Class"/>
    <s v="JL-15835"/>
    <s v="John Lee"/>
    <x v="0"/>
    <x v="0"/>
    <s v="Los Angeles"/>
    <x v="5"/>
    <n v="90049"/>
    <s v="West"/>
    <s v="OFF-AR-10000657"/>
    <x v="0"/>
    <x v="4"/>
    <x v="325"/>
    <n v="10.75"/>
    <n v="5"/>
    <n v="0"/>
    <n v="3.547499999999999"/>
  </r>
  <r>
    <n v="374"/>
    <s v="US-2023-100678"/>
    <x v="80"/>
    <x v="81"/>
    <s v="Standard Class"/>
    <s v="KM-16720"/>
    <s v="Kunst Miller"/>
    <x v="0"/>
    <x v="0"/>
    <s v="Houston"/>
    <x v="0"/>
    <n v="77095"/>
    <s v="Central"/>
    <s v="OFF-AR-10001868"/>
    <x v="0"/>
    <x v="4"/>
    <x v="326"/>
    <n v="2.6880000000000002"/>
    <n v="2"/>
    <n v="0.2"/>
    <n v="1.008"/>
  </r>
  <r>
    <n v="375"/>
    <s v="US-2023-110849"/>
    <x v="80"/>
    <x v="82"/>
    <s v="Standard Class"/>
    <s v="JL-15835"/>
    <s v="John Lee"/>
    <x v="0"/>
    <x v="0"/>
    <s v="Los Angeles"/>
    <x v="5"/>
    <n v="90049"/>
    <s v="West"/>
    <s v="OFF-AR-10002375"/>
    <x v="0"/>
    <x v="4"/>
    <x v="48"/>
    <n v="13.12"/>
    <n v="4"/>
    <n v="0"/>
    <n v="3.8047999999999984"/>
  </r>
  <r>
    <n v="376"/>
    <s v="US-2023-100678"/>
    <x v="80"/>
    <x v="81"/>
    <s v="Standard Class"/>
    <s v="KM-16720"/>
    <s v="Kunst Miller"/>
    <x v="0"/>
    <x v="0"/>
    <s v="Houston"/>
    <x v="0"/>
    <n v="77095"/>
    <s v="Central"/>
    <s v="OFF-EN-10000056"/>
    <x v="0"/>
    <x v="11"/>
    <x v="327"/>
    <n v="149.352"/>
    <n v="3"/>
    <n v="0.2"/>
    <n v="50.40629999999998"/>
  </r>
  <r>
    <n v="377"/>
    <s v="US-2023-110849"/>
    <x v="80"/>
    <x v="82"/>
    <s v="Standard Class"/>
    <s v="JL-15835"/>
    <s v="John Lee"/>
    <x v="0"/>
    <x v="0"/>
    <s v="Los Angeles"/>
    <x v="5"/>
    <n v="90049"/>
    <s v="West"/>
    <s v="OFF-FA-10000134"/>
    <x v="0"/>
    <x v="6"/>
    <x v="328"/>
    <n v="11.62"/>
    <n v="2"/>
    <n v="0"/>
    <n v="3.6021999999999998"/>
  </r>
  <r>
    <n v="378"/>
    <s v="US-2023-100678"/>
    <x v="80"/>
    <x v="81"/>
    <s v="Standard Class"/>
    <s v="KM-16720"/>
    <s v="Kunst Miller"/>
    <x v="0"/>
    <x v="0"/>
    <s v="Houston"/>
    <x v="0"/>
    <n v="77095"/>
    <s v="Central"/>
    <s v="TEC-AC-10000474"/>
    <x v="2"/>
    <x v="9"/>
    <x v="329"/>
    <n v="227.976"/>
    <n v="3"/>
    <n v="0.2"/>
    <n v="28.496999999999957"/>
  </r>
  <r>
    <n v="379"/>
    <s v="US-2023-110849"/>
    <x v="80"/>
    <x v="82"/>
    <s v="Standard Class"/>
    <s v="JL-15835"/>
    <s v="John Lee"/>
    <x v="0"/>
    <x v="0"/>
    <s v="Los Angeles"/>
    <x v="5"/>
    <n v="90049"/>
    <s v="West"/>
    <s v="TEC-MA-10002859"/>
    <x v="2"/>
    <x v="15"/>
    <x v="330"/>
    <n v="287.96800000000002"/>
    <n v="4"/>
    <n v="0.2"/>
    <n v="97.189199999999985"/>
  </r>
  <r>
    <n v="380"/>
    <s v="US-2023-169460"/>
    <x v="81"/>
    <x v="83"/>
    <s v="Second Class"/>
    <s v="NF-18595"/>
    <s v="Nicole Fjeld"/>
    <x v="1"/>
    <x v="0"/>
    <s v="San Jose"/>
    <x v="5"/>
    <n v="95123"/>
    <s v="West"/>
    <s v="FUR-FU-10004017"/>
    <x v="1"/>
    <x v="8"/>
    <x v="331"/>
    <n v="76.14"/>
    <n v="3"/>
    <n v="0"/>
    <n v="26.648999999999997"/>
  </r>
  <r>
    <n v="381"/>
    <s v="US-2023-158470"/>
    <x v="81"/>
    <x v="82"/>
    <s v="Second Class"/>
    <s v="AG-10390"/>
    <s v="Allen Goldenen"/>
    <x v="0"/>
    <x v="0"/>
    <s v="Arlington"/>
    <x v="6"/>
    <n v="22204"/>
    <s v="South"/>
    <s v="OFF-BI-10003638"/>
    <x v="0"/>
    <x v="1"/>
    <x v="332"/>
    <n v="58.050000000000004"/>
    <n v="3"/>
    <n v="0"/>
    <n v="26.702999999999999"/>
  </r>
  <r>
    <n v="382"/>
    <s v="US-2023-158470"/>
    <x v="81"/>
    <x v="82"/>
    <s v="Second Class"/>
    <s v="AG-10390"/>
    <s v="Allen Goldenen"/>
    <x v="0"/>
    <x v="0"/>
    <s v="Arlington"/>
    <x v="6"/>
    <n v="22204"/>
    <s v="South"/>
    <s v="OFF-PA-10001569"/>
    <x v="0"/>
    <x v="0"/>
    <x v="333"/>
    <n v="71.28"/>
    <n v="11"/>
    <n v="0"/>
    <n v="34.214400000000005"/>
  </r>
  <r>
    <n v="383"/>
    <s v="US-2023-101462"/>
    <x v="82"/>
    <x v="84"/>
    <s v="Standard Class"/>
    <s v="BP-11230"/>
    <s v="Benjamin Patterson"/>
    <x v="0"/>
    <x v="0"/>
    <s v="Los Angeles"/>
    <x v="5"/>
    <n v="90045"/>
    <s v="West"/>
    <s v="FUR-FU-10000409"/>
    <x v="1"/>
    <x v="8"/>
    <x v="334"/>
    <n v="59.92"/>
    <n v="4"/>
    <n v="0"/>
    <n v="27.563200000000002"/>
  </r>
  <r>
    <n v="384"/>
    <s v="US-2023-134572"/>
    <x v="82"/>
    <x v="81"/>
    <s v="Second Class"/>
    <s v="SV-20365"/>
    <s v="Seth Vernon"/>
    <x v="0"/>
    <x v="0"/>
    <s v="Houston"/>
    <x v="0"/>
    <n v="77070"/>
    <s v="Central"/>
    <s v="FUR-TA-10001705"/>
    <x v="1"/>
    <x v="13"/>
    <x v="335"/>
    <n v="744.09999999999991"/>
    <n v="5"/>
    <n v="0.3"/>
    <n v="-95.670000000000044"/>
  </r>
  <r>
    <n v="385"/>
    <s v="US-2023-134572"/>
    <x v="82"/>
    <x v="81"/>
    <s v="Second Class"/>
    <s v="SV-20365"/>
    <s v="Seth Vernon"/>
    <x v="0"/>
    <x v="0"/>
    <s v="Houston"/>
    <x v="0"/>
    <n v="77070"/>
    <s v="Central"/>
    <s v="FUR-TA-10004442"/>
    <x v="1"/>
    <x v="13"/>
    <x v="301"/>
    <n v="401.59000000000003"/>
    <n v="2"/>
    <n v="0.3"/>
    <n v="-131.95100000000002"/>
  </r>
  <r>
    <n v="386"/>
    <s v="US-2023-134572"/>
    <x v="82"/>
    <x v="81"/>
    <s v="Second Class"/>
    <s v="SV-20365"/>
    <s v="Seth Vernon"/>
    <x v="0"/>
    <x v="0"/>
    <s v="Houston"/>
    <x v="0"/>
    <n v="77070"/>
    <s v="Central"/>
    <s v="OFF-ST-10004634"/>
    <x v="0"/>
    <x v="3"/>
    <x v="336"/>
    <n v="44.840000000000011"/>
    <n v="5"/>
    <n v="0.2"/>
    <n v="5.6049999999999951"/>
  </r>
  <r>
    <n v="387"/>
    <s v="US-2023-158064"/>
    <x v="83"/>
    <x v="84"/>
    <s v="Standard Class"/>
    <s v="AA-10375"/>
    <s v="Allen Armold"/>
    <x v="0"/>
    <x v="0"/>
    <s v="Los Angeles"/>
    <x v="5"/>
    <n v="90008"/>
    <s v="West"/>
    <s v="OFF-BI-10002976"/>
    <x v="0"/>
    <x v="1"/>
    <x v="337"/>
    <n v="16.520000000000003"/>
    <n v="5"/>
    <n v="0.2"/>
    <n v="5.5754999999999999"/>
  </r>
  <r>
    <n v="388"/>
    <s v="US-2023-136336"/>
    <x v="83"/>
    <x v="85"/>
    <s v="Standard Class"/>
    <s v="DB-13555"/>
    <s v="Dorothy Badders"/>
    <x v="2"/>
    <x v="0"/>
    <s v="Henderson"/>
    <x v="3"/>
    <n v="42420"/>
    <s v="South"/>
    <s v="OFF-ST-10002574"/>
    <x v="0"/>
    <x v="3"/>
    <x v="338"/>
    <n v="828.83999999999992"/>
    <n v="6"/>
    <n v="0"/>
    <n v="0"/>
  </r>
  <r>
    <n v="389"/>
    <s v="US-2023-122070"/>
    <x v="84"/>
    <x v="86"/>
    <s v="Second Class"/>
    <s v="AH-10030"/>
    <s v="Aaron Hawkins"/>
    <x v="2"/>
    <x v="0"/>
    <s v="Troy"/>
    <x v="21"/>
    <n v="12180"/>
    <s v="East"/>
    <s v="OFF-BI-10004970"/>
    <x v="0"/>
    <x v="1"/>
    <x v="339"/>
    <n v="9.9120000000000008"/>
    <n v="3"/>
    <n v="0.2"/>
    <n v="3.3452999999999995"/>
  </r>
  <r>
    <n v="390"/>
    <s v="US-2023-122070"/>
    <x v="84"/>
    <x v="86"/>
    <s v="Second Class"/>
    <s v="AH-10030"/>
    <s v="Aaron Hawkins"/>
    <x v="2"/>
    <x v="0"/>
    <s v="Troy"/>
    <x v="21"/>
    <n v="12180"/>
    <s v="East"/>
    <s v="OFF-EN-10004773"/>
    <x v="0"/>
    <x v="11"/>
    <x v="27"/>
    <n v="247.84"/>
    <n v="8"/>
    <n v="0"/>
    <n v="121.44159999999999"/>
  </r>
  <r>
    <n v="391"/>
    <s v="US-2023-150119"/>
    <x v="85"/>
    <x v="87"/>
    <s v="Standard Class"/>
    <s v="LB-16795"/>
    <s v="Laurel Beltran"/>
    <x v="1"/>
    <x v="0"/>
    <s v="Columbus"/>
    <x v="9"/>
    <n v="43229"/>
    <s v="East"/>
    <s v="FUR-CH-10002965"/>
    <x v="1"/>
    <x v="5"/>
    <x v="249"/>
    <n v="281.37199999999996"/>
    <n v="2"/>
    <n v="0.3"/>
    <n v="-12.058799999999991"/>
  </r>
  <r>
    <n v="392"/>
    <s v="US-2023-150119"/>
    <x v="85"/>
    <x v="87"/>
    <s v="Standard Class"/>
    <s v="LB-16795"/>
    <s v="Laurel Beltran"/>
    <x v="1"/>
    <x v="0"/>
    <s v="Columbus"/>
    <x v="9"/>
    <n v="43229"/>
    <s v="East"/>
    <s v="FUR-CH-10002965"/>
    <x v="1"/>
    <x v="5"/>
    <x v="249"/>
    <n v="281.37199999999996"/>
    <n v="2"/>
    <n v="0.3"/>
    <n v="-12.058799999999991"/>
  </r>
  <r>
    <n v="393"/>
    <s v="US-2023-150119"/>
    <x v="85"/>
    <x v="87"/>
    <s v="Standard Class"/>
    <s v="LB-16795"/>
    <s v="Laurel Beltran"/>
    <x v="1"/>
    <x v="0"/>
    <s v="Columbus"/>
    <x v="9"/>
    <n v="43229"/>
    <s v="East"/>
    <s v="FUR-FU-10002191"/>
    <x v="1"/>
    <x v="8"/>
    <x v="340"/>
    <n v="22.336000000000002"/>
    <n v="4"/>
    <n v="0.2"/>
    <n v="7.8175999999999997"/>
  </r>
  <r>
    <n v="394"/>
    <s v="US-2023-150119"/>
    <x v="85"/>
    <x v="87"/>
    <s v="Standard Class"/>
    <s v="LB-16795"/>
    <s v="Laurel Beltran"/>
    <x v="1"/>
    <x v="0"/>
    <s v="Columbus"/>
    <x v="9"/>
    <n v="43229"/>
    <s v="East"/>
    <s v="OFF-BI-10000145"/>
    <x v="0"/>
    <x v="1"/>
    <x v="258"/>
    <n v="7.4880000000000013"/>
    <n v="8"/>
    <n v="0.7"/>
    <n v="-5.2415999999999983"/>
  </r>
  <r>
    <n v="395"/>
    <s v="US-2023-112564"/>
    <x v="85"/>
    <x v="86"/>
    <s v="First Class"/>
    <s v="TS-21160"/>
    <s v="Theresa Swint"/>
    <x v="2"/>
    <x v="0"/>
    <s v="Philadelphia"/>
    <x v="2"/>
    <n v="19134"/>
    <s v="East"/>
    <s v="OFF-BI-10004876"/>
    <x v="0"/>
    <x v="1"/>
    <x v="341"/>
    <n v="2.5020000000000002"/>
    <n v="3"/>
    <n v="0.7"/>
    <n v="-1.7513999999999994"/>
  </r>
  <r>
    <n v="396"/>
    <s v="US-2023-111857"/>
    <x v="85"/>
    <x v="85"/>
    <s v="Second Class"/>
    <s v="NM-18445"/>
    <s v="Nathan Mautz"/>
    <x v="1"/>
    <x v="0"/>
    <s v="San Francisco"/>
    <x v="5"/>
    <n v="94109"/>
    <s v="West"/>
    <s v="OFF-PA-10001878"/>
    <x v="0"/>
    <x v="0"/>
    <x v="144"/>
    <n v="48.91"/>
    <n v="1"/>
    <n v="0"/>
    <n v="22.987699999999997"/>
  </r>
  <r>
    <n v="397"/>
    <s v="US-2023-166954"/>
    <x v="86"/>
    <x v="88"/>
    <s v="Standard Class"/>
    <s v="BT-11305"/>
    <s v="Beth Thompson"/>
    <x v="1"/>
    <x v="0"/>
    <s v="San Gabriel"/>
    <x v="5"/>
    <n v="91776"/>
    <s v="West"/>
    <s v="FUR-CH-10003973"/>
    <x v="1"/>
    <x v="5"/>
    <x v="342"/>
    <n v="1487.04"/>
    <n v="5"/>
    <n v="0.2"/>
    <n v="148.70400000000006"/>
  </r>
  <r>
    <n v="398"/>
    <s v="US-2023-166954"/>
    <x v="86"/>
    <x v="88"/>
    <s v="Standard Class"/>
    <s v="BT-11305"/>
    <s v="Beth Thompson"/>
    <x v="1"/>
    <x v="0"/>
    <s v="San Gabriel"/>
    <x v="5"/>
    <n v="91776"/>
    <s v="West"/>
    <s v="FUR-FU-10003708"/>
    <x v="1"/>
    <x v="8"/>
    <x v="343"/>
    <n v="303.25"/>
    <n v="5"/>
    <n v="0"/>
    <n v="63.682499999999997"/>
  </r>
  <r>
    <n v="399"/>
    <s v="US-2023-166954"/>
    <x v="86"/>
    <x v="88"/>
    <s v="Standard Class"/>
    <s v="BT-11305"/>
    <s v="Beth Thompson"/>
    <x v="1"/>
    <x v="0"/>
    <s v="San Gabriel"/>
    <x v="5"/>
    <n v="91776"/>
    <s v="West"/>
    <s v="OFF-AP-10001391"/>
    <x v="0"/>
    <x v="12"/>
    <x v="344"/>
    <n v="270.71999999999997"/>
    <n v="3"/>
    <n v="0"/>
    <n v="78.508799999999965"/>
  </r>
  <r>
    <n v="400"/>
    <s v="US-2023-157406"/>
    <x v="86"/>
    <x v="89"/>
    <s v="Standard Class"/>
    <s v="DA-13450"/>
    <s v="Dianna Arnett"/>
    <x v="1"/>
    <x v="0"/>
    <s v="Houston"/>
    <x v="0"/>
    <n v="77095"/>
    <s v="Central"/>
    <s v="OFF-AR-10002221"/>
    <x v="0"/>
    <x v="4"/>
    <x v="345"/>
    <n v="6.24"/>
    <n v="3"/>
    <n v="0.2"/>
    <n v="0.54600000000000071"/>
  </r>
  <r>
    <n v="401"/>
    <s v="US-2023-157406"/>
    <x v="86"/>
    <x v="89"/>
    <s v="Standard Class"/>
    <s v="DA-13450"/>
    <s v="Dianna Arnett"/>
    <x v="1"/>
    <x v="0"/>
    <s v="Houston"/>
    <x v="0"/>
    <n v="77095"/>
    <s v="Central"/>
    <s v="OFF-PA-10003543"/>
    <x v="0"/>
    <x v="0"/>
    <x v="346"/>
    <n v="10.368000000000002"/>
    <n v="2"/>
    <n v="0.2"/>
    <n v="3.6288"/>
  </r>
  <r>
    <n v="402"/>
    <s v="US-2023-110100"/>
    <x v="86"/>
    <x v="89"/>
    <s v="Standard Class"/>
    <s v="LC-16885"/>
    <s v="Lena Creighton"/>
    <x v="0"/>
    <x v="0"/>
    <s v="Wilmington"/>
    <x v="26"/>
    <n v="28403"/>
    <s v="South"/>
    <s v="TEC-PH-10004531"/>
    <x v="2"/>
    <x v="7"/>
    <x v="347"/>
    <n v="302.37599999999998"/>
    <n v="3"/>
    <n v="0.2"/>
    <n v="37.796999999999997"/>
  </r>
  <r>
    <n v="403"/>
    <s v="US-2023-147298"/>
    <x v="87"/>
    <x v="90"/>
    <s v="Standard Class"/>
    <s v="AG-10300"/>
    <s v="Aleksandra Gannaway"/>
    <x v="2"/>
    <x v="0"/>
    <s v="Los Angeles"/>
    <x v="5"/>
    <n v="90049"/>
    <s v="West"/>
    <s v="FUR-CH-10004886"/>
    <x v="1"/>
    <x v="5"/>
    <x v="348"/>
    <n v="230.28000000000003"/>
    <n v="3"/>
    <n v="0.2"/>
    <n v="23.027999999999992"/>
  </r>
  <r>
    <n v="404"/>
    <s v="US-2023-116785"/>
    <x v="87"/>
    <x v="88"/>
    <s v="Standard Class"/>
    <s v="MH-17290"/>
    <s v="Marc Harrigan"/>
    <x v="1"/>
    <x v="0"/>
    <s v="Los Angeles"/>
    <x v="5"/>
    <n v="90036"/>
    <s v="West"/>
    <s v="OFF-AR-10003504"/>
    <x v="0"/>
    <x v="4"/>
    <x v="349"/>
    <n v="21.400000000000002"/>
    <n v="5"/>
    <n v="0"/>
    <n v="6.2059999999999977"/>
  </r>
  <r>
    <n v="405"/>
    <s v="US-2023-147298"/>
    <x v="87"/>
    <x v="90"/>
    <s v="Standard Class"/>
    <s v="AG-10300"/>
    <s v="Aleksandra Gannaway"/>
    <x v="2"/>
    <x v="0"/>
    <s v="Los Angeles"/>
    <x v="5"/>
    <n v="90049"/>
    <s v="West"/>
    <s v="OFF-BI-10001525"/>
    <x v="0"/>
    <x v="1"/>
    <x v="350"/>
    <n v="18.288"/>
    <n v="6"/>
    <n v="0.2"/>
    <n v="5.714999999999999"/>
  </r>
  <r>
    <n v="406"/>
    <s v="US-2023-116785"/>
    <x v="87"/>
    <x v="88"/>
    <s v="Standard Class"/>
    <s v="MH-17290"/>
    <s v="Marc Harrigan"/>
    <x v="1"/>
    <x v="0"/>
    <s v="Los Angeles"/>
    <x v="5"/>
    <n v="90036"/>
    <s v="West"/>
    <s v="OFF-LA-10000305"/>
    <x v="0"/>
    <x v="2"/>
    <x v="137"/>
    <n v="12.6"/>
    <n v="2"/>
    <n v="0"/>
    <n v="5.7959999999999994"/>
  </r>
  <r>
    <n v="407"/>
    <s v="US-2023-118976"/>
    <x v="88"/>
    <x v="90"/>
    <s v="Standard Class"/>
    <s v="MY-18295"/>
    <s v="Muhammed Yedwab"/>
    <x v="2"/>
    <x v="0"/>
    <s v="Baltimore"/>
    <x v="38"/>
    <n v="21215"/>
    <s v="East"/>
    <s v="OFF-AR-10004752"/>
    <x v="0"/>
    <x v="4"/>
    <x v="351"/>
    <n v="5.34"/>
    <n v="2"/>
    <n v="0"/>
    <n v="1.4952000000000001"/>
  </r>
  <r>
    <n v="408"/>
    <s v="US-2023-118976"/>
    <x v="88"/>
    <x v="90"/>
    <s v="Standard Class"/>
    <s v="MY-18295"/>
    <s v="Muhammed Yedwab"/>
    <x v="2"/>
    <x v="0"/>
    <s v="Baltimore"/>
    <x v="38"/>
    <n v="21215"/>
    <s v="East"/>
    <s v="OFF-BI-10001628"/>
    <x v="0"/>
    <x v="1"/>
    <x v="352"/>
    <n v="20.86"/>
    <n v="2"/>
    <n v="0"/>
    <n v="9.3869999999999987"/>
  </r>
  <r>
    <n v="409"/>
    <s v="US-2023-118976"/>
    <x v="88"/>
    <x v="90"/>
    <s v="Standard Class"/>
    <s v="MY-18295"/>
    <s v="Muhammed Yedwab"/>
    <x v="2"/>
    <x v="0"/>
    <s v="Baltimore"/>
    <x v="38"/>
    <n v="21215"/>
    <s v="East"/>
    <s v="OFF-LA-10000452"/>
    <x v="0"/>
    <x v="2"/>
    <x v="353"/>
    <n v="3.15"/>
    <n v="1"/>
    <n v="0"/>
    <n v="1.512"/>
  </r>
  <r>
    <n v="410"/>
    <s v="US-2023-140228"/>
    <x v="88"/>
    <x v="90"/>
    <s v="Standard Class"/>
    <s v="GB-14530"/>
    <s v="George Bell"/>
    <x v="2"/>
    <x v="0"/>
    <s v="Newark"/>
    <x v="9"/>
    <n v="43055"/>
    <s v="East"/>
    <s v="OFF-LA-10001613"/>
    <x v="0"/>
    <x v="2"/>
    <x v="354"/>
    <n v="6.911999999999999"/>
    <n v="3"/>
    <n v="0.2"/>
    <n v="2.5056000000000003"/>
  </r>
  <r>
    <n v="411"/>
    <s v="US-2023-118976"/>
    <x v="88"/>
    <x v="90"/>
    <s v="Standard Class"/>
    <s v="MY-18295"/>
    <s v="Muhammed Yedwab"/>
    <x v="2"/>
    <x v="0"/>
    <s v="Baltimore"/>
    <x v="38"/>
    <n v="21215"/>
    <s v="East"/>
    <s v="OFF-ST-10000877"/>
    <x v="0"/>
    <x v="3"/>
    <x v="355"/>
    <n v="497.61"/>
    <n v="9"/>
    <n v="0"/>
    <n v="129.37860000000001"/>
  </r>
  <r>
    <n v="412"/>
    <s v="US-2023-140228"/>
    <x v="88"/>
    <x v="90"/>
    <s v="Standard Class"/>
    <s v="GB-14530"/>
    <s v="George Bell"/>
    <x v="2"/>
    <x v="0"/>
    <s v="Newark"/>
    <x v="9"/>
    <n v="43055"/>
    <s v="East"/>
    <s v="OFF-ST-10001128"/>
    <x v="0"/>
    <x v="3"/>
    <x v="356"/>
    <n v="177.56800000000001"/>
    <n v="2"/>
    <n v="0.2"/>
    <n v="-37.733199999999989"/>
  </r>
  <r>
    <n v="413"/>
    <s v="US-2023-140228"/>
    <x v="88"/>
    <x v="90"/>
    <s v="Standard Class"/>
    <s v="GB-14530"/>
    <s v="George Bell"/>
    <x v="2"/>
    <x v="0"/>
    <s v="Newark"/>
    <x v="9"/>
    <n v="43055"/>
    <s v="East"/>
    <s v="OFF-ST-10002214"/>
    <x v="0"/>
    <x v="3"/>
    <x v="357"/>
    <n v="27.096"/>
    <n v="3"/>
    <n v="0.2"/>
    <n v="2.0321999999999987"/>
  </r>
  <r>
    <n v="414"/>
    <s v="US-2023-132983"/>
    <x v="88"/>
    <x v="90"/>
    <s v="Standard Class"/>
    <s v="DS-13180"/>
    <s v="David Smith"/>
    <x v="2"/>
    <x v="0"/>
    <s v="Jamestown"/>
    <x v="21"/>
    <n v="14701"/>
    <s v="East"/>
    <s v="TEC-AC-10000736"/>
    <x v="2"/>
    <x v="9"/>
    <x v="109"/>
    <n v="159.97999999999999"/>
    <n v="2"/>
    <n v="0"/>
    <n v="57.592799999999997"/>
  </r>
  <r>
    <n v="415"/>
    <s v="US-2023-131387"/>
    <x v="88"/>
    <x v="88"/>
    <s v="First Class"/>
    <s v="AI-10855"/>
    <s v="Arianne Irving"/>
    <x v="0"/>
    <x v="0"/>
    <s v="San Francisco"/>
    <x v="5"/>
    <n v="94122"/>
    <s v="West"/>
    <s v="TEC-PH-10001459"/>
    <x v="2"/>
    <x v="7"/>
    <x v="358"/>
    <n v="1679.96"/>
    <n v="5"/>
    <n v="0.2"/>
    <n v="125.99700000000007"/>
  </r>
  <r>
    <n v="416"/>
    <s v="US-2023-107811"/>
    <x v="89"/>
    <x v="90"/>
    <s v="Standard Class"/>
    <s v="LA-16780"/>
    <s v="Laura Armstrong"/>
    <x v="2"/>
    <x v="0"/>
    <s v="Memphis"/>
    <x v="15"/>
    <n v="38109"/>
    <s v="South"/>
    <s v="FUR-CH-10001394"/>
    <x v="1"/>
    <x v="5"/>
    <x v="359"/>
    <n v="561.58400000000006"/>
    <n v="2"/>
    <n v="0.2"/>
    <n v="70.197999999999922"/>
  </r>
  <r>
    <n v="417"/>
    <s v="US-2023-142727"/>
    <x v="89"/>
    <x v="91"/>
    <s v="Second Class"/>
    <s v="HG-14845"/>
    <s v="Harry Greene"/>
    <x v="0"/>
    <x v="0"/>
    <s v="Lake Charles"/>
    <x v="10"/>
    <n v="70601"/>
    <s v="South"/>
    <s v="FUR-CH-10002304"/>
    <x v="1"/>
    <x v="5"/>
    <x v="241"/>
    <n v="51.96"/>
    <n v="2"/>
    <n v="0"/>
    <n v="12.990000000000002"/>
  </r>
  <r>
    <n v="418"/>
    <s v="US-2023-134061"/>
    <x v="89"/>
    <x v="92"/>
    <s v="Standard Class"/>
    <s v="LL-16840"/>
    <s v="Lauren Leatherbury"/>
    <x v="0"/>
    <x v="0"/>
    <s v="Rochester"/>
    <x v="21"/>
    <n v="14609"/>
    <s v="East"/>
    <s v="FUR-FU-10001424"/>
    <x v="1"/>
    <x v="8"/>
    <x v="360"/>
    <n v="17.46"/>
    <n v="2"/>
    <n v="0"/>
    <n v="5.936399999999999"/>
  </r>
  <r>
    <n v="419"/>
    <s v="US-2023-142727"/>
    <x v="89"/>
    <x v="91"/>
    <s v="Second Class"/>
    <s v="HG-14845"/>
    <s v="Harry Greene"/>
    <x v="0"/>
    <x v="0"/>
    <s v="Lake Charles"/>
    <x v="10"/>
    <n v="70601"/>
    <s v="South"/>
    <s v="OFF-BI-10000136"/>
    <x v="0"/>
    <x v="1"/>
    <x v="187"/>
    <n v="17.940000000000001"/>
    <n v="3"/>
    <n v="0"/>
    <n v="8.6112000000000002"/>
  </r>
  <r>
    <n v="420"/>
    <s v="US-2023-107811"/>
    <x v="89"/>
    <x v="90"/>
    <s v="Standard Class"/>
    <s v="LA-16780"/>
    <s v="Laura Armstrong"/>
    <x v="2"/>
    <x v="0"/>
    <s v="Memphis"/>
    <x v="15"/>
    <n v="38109"/>
    <s v="South"/>
    <s v="OFF-ST-10000798"/>
    <x v="0"/>
    <x v="3"/>
    <x v="361"/>
    <n v="99.920000000000016"/>
    <n v="5"/>
    <n v="0.2"/>
    <n v="-1.249000000000013"/>
  </r>
  <r>
    <n v="421"/>
    <s v="US-2023-118304"/>
    <x v="89"/>
    <x v="92"/>
    <s v="Standard Class"/>
    <s v="KH-16360"/>
    <s v="Katherine Hughes"/>
    <x v="0"/>
    <x v="0"/>
    <s v="Dover"/>
    <x v="7"/>
    <n v="19901"/>
    <s v="East"/>
    <s v="TEC-PH-10000376"/>
    <x v="2"/>
    <x v="7"/>
    <x v="362"/>
    <n v="19.98"/>
    <n v="2"/>
    <n v="0"/>
    <n v="5.1948000000000008"/>
  </r>
  <r>
    <n v="422"/>
    <s v="US-2023-160094"/>
    <x v="90"/>
    <x v="93"/>
    <s v="First Class"/>
    <s v="JM-16195"/>
    <s v="Justin MacKendrick"/>
    <x v="0"/>
    <x v="0"/>
    <s v="Louisville"/>
    <x v="3"/>
    <n v="40214"/>
    <s v="South"/>
    <s v="OFF-AR-10004010"/>
    <x v="0"/>
    <x v="4"/>
    <x v="363"/>
    <n v="174.95000000000002"/>
    <n v="5"/>
    <n v="0"/>
    <n v="45.487000000000002"/>
  </r>
  <r>
    <n v="423"/>
    <s v="US-2023-160094"/>
    <x v="90"/>
    <x v="93"/>
    <s v="First Class"/>
    <s v="JM-16195"/>
    <s v="Justin MacKendrick"/>
    <x v="0"/>
    <x v="0"/>
    <s v="Louisville"/>
    <x v="3"/>
    <n v="40214"/>
    <s v="South"/>
    <s v="OFF-ST-10000585"/>
    <x v="0"/>
    <x v="3"/>
    <x v="223"/>
    <n v="826"/>
    <n v="5"/>
    <n v="0"/>
    <n v="214.76"/>
  </r>
  <r>
    <n v="424"/>
    <s v="US-2023-156006"/>
    <x v="90"/>
    <x v="93"/>
    <s v="Second Class"/>
    <s v="TM-21010"/>
    <s v="Tamara Manning"/>
    <x v="0"/>
    <x v="0"/>
    <s v="Jackson"/>
    <x v="31"/>
    <n v="39212"/>
    <s v="South"/>
    <s v="TEC-AC-10002550"/>
    <x v="2"/>
    <x v="9"/>
    <x v="364"/>
    <n v="47.79"/>
    <n v="3"/>
    <n v="0"/>
    <n v="16.2486"/>
  </r>
  <r>
    <n v="425"/>
    <s v="US-2023-115056"/>
    <x v="91"/>
    <x v="93"/>
    <s v="Same Day"/>
    <s v="AR-10510"/>
    <s v="Andrew Roberts"/>
    <x v="0"/>
    <x v="0"/>
    <s v="Columbus"/>
    <x v="9"/>
    <n v="43229"/>
    <s v="East"/>
    <s v="OFF-AP-10003971"/>
    <x v="0"/>
    <x v="12"/>
    <x v="184"/>
    <n v="26.136000000000003"/>
    <n v="3"/>
    <n v="0.2"/>
    <n v="1.9602000000000004"/>
  </r>
  <r>
    <n v="426"/>
    <s v="US-2023-124618"/>
    <x v="91"/>
    <x v="92"/>
    <s v="Second Class"/>
    <s v="CS-11860"/>
    <s v="Cari Schnelling"/>
    <x v="0"/>
    <x v="0"/>
    <s v="Lakeland"/>
    <x v="16"/>
    <n v="33801"/>
    <s v="South"/>
    <s v="TEC-CO-10004202"/>
    <x v="2"/>
    <x v="16"/>
    <x v="365"/>
    <n v="479.98400000000004"/>
    <n v="2"/>
    <n v="0.2"/>
    <n v="89.996999999999986"/>
  </r>
  <r>
    <n v="427"/>
    <s v="US-2023-135755"/>
    <x v="92"/>
    <x v="94"/>
    <s v="Standard Class"/>
    <s v="NC-18415"/>
    <s v="Nathan Cano"/>
    <x v="0"/>
    <x v="0"/>
    <s v="Yonkers"/>
    <x v="21"/>
    <n v="10701"/>
    <s v="East"/>
    <s v="OFF-BI-10003981"/>
    <x v="0"/>
    <x v="1"/>
    <x v="366"/>
    <n v="10.896000000000001"/>
    <n v="3"/>
    <n v="0.2"/>
    <n v="3.9497999999999998"/>
  </r>
  <r>
    <n v="428"/>
    <s v="US-2023-135755"/>
    <x v="92"/>
    <x v="94"/>
    <s v="Standard Class"/>
    <s v="NC-18415"/>
    <s v="Nathan Cano"/>
    <x v="0"/>
    <x v="0"/>
    <s v="Yonkers"/>
    <x v="21"/>
    <n v="10701"/>
    <s v="East"/>
    <s v="OFF-BI-10004828"/>
    <x v="0"/>
    <x v="1"/>
    <x v="367"/>
    <n v="40.176000000000002"/>
    <n v="3"/>
    <n v="0.2"/>
    <n v="14.563799999999997"/>
  </r>
  <r>
    <n v="429"/>
    <s v="US-2023-130274"/>
    <x v="92"/>
    <x v="95"/>
    <s v="First Class"/>
    <s v="JS-15940"/>
    <s v="Joni Sundaresam"/>
    <x v="1"/>
    <x v="0"/>
    <s v="Appleton"/>
    <x v="22"/>
    <n v="54915"/>
    <s v="Central"/>
    <s v="OFF-LA-10002195"/>
    <x v="0"/>
    <x v="2"/>
    <x v="368"/>
    <n v="21.560000000000002"/>
    <n v="7"/>
    <n v="0"/>
    <n v="10.348799999999999"/>
  </r>
  <r>
    <n v="430"/>
    <s v="US-2023-155271"/>
    <x v="93"/>
    <x v="92"/>
    <s v="Same Day"/>
    <s v="AA-10480"/>
    <s v="Andrew Allen"/>
    <x v="0"/>
    <x v="0"/>
    <s v="Middletown"/>
    <x v="39"/>
    <n v="6457"/>
    <s v="East"/>
    <s v="FUR-FU-10001473"/>
    <x v="1"/>
    <x v="8"/>
    <x v="208"/>
    <n v="27.46"/>
    <n v="2"/>
    <n v="0"/>
    <n v="9.8856000000000002"/>
  </r>
  <r>
    <n v="431"/>
    <s v="US-2023-148194"/>
    <x v="93"/>
    <x v="96"/>
    <s v="First Class"/>
    <s v="BS-11365"/>
    <s v="Bill Shonely"/>
    <x v="2"/>
    <x v="0"/>
    <s v="Seattle"/>
    <x v="23"/>
    <n v="98105"/>
    <s v="West"/>
    <s v="FUR-FU-10001852"/>
    <x v="1"/>
    <x v="8"/>
    <x v="369"/>
    <n v="12.18"/>
    <n v="7"/>
    <n v="0"/>
    <n v="3.8975999999999997"/>
  </r>
  <r>
    <n v="432"/>
    <s v="US-2023-148194"/>
    <x v="93"/>
    <x v="96"/>
    <s v="First Class"/>
    <s v="BS-11365"/>
    <s v="Bill Shonely"/>
    <x v="2"/>
    <x v="0"/>
    <s v="Seattle"/>
    <x v="23"/>
    <n v="98105"/>
    <s v="West"/>
    <s v="OFF-AP-10000696"/>
    <x v="0"/>
    <x v="12"/>
    <x v="370"/>
    <n v="57.68"/>
    <n v="4"/>
    <n v="0"/>
    <n v="19.034399999999998"/>
  </r>
  <r>
    <n v="433"/>
    <s v="US-2023-111899"/>
    <x v="93"/>
    <x v="95"/>
    <s v="First Class"/>
    <s v="NC-18340"/>
    <s v="Nat Carroll"/>
    <x v="0"/>
    <x v="0"/>
    <s v="Houston"/>
    <x v="0"/>
    <n v="77036"/>
    <s v="Central"/>
    <s v="OFF-AR-10001725"/>
    <x v="0"/>
    <x v="4"/>
    <x v="286"/>
    <n v="37.839999999999996"/>
    <n v="2"/>
    <n v="0.2"/>
    <n v="2.8380000000000027"/>
  </r>
  <r>
    <n v="434"/>
    <s v="US-2023-117709"/>
    <x v="93"/>
    <x v="97"/>
    <s v="Standard Class"/>
    <s v="PM-18940"/>
    <s v="Paul MacIntyre"/>
    <x v="0"/>
    <x v="0"/>
    <s v="Jackson"/>
    <x v="14"/>
    <n v="49201"/>
    <s v="Central"/>
    <s v="OFF-BI-10001294"/>
    <x v="0"/>
    <x v="1"/>
    <x v="371"/>
    <n v="46.8"/>
    <n v="4"/>
    <n v="0"/>
    <n v="21.059999999999995"/>
  </r>
  <r>
    <n v="435"/>
    <s v="US-2023-111899"/>
    <x v="93"/>
    <x v="95"/>
    <s v="First Class"/>
    <s v="NC-18340"/>
    <s v="Nat Carroll"/>
    <x v="0"/>
    <x v="0"/>
    <s v="Houston"/>
    <x v="0"/>
    <n v="77036"/>
    <s v="Central"/>
    <s v="OFF-FA-10000840"/>
    <x v="0"/>
    <x v="6"/>
    <x v="372"/>
    <n v="5.4719999999999995"/>
    <n v="6"/>
    <n v="0.2"/>
    <n v="1.8467999999999996"/>
  </r>
  <r>
    <n v="436"/>
    <s v="US-2023-110219"/>
    <x v="94"/>
    <x v="97"/>
    <s v="First Class"/>
    <s v="EB-13870"/>
    <s v="Emily Burns"/>
    <x v="0"/>
    <x v="0"/>
    <s v="San Antonio"/>
    <x v="0"/>
    <n v="78207"/>
    <s v="Central"/>
    <s v="FUR-CH-10001146"/>
    <x v="1"/>
    <x v="5"/>
    <x v="97"/>
    <n v="127.869"/>
    <n v="3"/>
    <n v="0.3"/>
    <n v="-9.1335000000000122"/>
  </r>
  <r>
    <n v="437"/>
    <s v="US-2023-166457"/>
    <x v="94"/>
    <x v="98"/>
    <s v="Second Class"/>
    <s v="PF-19120"/>
    <s v="Peter Fuller"/>
    <x v="0"/>
    <x v="0"/>
    <s v="Richmond"/>
    <x v="3"/>
    <n v="40475"/>
    <s v="South"/>
    <s v="OFF-AR-10003651"/>
    <x v="0"/>
    <x v="4"/>
    <x v="373"/>
    <n v="6.56"/>
    <n v="2"/>
    <n v="0"/>
    <n v="1.9023999999999992"/>
  </r>
  <r>
    <n v="438"/>
    <s v="US-2023-111934"/>
    <x v="94"/>
    <x v="96"/>
    <s v="First Class"/>
    <s v="GD-14590"/>
    <s v="Giulietta Dortch"/>
    <x v="2"/>
    <x v="0"/>
    <s v="Arlington"/>
    <x v="6"/>
    <n v="22204"/>
    <s v="South"/>
    <s v="OFF-BI-10004364"/>
    <x v="0"/>
    <x v="1"/>
    <x v="53"/>
    <n v="11.88"/>
    <n v="2"/>
    <n v="0"/>
    <n v="5.3460000000000001"/>
  </r>
  <r>
    <n v="439"/>
    <s v="US-2023-111934"/>
    <x v="94"/>
    <x v="96"/>
    <s v="First Class"/>
    <s v="GD-14590"/>
    <s v="Giulietta Dortch"/>
    <x v="2"/>
    <x v="0"/>
    <s v="Arlington"/>
    <x v="6"/>
    <n v="22204"/>
    <s v="South"/>
    <s v="OFF-PA-10000474"/>
    <x v="0"/>
    <x v="0"/>
    <x v="374"/>
    <n v="35.44"/>
    <n v="1"/>
    <n v="0"/>
    <n v="16.656799999999997"/>
  </r>
  <r>
    <n v="440"/>
    <s v="US-2023-166457"/>
    <x v="94"/>
    <x v="98"/>
    <s v="Second Class"/>
    <s v="PF-19120"/>
    <s v="Peter Fuller"/>
    <x v="0"/>
    <x v="0"/>
    <s v="Richmond"/>
    <x v="3"/>
    <n v="40475"/>
    <s v="South"/>
    <s v="OFF-PA-10001363"/>
    <x v="0"/>
    <x v="0"/>
    <x v="375"/>
    <n v="24.56"/>
    <n v="2"/>
    <n v="0"/>
    <n v="11.543199999999999"/>
  </r>
  <r>
    <n v="441"/>
    <s v="US-2023-166457"/>
    <x v="94"/>
    <x v="98"/>
    <s v="Second Class"/>
    <s v="PF-19120"/>
    <s v="Peter Fuller"/>
    <x v="0"/>
    <x v="0"/>
    <s v="Richmond"/>
    <x v="3"/>
    <n v="40475"/>
    <s v="South"/>
    <s v="OFF-PA-10003016"/>
    <x v="0"/>
    <x v="0"/>
    <x v="376"/>
    <n v="9.42"/>
    <n v="3"/>
    <n v="0"/>
    <n v="4.238999999999999"/>
  </r>
  <r>
    <n v="442"/>
    <s v="US-2023-160738"/>
    <x v="94"/>
    <x v="94"/>
    <s v="Standard Class"/>
    <s v="KH-16330"/>
    <s v="Katharine Harms"/>
    <x v="2"/>
    <x v="0"/>
    <s v="Freeport"/>
    <x v="1"/>
    <n v="61032"/>
    <s v="Central"/>
    <s v="OFF-ST-10003442"/>
    <x v="0"/>
    <x v="3"/>
    <x v="377"/>
    <n v="45.248000000000005"/>
    <n v="2"/>
    <n v="0.2"/>
    <n v="3.9591999999999992"/>
  </r>
  <r>
    <n v="443"/>
    <s v="US-2023-154879"/>
    <x v="95"/>
    <x v="99"/>
    <s v="Standard Class"/>
    <s v="SN-20710"/>
    <s v="Steve Nguyen"/>
    <x v="1"/>
    <x v="0"/>
    <s v="Los Angeles"/>
    <x v="5"/>
    <n v="90004"/>
    <s v="West"/>
    <s v="OFF-AR-10001897"/>
    <x v="0"/>
    <x v="4"/>
    <x v="378"/>
    <n v="107.94"/>
    <n v="6"/>
    <n v="0"/>
    <n v="30.223200000000002"/>
  </r>
  <r>
    <n v="444"/>
    <s v="US-2023-121664"/>
    <x v="95"/>
    <x v="94"/>
    <s v="Standard Class"/>
    <s v="HP-14815"/>
    <s v="Harold Pawlan"/>
    <x v="1"/>
    <x v="0"/>
    <s v="Los Angeles"/>
    <x v="5"/>
    <n v="90049"/>
    <s v="West"/>
    <s v="OFF-BI-10003684"/>
    <x v="0"/>
    <x v="1"/>
    <x v="379"/>
    <n v="140.73599999999999"/>
    <n v="8"/>
    <n v="0.2"/>
    <n v="52.775999999999996"/>
  </r>
  <r>
    <n v="445"/>
    <s v="US-2023-154879"/>
    <x v="95"/>
    <x v="99"/>
    <s v="Standard Class"/>
    <s v="SN-20710"/>
    <s v="Steve Nguyen"/>
    <x v="1"/>
    <x v="0"/>
    <s v="Los Angeles"/>
    <x v="5"/>
    <n v="90004"/>
    <s v="West"/>
    <s v="OFF-LA-10004425"/>
    <x v="0"/>
    <x v="2"/>
    <x v="121"/>
    <n v="5.78"/>
    <n v="2"/>
    <n v="0"/>
    <n v="2.7166000000000001"/>
  </r>
  <r>
    <n v="446"/>
    <s v="US-2023-166086"/>
    <x v="96"/>
    <x v="100"/>
    <s v="Standard Class"/>
    <s v="CT-11995"/>
    <s v="Carol Triggs"/>
    <x v="0"/>
    <x v="0"/>
    <s v="Lawrence"/>
    <x v="34"/>
    <n v="1841"/>
    <s v="East"/>
    <s v="FUR-CH-10004675"/>
    <x v="1"/>
    <x v="5"/>
    <x v="380"/>
    <n v="872.32"/>
    <n v="4"/>
    <n v="0"/>
    <n v="244.24959999999999"/>
  </r>
  <r>
    <n v="447"/>
    <s v="US-2023-166086"/>
    <x v="96"/>
    <x v="100"/>
    <s v="Standard Class"/>
    <s v="CT-11995"/>
    <s v="Carol Triggs"/>
    <x v="0"/>
    <x v="0"/>
    <s v="Lawrence"/>
    <x v="34"/>
    <n v="1841"/>
    <s v="East"/>
    <s v="FUR-TA-10003469"/>
    <x v="1"/>
    <x v="13"/>
    <x v="75"/>
    <n v="194.25"/>
    <n v="2"/>
    <n v="0.3"/>
    <n v="-38.849999999999994"/>
  </r>
  <r>
    <n v="448"/>
    <s v="US-2023-166086"/>
    <x v="96"/>
    <x v="100"/>
    <s v="Standard Class"/>
    <s v="CT-11995"/>
    <s v="Carol Triggs"/>
    <x v="0"/>
    <x v="0"/>
    <s v="Lawrence"/>
    <x v="34"/>
    <n v="1841"/>
    <s v="East"/>
    <s v="OFF-AR-10002578"/>
    <x v="0"/>
    <x v="4"/>
    <x v="381"/>
    <n v="8.64"/>
    <n v="3"/>
    <n v="0"/>
    <n v="2.5055999999999998"/>
  </r>
  <r>
    <n v="449"/>
    <s v="US-2023-166086"/>
    <x v="96"/>
    <x v="100"/>
    <s v="Standard Class"/>
    <s v="CT-11995"/>
    <s v="Carol Triggs"/>
    <x v="0"/>
    <x v="0"/>
    <s v="Lawrence"/>
    <x v="34"/>
    <n v="1841"/>
    <s v="East"/>
    <s v="OFF-BI-10001078"/>
    <x v="0"/>
    <x v="1"/>
    <x v="382"/>
    <n v="16.14"/>
    <n v="3"/>
    <n v="0"/>
    <n v="7.9085999999999999"/>
  </r>
  <r>
    <n v="450"/>
    <s v="CA-2023-166086"/>
    <x v="96"/>
    <x v="100"/>
    <s v="Standard Class"/>
    <s v="CT-11995"/>
    <s v="Carol Triggs"/>
    <x v="0"/>
    <x v="1"/>
    <s v="Toronto"/>
    <x v="17"/>
    <s v="M3C"/>
    <s v="East"/>
    <s v="FUR-CH-10004675"/>
    <x v="1"/>
    <x v="5"/>
    <x v="380"/>
    <n v="872.32"/>
    <n v="4"/>
    <n v="0"/>
    <n v="244.24959999999999"/>
  </r>
  <r>
    <n v="451"/>
    <s v="CA-2023-166086"/>
    <x v="96"/>
    <x v="100"/>
    <s v="Standard Class"/>
    <s v="CT-11995"/>
    <s v="Carol Triggs"/>
    <x v="0"/>
    <x v="1"/>
    <s v="Toronto"/>
    <x v="17"/>
    <s v="M3C"/>
    <s v="East"/>
    <s v="FUR-TA-10003469"/>
    <x v="1"/>
    <x v="13"/>
    <x v="75"/>
    <n v="194.25"/>
    <n v="2"/>
    <n v="0.3"/>
    <n v="-38.849999999999994"/>
  </r>
  <r>
    <n v="452"/>
    <s v="CA-2023-166086"/>
    <x v="96"/>
    <x v="100"/>
    <s v="Standard Class"/>
    <s v="CT-11995"/>
    <s v="Carol Triggs"/>
    <x v="0"/>
    <x v="1"/>
    <s v="Toronto"/>
    <x v="17"/>
    <s v="M3C"/>
    <s v="East"/>
    <s v="OFF-AR-10002578"/>
    <x v="0"/>
    <x v="4"/>
    <x v="381"/>
    <n v="8.64"/>
    <n v="3"/>
    <n v="0"/>
    <n v="2.5055999999999998"/>
  </r>
  <r>
    <n v="453"/>
    <s v="CA-2023-166086"/>
    <x v="96"/>
    <x v="100"/>
    <s v="Standard Class"/>
    <s v="CT-11995"/>
    <s v="Carol Triggs"/>
    <x v="0"/>
    <x v="1"/>
    <s v="Toronto"/>
    <x v="17"/>
    <s v="M3C"/>
    <s v="East"/>
    <s v="OFF-BI-10001078"/>
    <x v="0"/>
    <x v="1"/>
    <x v="382"/>
    <n v="16.14"/>
    <n v="3"/>
    <n v="0"/>
    <n v="7.9085999999999999"/>
  </r>
  <r>
    <n v="454"/>
    <s v="US-2023-116666"/>
    <x v="97"/>
    <x v="94"/>
    <s v="First Class"/>
    <s v="KT-16480"/>
    <s v="Kean Thornton"/>
    <x v="0"/>
    <x v="0"/>
    <s v="Philadelphia"/>
    <x v="2"/>
    <n v="19134"/>
    <s v="East"/>
    <s v="TEC-CO-10001449"/>
    <x v="2"/>
    <x v="16"/>
    <x v="383"/>
    <n v="1799.9699999999998"/>
    <n v="5"/>
    <n v="0.4"/>
    <n v="239.99600000000009"/>
  </r>
  <r>
    <n v="455"/>
    <s v="US-2023-158771"/>
    <x v="98"/>
    <x v="98"/>
    <s v="Same Day"/>
    <s v="SB-20290"/>
    <s v="Sean Braxton"/>
    <x v="2"/>
    <x v="0"/>
    <s v="Henderson"/>
    <x v="3"/>
    <n v="42420"/>
    <s v="South"/>
    <s v="OFF-LA-10001641"/>
    <x v="0"/>
    <x v="2"/>
    <x v="269"/>
    <n v="9.4499999999999993"/>
    <n v="3"/>
    <n v="0"/>
    <n v="4.5359999999999996"/>
  </r>
  <r>
    <n v="456"/>
    <s v="US-2023-158771"/>
    <x v="98"/>
    <x v="98"/>
    <s v="Same Day"/>
    <s v="SB-20290"/>
    <s v="Sean Braxton"/>
    <x v="2"/>
    <x v="0"/>
    <s v="Henderson"/>
    <x v="3"/>
    <n v="42420"/>
    <s v="South"/>
    <s v="OFF-LA-10003121"/>
    <x v="0"/>
    <x v="2"/>
    <x v="384"/>
    <n v="20.65"/>
    <n v="5"/>
    <n v="0"/>
    <n v="9.4989999999999988"/>
  </r>
  <r>
    <n v="457"/>
    <s v="US-2023-158771"/>
    <x v="98"/>
    <x v="98"/>
    <s v="Same Day"/>
    <s v="SB-20290"/>
    <s v="Sean Braxton"/>
    <x v="2"/>
    <x v="0"/>
    <s v="Henderson"/>
    <x v="3"/>
    <n v="42420"/>
    <s v="South"/>
    <s v="OFF-PA-10002689"/>
    <x v="0"/>
    <x v="0"/>
    <x v="62"/>
    <n v="45.36"/>
    <n v="7"/>
    <n v="0"/>
    <n v="21.772800000000004"/>
  </r>
  <r>
    <n v="458"/>
    <s v="US-2023-158771"/>
    <x v="98"/>
    <x v="98"/>
    <s v="Same Day"/>
    <s v="SB-20290"/>
    <s v="Sean Braxton"/>
    <x v="2"/>
    <x v="0"/>
    <s v="Henderson"/>
    <x v="3"/>
    <n v="42420"/>
    <s v="South"/>
    <s v="OFF-ST-10000107"/>
    <x v="0"/>
    <x v="3"/>
    <x v="385"/>
    <n v="83.25"/>
    <n v="3"/>
    <n v="0"/>
    <n v="14.984999999999992"/>
  </r>
  <r>
    <n v="459"/>
    <s v="US-2023-102071"/>
    <x v="98"/>
    <x v="101"/>
    <s v="Standard Class"/>
    <s v="PG-18820"/>
    <s v="Patrick Gardner"/>
    <x v="0"/>
    <x v="0"/>
    <s v="San Francisco"/>
    <x v="5"/>
    <n v="94110"/>
    <s v="West"/>
    <s v="TEC-AC-10000109"/>
    <x v="2"/>
    <x v="9"/>
    <x v="386"/>
    <n v="167.97"/>
    <n v="3"/>
    <n v="0"/>
    <n v="40.31280000000001"/>
  </r>
  <r>
    <n v="460"/>
    <s v="US-2023-102071"/>
    <x v="98"/>
    <x v="101"/>
    <s v="Standard Class"/>
    <s v="PG-18820"/>
    <s v="Patrick Gardner"/>
    <x v="0"/>
    <x v="0"/>
    <s v="San Francisco"/>
    <x v="5"/>
    <n v="94110"/>
    <s v="West"/>
    <s v="TEC-AC-10003441"/>
    <x v="2"/>
    <x v="9"/>
    <x v="292"/>
    <n v="67.8"/>
    <n v="4"/>
    <n v="0"/>
    <n v="4.0679999999999978"/>
  </r>
  <r>
    <n v="461"/>
    <s v="US-2023-114181"/>
    <x v="99"/>
    <x v="102"/>
    <s v="Second Class"/>
    <s v="AF-10885"/>
    <s v="Art Foster"/>
    <x v="0"/>
    <x v="0"/>
    <s v="Philadelphia"/>
    <x v="2"/>
    <n v="19134"/>
    <s v="East"/>
    <s v="FUR-BO-10004467"/>
    <x v="1"/>
    <x v="10"/>
    <x v="387"/>
    <n v="349.96499999999997"/>
    <n v="7"/>
    <n v="0.5"/>
    <n v="-216.97830000000002"/>
  </r>
  <r>
    <n v="462"/>
    <s v="US-2023-103310"/>
    <x v="99"/>
    <x v="101"/>
    <s v="Standard Class"/>
    <s v="GM-14680"/>
    <s v="Greg Matthias"/>
    <x v="0"/>
    <x v="0"/>
    <s v="San Jose"/>
    <x v="5"/>
    <n v="95123"/>
    <s v="West"/>
    <s v="FUR-CH-10002320"/>
    <x v="1"/>
    <x v="5"/>
    <x v="388"/>
    <n v="256.78400000000005"/>
    <n v="1"/>
    <n v="0.2"/>
    <n v="32.097999999999971"/>
  </r>
  <r>
    <n v="463"/>
    <s v="US-2023-114181"/>
    <x v="99"/>
    <x v="102"/>
    <s v="Second Class"/>
    <s v="AF-10885"/>
    <s v="Art Foster"/>
    <x v="0"/>
    <x v="0"/>
    <s v="Philadelphia"/>
    <x v="2"/>
    <n v="19134"/>
    <s v="East"/>
    <s v="OFF-AR-10000716"/>
    <x v="0"/>
    <x v="4"/>
    <x v="389"/>
    <n v="22.32"/>
    <n v="5"/>
    <n v="0.2"/>
    <n v="5.3010000000000002"/>
  </r>
  <r>
    <n v="464"/>
    <s v="US-2023-159709"/>
    <x v="99"/>
    <x v="101"/>
    <s v="Standard Class"/>
    <s v="AI-10855"/>
    <s v="Arianne Irving"/>
    <x v="0"/>
    <x v="0"/>
    <s v="Kent"/>
    <x v="23"/>
    <n v="98031"/>
    <s v="West"/>
    <s v="OFF-EN-10001434"/>
    <x v="0"/>
    <x v="11"/>
    <x v="390"/>
    <n v="158.13"/>
    <n v="3"/>
    <n v="0"/>
    <n v="77.483699999999999"/>
  </r>
  <r>
    <n v="465"/>
    <s v="US-2023-103310"/>
    <x v="99"/>
    <x v="101"/>
    <s v="Standard Class"/>
    <s v="GM-14680"/>
    <s v="Greg Matthias"/>
    <x v="0"/>
    <x v="0"/>
    <s v="San Jose"/>
    <x v="5"/>
    <n v="95123"/>
    <s v="West"/>
    <s v="OFF-PA-10004353"/>
    <x v="0"/>
    <x v="0"/>
    <x v="391"/>
    <n v="39.96"/>
    <n v="2"/>
    <n v="0"/>
    <n v="19.180800000000001"/>
  </r>
  <r>
    <n v="466"/>
    <s v="US-2023-103310"/>
    <x v="99"/>
    <x v="101"/>
    <s v="Standard Class"/>
    <s v="GM-14680"/>
    <s v="Greg Matthias"/>
    <x v="0"/>
    <x v="0"/>
    <s v="San Jose"/>
    <x v="5"/>
    <n v="95123"/>
    <s v="West"/>
    <s v="OFF-SU-10004737"/>
    <x v="0"/>
    <x v="14"/>
    <x v="392"/>
    <n v="41.04"/>
    <n v="6"/>
    <n v="0"/>
    <n v="11.0808"/>
  </r>
  <r>
    <n v="467"/>
    <s v="US-2023-103310"/>
    <x v="99"/>
    <x v="101"/>
    <s v="Standard Class"/>
    <s v="GM-14680"/>
    <s v="Greg Matthias"/>
    <x v="0"/>
    <x v="0"/>
    <s v="San Jose"/>
    <x v="5"/>
    <n v="95123"/>
    <s v="West"/>
    <s v="TEC-PH-10001817"/>
    <x v="2"/>
    <x v="7"/>
    <x v="393"/>
    <n v="1432.0000000000002"/>
    <n v="5"/>
    <n v="0.2"/>
    <n v="125.30000000000007"/>
  </r>
  <r>
    <n v="468"/>
    <s v="US-2023-159709"/>
    <x v="99"/>
    <x v="101"/>
    <s v="Standard Class"/>
    <s v="AI-10855"/>
    <s v="Arianne Irving"/>
    <x v="0"/>
    <x v="0"/>
    <s v="Kent"/>
    <x v="23"/>
    <n v="98031"/>
    <s v="West"/>
    <s v="TEC-PH-10003988"/>
    <x v="2"/>
    <x v="7"/>
    <x v="394"/>
    <n v="43.6"/>
    <n v="5"/>
    <n v="0.2"/>
    <n v="4.3600000000000012"/>
  </r>
  <r>
    <n v="469"/>
    <s v="US-2023-152100"/>
    <x v="100"/>
    <x v="103"/>
    <s v="Standard Class"/>
    <s v="VW-21775"/>
    <s v="Victoria Wilson"/>
    <x v="2"/>
    <x v="0"/>
    <s v="Huntsville"/>
    <x v="0"/>
    <n v="77340"/>
    <s v="Central"/>
    <s v="FUR-CH-10000015"/>
    <x v="1"/>
    <x v="5"/>
    <x v="395"/>
    <n v="1212.9599999999998"/>
    <n v="8"/>
    <n v="0.3"/>
    <n v="-69.311999999999898"/>
  </r>
  <r>
    <n v="470"/>
    <s v="US-2023-103849"/>
    <x v="100"/>
    <x v="103"/>
    <s v="Standard Class"/>
    <s v="PG-18895"/>
    <s v="Paul Gonzalez"/>
    <x v="0"/>
    <x v="0"/>
    <s v="Fort Worth"/>
    <x v="0"/>
    <n v="76106"/>
    <s v="Central"/>
    <s v="FUR-FU-10000723"/>
    <x v="1"/>
    <x v="8"/>
    <x v="396"/>
    <n v="66.112000000000009"/>
    <n v="4"/>
    <n v="0.6"/>
    <n v="-84.292799999999986"/>
  </r>
  <r>
    <n v="471"/>
    <s v="US-2023-127523"/>
    <x v="100"/>
    <x v="104"/>
    <s v="Standard Class"/>
    <s v="BG-11695"/>
    <s v="Brooke Gillingham"/>
    <x v="2"/>
    <x v="0"/>
    <s v="Watertown"/>
    <x v="21"/>
    <n v="13601"/>
    <s v="East"/>
    <s v="OFF-AP-10004249"/>
    <x v="0"/>
    <x v="12"/>
    <x v="397"/>
    <n v="35.910000000000004"/>
    <n v="3"/>
    <n v="0"/>
    <n v="9.6956999999999987"/>
  </r>
  <r>
    <n v="472"/>
    <s v="US-2023-119172"/>
    <x v="100"/>
    <x v="101"/>
    <s v="Standard Class"/>
    <s v="HD-14785"/>
    <s v="Harold Dahlen"/>
    <x v="1"/>
    <x v="0"/>
    <s v="Chicago"/>
    <x v="1"/>
    <n v="60610"/>
    <s v="Central"/>
    <s v="OFF-BI-10002026"/>
    <x v="0"/>
    <x v="1"/>
    <x v="398"/>
    <n v="104.57999999999998"/>
    <n v="9"/>
    <n v="0.8"/>
    <n v="-172.55700000000007"/>
  </r>
  <r>
    <n v="473"/>
    <s v="US-2023-119172"/>
    <x v="100"/>
    <x v="101"/>
    <s v="Standard Class"/>
    <s v="HD-14785"/>
    <s v="Harold Dahlen"/>
    <x v="1"/>
    <x v="0"/>
    <s v="Chicago"/>
    <x v="1"/>
    <n v="60610"/>
    <s v="Central"/>
    <s v="OFF-PA-10003036"/>
    <x v="0"/>
    <x v="0"/>
    <x v="128"/>
    <n v="17.472000000000001"/>
    <n v="3"/>
    <n v="0.2"/>
    <n v="5.6783999999999981"/>
  </r>
  <r>
    <n v="474"/>
    <s v="US-2023-139017"/>
    <x v="100"/>
    <x v="105"/>
    <s v="Standard Class"/>
    <s v="RM-19375"/>
    <s v="Raymond Messe"/>
    <x v="0"/>
    <x v="0"/>
    <s v="Houston"/>
    <x v="0"/>
    <n v="77095"/>
    <s v="Central"/>
    <s v="TEC-AC-10001013"/>
    <x v="2"/>
    <x v="9"/>
    <x v="399"/>
    <n v="46.864000000000004"/>
    <n v="2"/>
    <n v="0.2"/>
    <n v="7.615399999999994"/>
  </r>
  <r>
    <n v="475"/>
    <s v="US-2023-103849"/>
    <x v="100"/>
    <x v="103"/>
    <s v="Standard Class"/>
    <s v="PG-18895"/>
    <s v="Paul Gonzalez"/>
    <x v="0"/>
    <x v="0"/>
    <s v="Fort Worth"/>
    <x v="0"/>
    <n v="76106"/>
    <s v="Central"/>
    <s v="TEC-AC-10001465"/>
    <x v="2"/>
    <x v="9"/>
    <x v="400"/>
    <n v="58.112000000000002"/>
    <n v="2"/>
    <n v="0.2"/>
    <n v="7.263999999999994"/>
  </r>
  <r>
    <n v="476"/>
    <s v="US-2023-103849"/>
    <x v="100"/>
    <x v="103"/>
    <s v="Standard Class"/>
    <s v="PG-18895"/>
    <s v="Paul Gonzalez"/>
    <x v="0"/>
    <x v="0"/>
    <s v="Fort Worth"/>
    <x v="0"/>
    <n v="76106"/>
    <s v="Central"/>
    <s v="TEC-PH-10002597"/>
    <x v="2"/>
    <x v="7"/>
    <x v="401"/>
    <n v="100.792"/>
    <n v="1"/>
    <n v="0.2"/>
    <n v="6.2995000000000019"/>
  </r>
  <r>
    <n v="477"/>
    <s v="US-2023-127159"/>
    <x v="101"/>
    <x v="101"/>
    <s v="First Class"/>
    <s v="HL-15040"/>
    <s v="Hunter Lopez"/>
    <x v="0"/>
    <x v="0"/>
    <s v="Milwaukee"/>
    <x v="22"/>
    <n v="53209"/>
    <s v="Central"/>
    <s v="FUR-FU-10000010"/>
    <x v="1"/>
    <x v="8"/>
    <x v="20"/>
    <n v="34.79"/>
    <n v="7"/>
    <n v="0"/>
    <n v="10.784899999999999"/>
  </r>
  <r>
    <n v="478"/>
    <s v="US-2023-155887"/>
    <x v="101"/>
    <x v="105"/>
    <s v="Standard Class"/>
    <s v="KT-16480"/>
    <s v="Kean Thornton"/>
    <x v="0"/>
    <x v="0"/>
    <s v="Franklin"/>
    <x v="34"/>
    <n v="2038"/>
    <s v="East"/>
    <s v="FUR-TA-10002228"/>
    <x v="1"/>
    <x v="13"/>
    <x v="402"/>
    <n v="700.05600000000004"/>
    <n v="3"/>
    <n v="0.3"/>
    <n v="-130.0104"/>
  </r>
  <r>
    <n v="479"/>
    <s v="US-2023-113768"/>
    <x v="102"/>
    <x v="106"/>
    <s v="Standard Class"/>
    <s v="AH-10030"/>
    <s v="Aaron Hawkins"/>
    <x v="2"/>
    <x v="0"/>
    <s v="Los Angeles"/>
    <x v="5"/>
    <n v="90004"/>
    <s v="West"/>
    <s v="FUR-CH-10002439"/>
    <x v="1"/>
    <x v="5"/>
    <x v="227"/>
    <n v="279.45600000000002"/>
    <n v="6"/>
    <n v="0.2"/>
    <n v="20.959199999999996"/>
  </r>
  <r>
    <n v="480"/>
    <s v="US-2023-140165"/>
    <x v="102"/>
    <x v="101"/>
    <s v="First Class"/>
    <s v="EH-14005"/>
    <s v="Erica Hernandez"/>
    <x v="1"/>
    <x v="0"/>
    <s v="Hialeah"/>
    <x v="16"/>
    <n v="33012"/>
    <s v="South"/>
    <s v="OFF-BI-10004519"/>
    <x v="0"/>
    <x v="1"/>
    <x v="403"/>
    <n v="398.35200000000003"/>
    <n v="8"/>
    <n v="0.7"/>
    <n v="-331.95999999999992"/>
  </r>
  <r>
    <n v="481"/>
    <s v="US-2023-140165"/>
    <x v="102"/>
    <x v="101"/>
    <s v="First Class"/>
    <s v="EH-14005"/>
    <s v="Erica Hernandez"/>
    <x v="1"/>
    <x v="0"/>
    <s v="Hialeah"/>
    <x v="16"/>
    <n v="33012"/>
    <s v="South"/>
    <s v="OFF-FA-10002815"/>
    <x v="0"/>
    <x v="6"/>
    <x v="84"/>
    <n v="7.104000000000001"/>
    <n v="2"/>
    <n v="0.2"/>
    <n v="2.3976000000000002"/>
  </r>
  <r>
    <n v="482"/>
    <s v="US-2023-113768"/>
    <x v="102"/>
    <x v="106"/>
    <s v="Standard Class"/>
    <s v="AH-10030"/>
    <s v="Aaron Hawkins"/>
    <x v="2"/>
    <x v="0"/>
    <s v="Los Angeles"/>
    <x v="5"/>
    <n v="90004"/>
    <s v="West"/>
    <s v="OFF-PA-10003063"/>
    <x v="0"/>
    <x v="0"/>
    <x v="193"/>
    <n v="8"/>
    <n v="2"/>
    <n v="0"/>
    <n v="3.84"/>
  </r>
  <r>
    <n v="483"/>
    <s v="US-2023-167164"/>
    <x v="102"/>
    <x v="101"/>
    <s v="Second Class"/>
    <s v="AG-10270"/>
    <s v="Alejandro Grove"/>
    <x v="0"/>
    <x v="0"/>
    <s v="West Jordan"/>
    <x v="29"/>
    <n v="84084"/>
    <s v="West"/>
    <s v="OFF-ST-10000107"/>
    <x v="0"/>
    <x v="3"/>
    <x v="385"/>
    <n v="55.5"/>
    <n v="2"/>
    <n v="0"/>
    <n v="9.9899999999999949"/>
  </r>
  <r>
    <n v="484"/>
    <s v="US-2023-114433"/>
    <x v="102"/>
    <x v="105"/>
    <s v="Standard Class"/>
    <s v="NP-18325"/>
    <s v="Naresj Patel"/>
    <x v="0"/>
    <x v="0"/>
    <s v="Oakland"/>
    <x v="5"/>
    <n v="94601"/>
    <s v="West"/>
    <s v="TEC-AC-10002800"/>
    <x v="2"/>
    <x v="9"/>
    <x v="404"/>
    <n v="149.97"/>
    <n v="3"/>
    <n v="0"/>
    <n v="52.489499999999992"/>
  </r>
  <r>
    <n v="485"/>
    <s v="US-2023-106810"/>
    <x v="103"/>
    <x v="107"/>
    <s v="Standard Class"/>
    <s v="AJ-10795"/>
    <s v="Anthony Johnson"/>
    <x v="2"/>
    <x v="0"/>
    <s v="Saint Petersburg"/>
    <x v="16"/>
    <n v="33710"/>
    <s v="South"/>
    <s v="FUR-FU-10004306"/>
    <x v="1"/>
    <x v="8"/>
    <x v="405"/>
    <n v="310.88000000000005"/>
    <n v="2"/>
    <n v="0.2"/>
    <n v="23.315999999999988"/>
  </r>
  <r>
    <n v="486"/>
    <s v="US-2023-125150"/>
    <x v="104"/>
    <x v="108"/>
    <s v="Standard Class"/>
    <s v="PW-19030"/>
    <s v="Pauline Webber"/>
    <x v="2"/>
    <x v="0"/>
    <s v="Los Angeles"/>
    <x v="5"/>
    <n v="90036"/>
    <s v="West"/>
    <s v="FUR-CH-10002439"/>
    <x v="1"/>
    <x v="5"/>
    <x v="227"/>
    <n v="232.88"/>
    <n v="5"/>
    <n v="0.2"/>
    <n v="17.466000000000008"/>
  </r>
  <r>
    <n v="487"/>
    <s v="US-2023-163146"/>
    <x v="104"/>
    <x v="107"/>
    <s v="Standard Class"/>
    <s v="CC-12475"/>
    <s v="Cindy Chapman"/>
    <x v="0"/>
    <x v="0"/>
    <s v="San Francisco"/>
    <x v="5"/>
    <n v="94122"/>
    <s v="West"/>
    <s v="TEC-AC-10002217"/>
    <x v="2"/>
    <x v="9"/>
    <x v="406"/>
    <n v="56.400000000000006"/>
    <n v="3"/>
    <n v="0"/>
    <n v="3.3840000000000003"/>
  </r>
  <r>
    <n v="488"/>
    <s v="US-2023-148761"/>
    <x v="105"/>
    <x v="109"/>
    <s v="Standard Class"/>
    <s v="PA-19060"/>
    <s v="Pete Armstrong"/>
    <x v="1"/>
    <x v="0"/>
    <s v="Eau Claire"/>
    <x v="22"/>
    <n v="54703"/>
    <s v="Central"/>
    <s v="OFF-BI-10000666"/>
    <x v="0"/>
    <x v="1"/>
    <x v="83"/>
    <n v="91.679999999999993"/>
    <n v="3"/>
    <n v="0"/>
    <n v="45.839999999999996"/>
  </r>
  <r>
    <n v="489"/>
    <s v="US-2023-164224"/>
    <x v="106"/>
    <x v="107"/>
    <s v="Second Class"/>
    <s v="TT-21070"/>
    <s v="Ted Trevino"/>
    <x v="0"/>
    <x v="0"/>
    <s v="Akron"/>
    <x v="9"/>
    <n v="44312"/>
    <s v="East"/>
    <s v="FUR-FU-10000308"/>
    <x v="1"/>
    <x v="8"/>
    <x v="407"/>
    <n v="149.232"/>
    <n v="3"/>
    <n v="0.2"/>
    <n v="3.7308000000000021"/>
  </r>
  <r>
    <n v="490"/>
    <s v="US-2023-164224"/>
    <x v="106"/>
    <x v="107"/>
    <s v="Second Class"/>
    <s v="TT-21070"/>
    <s v="Ted Trevino"/>
    <x v="0"/>
    <x v="0"/>
    <s v="Akron"/>
    <x v="9"/>
    <n v="44312"/>
    <s v="East"/>
    <s v="OFF-PA-10001526"/>
    <x v="0"/>
    <x v="0"/>
    <x v="408"/>
    <n v="15.936000000000002"/>
    <n v="4"/>
    <n v="0.2"/>
    <n v="5.7768000000000015"/>
  </r>
  <r>
    <n v="491"/>
    <s v="US-2023-133963"/>
    <x v="106"/>
    <x v="110"/>
    <s v="Second Class"/>
    <s v="GA-14515"/>
    <s v="George Ashbrook"/>
    <x v="0"/>
    <x v="0"/>
    <s v="Dallas"/>
    <x v="0"/>
    <n v="75220"/>
    <s v="Central"/>
    <s v="OFF-PA-10001526"/>
    <x v="0"/>
    <x v="0"/>
    <x v="408"/>
    <n v="3.9840000000000004"/>
    <n v="1"/>
    <n v="0.2"/>
    <n v="1.4442000000000004"/>
  </r>
  <r>
    <n v="492"/>
    <s v="US-2023-103373"/>
    <x v="106"/>
    <x v="111"/>
    <s v="Standard Class"/>
    <s v="BS-11755"/>
    <s v="Bruce Stewart"/>
    <x v="0"/>
    <x v="0"/>
    <s v="Cleveland"/>
    <x v="9"/>
    <n v="44105"/>
    <s v="East"/>
    <s v="TEC-PH-10002885"/>
    <x v="2"/>
    <x v="7"/>
    <x v="409"/>
    <n v="779.79600000000005"/>
    <n v="2"/>
    <n v="0.4"/>
    <n v="-168.95579999999995"/>
  </r>
  <r>
    <n v="493"/>
    <s v="US-2023-107699"/>
    <x v="107"/>
    <x v="108"/>
    <s v="Standard Class"/>
    <s v="JH-15820"/>
    <s v="John Huston"/>
    <x v="0"/>
    <x v="0"/>
    <s v="Midland"/>
    <x v="14"/>
    <n v="48640"/>
    <s v="Central"/>
    <s v="OFF-BI-10001249"/>
    <x v="0"/>
    <x v="1"/>
    <x v="410"/>
    <n v="57.42"/>
    <n v="9"/>
    <n v="0"/>
    <n v="26.413199999999996"/>
  </r>
  <r>
    <n v="494"/>
    <s v="US-2023-130155"/>
    <x v="107"/>
    <x v="110"/>
    <s v="First Class"/>
    <s v="TD-20995"/>
    <s v="Tamara Dahlen"/>
    <x v="0"/>
    <x v="0"/>
    <s v="Virginia Beach"/>
    <x v="6"/>
    <n v="23464"/>
    <s v="South"/>
    <s v="OFF-SU-10004737"/>
    <x v="0"/>
    <x v="14"/>
    <x v="392"/>
    <n v="34.200000000000003"/>
    <n v="5"/>
    <n v="0"/>
    <n v="9.234"/>
  </r>
  <r>
    <n v="495"/>
    <s v="US-2023-114188"/>
    <x v="108"/>
    <x v="110"/>
    <s v="Second Class"/>
    <s v="RF-19345"/>
    <s v="Randy Ferguson"/>
    <x v="2"/>
    <x v="0"/>
    <s v="Dover"/>
    <x v="40"/>
    <n v="3820"/>
    <s v="East"/>
    <s v="FUR-FU-10000076"/>
    <x v="1"/>
    <x v="8"/>
    <x v="411"/>
    <n v="139.86000000000001"/>
    <n v="7"/>
    <n v="0"/>
    <n v="60.139800000000015"/>
  </r>
  <r>
    <n v="496"/>
    <s v="US-2023-130673"/>
    <x v="108"/>
    <x v="110"/>
    <s v="Second Class"/>
    <s v="MC-17590"/>
    <s v="Matt Collister"/>
    <x v="2"/>
    <x v="0"/>
    <s v="San Marcos"/>
    <x v="0"/>
    <n v="78666"/>
    <s v="Central"/>
    <s v="FUR-FU-10003489"/>
    <x v="1"/>
    <x v="8"/>
    <x v="412"/>
    <n v="10.332000000000001"/>
    <n v="3"/>
    <n v="0.6"/>
    <n v="-5.9408999999999992"/>
  </r>
  <r>
    <n v="497"/>
    <s v="US-2023-114188"/>
    <x v="108"/>
    <x v="110"/>
    <s v="Second Class"/>
    <s v="RF-19345"/>
    <s v="Randy Ferguson"/>
    <x v="2"/>
    <x v="0"/>
    <s v="Dover"/>
    <x v="40"/>
    <n v="3820"/>
    <s v="East"/>
    <s v="OFF-AP-10000124"/>
    <x v="0"/>
    <x v="12"/>
    <x v="413"/>
    <n v="33.28"/>
    <n v="4"/>
    <n v="0"/>
    <n v="9.3184000000000005"/>
  </r>
  <r>
    <n v="498"/>
    <s v="US-2023-114188"/>
    <x v="108"/>
    <x v="110"/>
    <s v="Second Class"/>
    <s v="RF-19345"/>
    <s v="Randy Ferguson"/>
    <x v="2"/>
    <x v="0"/>
    <s v="Dover"/>
    <x v="40"/>
    <n v="3820"/>
    <s v="East"/>
    <s v="OFF-AR-10004511"/>
    <x v="0"/>
    <x v="4"/>
    <x v="414"/>
    <n v="38.520000000000003"/>
    <n v="9"/>
    <n v="0"/>
    <n v="11.9412"/>
  </r>
  <r>
    <n v="499"/>
    <s v="US-2023-130673"/>
    <x v="108"/>
    <x v="110"/>
    <s v="Second Class"/>
    <s v="MC-17590"/>
    <s v="Matt Collister"/>
    <x v="2"/>
    <x v="0"/>
    <s v="San Marcos"/>
    <x v="0"/>
    <n v="78666"/>
    <s v="Central"/>
    <s v="OFF-PA-10000289"/>
    <x v="0"/>
    <x v="0"/>
    <x v="315"/>
    <n v="10.368000000000002"/>
    <n v="2"/>
    <n v="0.2"/>
    <n v="3.6288"/>
  </r>
  <r>
    <n v="500"/>
    <s v="US-2023-130673"/>
    <x v="108"/>
    <x v="110"/>
    <s v="Second Class"/>
    <s v="MC-17590"/>
    <s v="Matt Collister"/>
    <x v="2"/>
    <x v="0"/>
    <s v="San Marcos"/>
    <x v="0"/>
    <n v="78666"/>
    <s v="Central"/>
    <s v="OFF-ST-10000636"/>
    <x v="0"/>
    <x v="3"/>
    <x v="259"/>
    <n v="66.959999999999994"/>
    <n v="5"/>
    <n v="0.2"/>
    <n v="-13.392000000000003"/>
  </r>
  <r>
    <n v="501"/>
    <s v="US-2023-130673"/>
    <x v="108"/>
    <x v="110"/>
    <s v="Second Class"/>
    <s v="MC-17590"/>
    <s v="Matt Collister"/>
    <x v="2"/>
    <x v="0"/>
    <s v="San Marcos"/>
    <x v="0"/>
    <n v="78666"/>
    <s v="Central"/>
    <s v="TEC-AC-10004227"/>
    <x v="2"/>
    <x v="9"/>
    <x v="415"/>
    <n v="20.784000000000002"/>
    <n v="2"/>
    <n v="0.2"/>
    <n v="-3.6372000000000027"/>
  </r>
  <r>
    <n v="502"/>
    <s v="CA-2023-166695"/>
    <x v="108"/>
    <x v="111"/>
    <s v="Standard Class"/>
    <s v="CC-12430"/>
    <s v="Chuck Clark"/>
    <x v="1"/>
    <x v="1"/>
    <s v="Vancouver"/>
    <x v="41"/>
    <s v="V6Z"/>
    <s v="West"/>
    <s v="FUR-CH-10000225"/>
    <x v="1"/>
    <x v="5"/>
    <x v="105"/>
    <n v="518.27"/>
    <n v="8"/>
    <n v="0.2"/>
    <n v="-97.18"/>
  </r>
  <r>
    <n v="503"/>
    <s v="CA-2023-166695"/>
    <x v="108"/>
    <x v="111"/>
    <s v="Standard Class"/>
    <s v="CC-12430"/>
    <s v="Chuck Clark"/>
    <x v="1"/>
    <x v="1"/>
    <s v="Vancouver"/>
    <x v="41"/>
    <s v="V6Z"/>
    <s v="West"/>
    <s v="FUR-FU-10002191"/>
    <x v="1"/>
    <x v="8"/>
    <x v="340"/>
    <n v="6.98"/>
    <n v="1"/>
    <n v="0"/>
    <n v="3.35"/>
  </r>
  <r>
    <n v="504"/>
    <s v="CA-2023-166695"/>
    <x v="108"/>
    <x v="111"/>
    <s v="Standard Class"/>
    <s v="CC-12430"/>
    <s v="Chuck Clark"/>
    <x v="1"/>
    <x v="1"/>
    <s v="Vancouver"/>
    <x v="41"/>
    <s v="V6Z"/>
    <s v="West"/>
    <s v="TEC-MA-10003176"/>
    <x v="2"/>
    <x v="15"/>
    <x v="416"/>
    <n v="343.2"/>
    <n v="1"/>
    <n v="0.2"/>
    <n v="38.61"/>
  </r>
  <r>
    <n v="505"/>
    <s v="US-2023-127166"/>
    <x v="109"/>
    <x v="108"/>
    <s v="Second Class"/>
    <s v="KH-16360"/>
    <s v="Katherine Hughes"/>
    <x v="0"/>
    <x v="0"/>
    <s v="Houston"/>
    <x v="0"/>
    <n v="77070"/>
    <s v="Central"/>
    <s v="FUR-CH-10003396"/>
    <x v="1"/>
    <x v="5"/>
    <x v="417"/>
    <n v="107.77200000000001"/>
    <n v="2"/>
    <n v="0.3"/>
    <n v="-29.252400000000009"/>
  </r>
  <r>
    <n v="506"/>
    <s v="US-2023-152443"/>
    <x v="109"/>
    <x v="112"/>
    <s v="Standard Class"/>
    <s v="FG-14260"/>
    <s v="Frank Gastineau"/>
    <x v="1"/>
    <x v="0"/>
    <s v="Lawrence"/>
    <x v="34"/>
    <n v="1841"/>
    <s v="East"/>
    <s v="OFF-AP-10001293"/>
    <x v="0"/>
    <x v="12"/>
    <x v="106"/>
    <n v="245.88"/>
    <n v="6"/>
    <n v="0"/>
    <n v="68.846399999999988"/>
  </r>
  <r>
    <n v="507"/>
    <s v="US-2023-104780"/>
    <x v="109"/>
    <x v="113"/>
    <s v="Standard Class"/>
    <s v="BT-11530"/>
    <s v="Bradley Talbott"/>
    <x v="1"/>
    <x v="0"/>
    <s v="San Diego"/>
    <x v="5"/>
    <n v="92037"/>
    <s v="West"/>
    <s v="OFF-AR-10003514"/>
    <x v="0"/>
    <x v="4"/>
    <x v="23"/>
    <n v="31.84"/>
    <n v="8"/>
    <n v="0"/>
    <n v="10.507199999999997"/>
  </r>
  <r>
    <n v="508"/>
    <s v="US-2023-127166"/>
    <x v="109"/>
    <x v="108"/>
    <s v="Second Class"/>
    <s v="KH-16360"/>
    <s v="Katherine Hughes"/>
    <x v="0"/>
    <x v="0"/>
    <s v="Houston"/>
    <x v="0"/>
    <n v="77070"/>
    <s v="Central"/>
    <s v="OFF-BI-10000977"/>
    <x v="0"/>
    <x v="1"/>
    <x v="418"/>
    <n v="18.239999999999995"/>
    <n v="3"/>
    <n v="0.8"/>
    <n v="-31.00800000000001"/>
  </r>
  <r>
    <n v="509"/>
    <s v="US-2023-152443"/>
    <x v="109"/>
    <x v="112"/>
    <s v="Standard Class"/>
    <s v="FG-14260"/>
    <s v="Frank Gastineau"/>
    <x v="1"/>
    <x v="0"/>
    <s v="Lawrence"/>
    <x v="34"/>
    <n v="1841"/>
    <s v="East"/>
    <s v="OFF-BI-10001071"/>
    <x v="0"/>
    <x v="1"/>
    <x v="419"/>
    <n v="447.85999999999996"/>
    <n v="7"/>
    <n v="0"/>
    <n v="219.45140000000001"/>
  </r>
  <r>
    <n v="510"/>
    <s v="US-2023-117639"/>
    <x v="109"/>
    <x v="113"/>
    <s v="Standard Class"/>
    <s v="MW-18235"/>
    <s v="Mitch Willingham"/>
    <x v="2"/>
    <x v="0"/>
    <s v="Virginia Beach"/>
    <x v="6"/>
    <n v="23464"/>
    <s v="South"/>
    <s v="OFF-BI-10003925"/>
    <x v="0"/>
    <x v="1"/>
    <x v="420"/>
    <n v="2715.9300000000003"/>
    <n v="7"/>
    <n v="0"/>
    <n v="1276.4871000000001"/>
  </r>
  <r>
    <n v="511"/>
    <s v="US-2023-127166"/>
    <x v="109"/>
    <x v="108"/>
    <s v="Second Class"/>
    <s v="KH-16360"/>
    <s v="Katherine Hughes"/>
    <x v="0"/>
    <x v="0"/>
    <s v="Houston"/>
    <x v="0"/>
    <n v="77070"/>
    <s v="Central"/>
    <s v="OFF-EN-10003134"/>
    <x v="0"/>
    <x v="11"/>
    <x v="27"/>
    <n v="56.063999999999993"/>
    <n v="6"/>
    <n v="0.2"/>
    <n v="21.024000000000001"/>
  </r>
  <r>
    <n v="512"/>
    <s v="US-2023-127166"/>
    <x v="109"/>
    <x v="108"/>
    <s v="Second Class"/>
    <s v="KH-16360"/>
    <s v="Katherine Hughes"/>
    <x v="0"/>
    <x v="0"/>
    <s v="Houston"/>
    <x v="0"/>
    <n v="77070"/>
    <s v="Central"/>
    <s v="OFF-PA-10001560"/>
    <x v="0"/>
    <x v="0"/>
    <x v="421"/>
    <n v="4.8320000000000007"/>
    <n v="1"/>
    <n v="0.2"/>
    <n v="1.6307999999999998"/>
  </r>
  <r>
    <n v="513"/>
    <s v="US-2023-152443"/>
    <x v="109"/>
    <x v="112"/>
    <s v="Standard Class"/>
    <s v="FG-14260"/>
    <s v="Frank Gastineau"/>
    <x v="1"/>
    <x v="0"/>
    <s v="Lawrence"/>
    <x v="34"/>
    <n v="1841"/>
    <s v="East"/>
    <s v="OFF-PA-10003022"/>
    <x v="0"/>
    <x v="0"/>
    <x v="422"/>
    <n v="17.940000000000001"/>
    <n v="3"/>
    <n v="0"/>
    <n v="8.7906000000000013"/>
  </r>
  <r>
    <n v="514"/>
    <s v="US-2023-117639"/>
    <x v="109"/>
    <x v="113"/>
    <s v="Standard Class"/>
    <s v="MW-18235"/>
    <s v="Mitch Willingham"/>
    <x v="2"/>
    <x v="0"/>
    <s v="Virginia Beach"/>
    <x v="6"/>
    <n v="23464"/>
    <s v="South"/>
    <s v="TEC-PH-10001530"/>
    <x v="2"/>
    <x v="7"/>
    <x v="423"/>
    <n v="617.97"/>
    <n v="3"/>
    <n v="0"/>
    <n v="173.0316"/>
  </r>
  <r>
    <n v="515"/>
    <s v="CA-2023-152443"/>
    <x v="109"/>
    <x v="112"/>
    <s v="Standard Class"/>
    <s v="FG-14260"/>
    <s v="Frank Gastineau"/>
    <x v="1"/>
    <x v="1"/>
    <s v="Montreal"/>
    <x v="42"/>
    <s v="H1A"/>
    <s v="East"/>
    <s v="OFF-AP-10001293"/>
    <x v="0"/>
    <x v="12"/>
    <x v="106"/>
    <n v="245.88"/>
    <n v="6"/>
    <n v="0"/>
    <n v="68.846399999999988"/>
  </r>
  <r>
    <n v="516"/>
    <s v="CA-2023-152443"/>
    <x v="109"/>
    <x v="112"/>
    <s v="Standard Class"/>
    <s v="FG-14260"/>
    <s v="Frank Gastineau"/>
    <x v="1"/>
    <x v="1"/>
    <s v="Montreal"/>
    <x v="42"/>
    <s v="H1A"/>
    <s v="East"/>
    <s v="OFF-BI-10001071"/>
    <x v="0"/>
    <x v="1"/>
    <x v="419"/>
    <n v="447.85999999999996"/>
    <n v="7"/>
    <n v="0"/>
    <n v="219.45140000000001"/>
  </r>
  <r>
    <n v="517"/>
    <s v="CA-2023-152443"/>
    <x v="109"/>
    <x v="112"/>
    <s v="Standard Class"/>
    <s v="FG-14260"/>
    <s v="Frank Gastineau"/>
    <x v="1"/>
    <x v="1"/>
    <s v="Montreal"/>
    <x v="42"/>
    <s v="H1A"/>
    <s v="East"/>
    <s v="OFF-PA-10003022"/>
    <x v="0"/>
    <x v="0"/>
    <x v="422"/>
    <n v="17.940000000000001"/>
    <n v="3"/>
    <n v="0"/>
    <n v="8.7906000000000013"/>
  </r>
  <r>
    <n v="518"/>
    <s v="US-2023-143840"/>
    <x v="110"/>
    <x v="114"/>
    <s v="Standard Class"/>
    <s v="EH-14185"/>
    <s v="Evan Henry"/>
    <x v="0"/>
    <x v="0"/>
    <s v="Decatur"/>
    <x v="35"/>
    <n v="35601"/>
    <s v="South"/>
    <s v="TEC-PH-10002660"/>
    <x v="2"/>
    <x v="7"/>
    <x v="424"/>
    <n v="135.97999999999999"/>
    <n v="2"/>
    <n v="0"/>
    <n v="33.995000000000005"/>
  </r>
  <r>
    <n v="519"/>
    <s v="US-2023-143840"/>
    <x v="110"/>
    <x v="114"/>
    <s v="Standard Class"/>
    <s v="EH-14185"/>
    <s v="Evan Henry"/>
    <x v="0"/>
    <x v="0"/>
    <s v="Decatur"/>
    <x v="35"/>
    <n v="35601"/>
    <s v="South"/>
    <s v="TEC-PH-10003171"/>
    <x v="2"/>
    <x v="7"/>
    <x v="425"/>
    <n v="44.95"/>
    <n v="1"/>
    <n v="0"/>
    <n v="12.585999999999999"/>
  </r>
  <r>
    <n v="520"/>
    <s v="US-2023-135881"/>
    <x v="111"/>
    <x v="115"/>
    <s v="Standard Class"/>
    <s v="GT-14710"/>
    <s v="Greg Tran"/>
    <x v="0"/>
    <x v="0"/>
    <s v="New York City"/>
    <x v="21"/>
    <n v="10035"/>
    <s v="East"/>
    <s v="OFF-AP-10002118"/>
    <x v="0"/>
    <x v="12"/>
    <x v="426"/>
    <n v="208.16"/>
    <n v="1"/>
    <n v="0"/>
    <n v="56.20320000000001"/>
  </r>
  <r>
    <n v="521"/>
    <s v="US-2023-105767"/>
    <x v="111"/>
    <x v="115"/>
    <s v="Standard Class"/>
    <s v="AR-10510"/>
    <s v="Andrew Roberts"/>
    <x v="0"/>
    <x v="0"/>
    <s v="Philadelphia"/>
    <x v="2"/>
    <n v="19134"/>
    <s v="East"/>
    <s v="OFF-AR-10001246"/>
    <x v="0"/>
    <x v="4"/>
    <x v="427"/>
    <n v="21.167999999999999"/>
    <n v="9"/>
    <n v="0.2"/>
    <n v="2.3813999999999984"/>
  </r>
  <r>
    <n v="522"/>
    <s v="US-2023-135881"/>
    <x v="111"/>
    <x v="115"/>
    <s v="Standard Class"/>
    <s v="GT-14710"/>
    <s v="Greg Tran"/>
    <x v="0"/>
    <x v="0"/>
    <s v="New York City"/>
    <x v="21"/>
    <n v="10035"/>
    <s v="East"/>
    <s v="OFF-BI-10000829"/>
    <x v="0"/>
    <x v="1"/>
    <x v="268"/>
    <n v="17.96"/>
    <n v="5"/>
    <n v="0.2"/>
    <n v="5.8369999999999997"/>
  </r>
  <r>
    <n v="523"/>
    <s v="US-2023-105767"/>
    <x v="111"/>
    <x v="115"/>
    <s v="Standard Class"/>
    <s v="AR-10510"/>
    <s v="Andrew Roberts"/>
    <x v="0"/>
    <x v="0"/>
    <s v="Philadelphia"/>
    <x v="2"/>
    <n v="19134"/>
    <s v="East"/>
    <s v="OFF-BI-10000848"/>
    <x v="0"/>
    <x v="1"/>
    <x v="428"/>
    <n v="3.2820000000000005"/>
    <n v="2"/>
    <n v="0.7"/>
    <n v="-2.6256000000000004"/>
  </r>
  <r>
    <n v="524"/>
    <s v="US-2023-138513"/>
    <x v="111"/>
    <x v="115"/>
    <s v="Standard Class"/>
    <s v="EH-13990"/>
    <s v="Erica Hackney"/>
    <x v="0"/>
    <x v="0"/>
    <s v="Bellevue"/>
    <x v="23"/>
    <n v="98006"/>
    <s v="West"/>
    <s v="OFF-PA-10003177"/>
    <x v="0"/>
    <x v="0"/>
    <x v="429"/>
    <n v="12.96"/>
    <n v="2"/>
    <n v="0"/>
    <n v="6.2208000000000006"/>
  </r>
  <r>
    <n v="525"/>
    <s v="US-2023-135881"/>
    <x v="111"/>
    <x v="115"/>
    <s v="Standard Class"/>
    <s v="GT-14710"/>
    <s v="Greg Tran"/>
    <x v="0"/>
    <x v="0"/>
    <s v="New York City"/>
    <x v="21"/>
    <n v="10035"/>
    <s v="East"/>
    <s v="OFF-SU-10003002"/>
    <x v="0"/>
    <x v="14"/>
    <x v="430"/>
    <n v="5.04"/>
    <n v="2"/>
    <n v="0"/>
    <n v="0.15120000000000022"/>
  </r>
  <r>
    <n v="526"/>
    <s v="US-2023-105767"/>
    <x v="111"/>
    <x v="115"/>
    <s v="Standard Class"/>
    <s v="AR-10510"/>
    <s v="Andrew Roberts"/>
    <x v="0"/>
    <x v="0"/>
    <s v="Philadelphia"/>
    <x v="2"/>
    <n v="19134"/>
    <s v="East"/>
    <s v="TEC-PH-10003092"/>
    <x v="2"/>
    <x v="7"/>
    <x v="431"/>
    <n v="55.188000000000002"/>
    <n v="2"/>
    <n v="0.4"/>
    <n v="-10.117800000000003"/>
  </r>
  <r>
    <n v="527"/>
    <s v="US-2023-143413"/>
    <x v="112"/>
    <x v="116"/>
    <s v="Standard Class"/>
    <s v="RP-19390"/>
    <s v="Resi Pölking"/>
    <x v="0"/>
    <x v="0"/>
    <s v="Baltimore"/>
    <x v="38"/>
    <n v="21215"/>
    <s v="East"/>
    <s v="OFF-PA-10002319"/>
    <x v="0"/>
    <x v="0"/>
    <x v="432"/>
    <n v="116.28"/>
    <n v="3"/>
    <n v="0"/>
    <n v="56.977199999999996"/>
  </r>
  <r>
    <n v="528"/>
    <s v="US-2023-130379"/>
    <x v="113"/>
    <x v="114"/>
    <s v="Standard Class"/>
    <s v="JL-15235"/>
    <s v="Janet Lee"/>
    <x v="0"/>
    <x v="0"/>
    <s v="Chicago"/>
    <x v="1"/>
    <n v="60623"/>
    <s v="Central"/>
    <s v="FUR-FU-10002553"/>
    <x v="1"/>
    <x v="8"/>
    <x v="433"/>
    <n v="29.32"/>
    <n v="2"/>
    <n v="0.6"/>
    <n v="-24.188999999999993"/>
  </r>
  <r>
    <n v="529"/>
    <s v="US-2023-130379"/>
    <x v="113"/>
    <x v="114"/>
    <s v="Standard Class"/>
    <s v="JL-15235"/>
    <s v="Janet Lee"/>
    <x v="0"/>
    <x v="0"/>
    <s v="Chicago"/>
    <x v="1"/>
    <n v="60623"/>
    <s v="Central"/>
    <s v="OFF-AP-10001394"/>
    <x v="0"/>
    <x v="12"/>
    <x v="434"/>
    <n v="75.59999999999998"/>
    <n v="2"/>
    <n v="0.8"/>
    <n v="-166.32000000000005"/>
  </r>
  <r>
    <n v="530"/>
    <s v="US-2023-100391"/>
    <x v="113"/>
    <x v="114"/>
    <s v="Standard Class"/>
    <s v="BW-11065"/>
    <s v="Barry Weirich"/>
    <x v="0"/>
    <x v="0"/>
    <s v="New York City"/>
    <x v="21"/>
    <n v="10035"/>
    <s v="East"/>
    <s v="OFF-PA-10001471"/>
    <x v="0"/>
    <x v="0"/>
    <x v="435"/>
    <n v="14.62"/>
    <n v="2"/>
    <n v="0"/>
    <n v="6.7251999999999992"/>
  </r>
  <r>
    <n v="531"/>
    <s v="US-2023-156349"/>
    <x v="114"/>
    <x v="116"/>
    <s v="Standard Class"/>
    <s v="ML-17395"/>
    <s v="Marina Lichtenstein"/>
    <x v="2"/>
    <x v="0"/>
    <s v="Los Angeles"/>
    <x v="5"/>
    <n v="90008"/>
    <s v="West"/>
    <s v="FUR-BO-10000362"/>
    <x v="1"/>
    <x v="10"/>
    <x v="436"/>
    <n v="290.666"/>
    <n v="2"/>
    <n v="0.15"/>
    <n v="27.356800000000007"/>
  </r>
  <r>
    <n v="532"/>
    <s v="US-2023-158029"/>
    <x v="114"/>
    <x v="116"/>
    <s v="Standard Class"/>
    <s v="HF-14995"/>
    <s v="Herbert Flentye"/>
    <x v="0"/>
    <x v="0"/>
    <s v="Los Angeles"/>
    <x v="5"/>
    <n v="90008"/>
    <s v="West"/>
    <s v="FUR-CH-10000988"/>
    <x v="1"/>
    <x v="5"/>
    <x v="437"/>
    <n v="225.29600000000002"/>
    <n v="2"/>
    <n v="0.2"/>
    <n v="22.529599999999995"/>
  </r>
  <r>
    <n v="533"/>
    <s v="US-2023-144029"/>
    <x v="114"/>
    <x v="117"/>
    <s v="Standard Class"/>
    <s v="MM-18055"/>
    <s v="Michelle Moray"/>
    <x v="0"/>
    <x v="0"/>
    <s v="Chicago"/>
    <x v="1"/>
    <n v="60623"/>
    <s v="Central"/>
    <s v="FUR-CH-10003981"/>
    <x v="1"/>
    <x v="5"/>
    <x v="438"/>
    <n v="359.77199999999999"/>
    <n v="2"/>
    <n v="0.3"/>
    <n v="-5.1396000000000583"/>
  </r>
  <r>
    <n v="534"/>
    <s v="US-2023-144029"/>
    <x v="114"/>
    <x v="117"/>
    <s v="Standard Class"/>
    <s v="MM-18055"/>
    <s v="Michelle Moray"/>
    <x v="0"/>
    <x v="0"/>
    <s v="Chicago"/>
    <x v="1"/>
    <n v="60623"/>
    <s v="Central"/>
    <s v="OFF-AR-10000716"/>
    <x v="0"/>
    <x v="4"/>
    <x v="389"/>
    <n v="13.392000000000001"/>
    <n v="3"/>
    <n v="0.2"/>
    <n v="3.1806000000000005"/>
  </r>
  <r>
    <n v="535"/>
    <s v="US-2023-129574"/>
    <x v="114"/>
    <x v="114"/>
    <s v="First Class"/>
    <s v="Dp-13240"/>
    <s v="Dean percer"/>
    <x v="1"/>
    <x v="0"/>
    <s v="Murray"/>
    <x v="29"/>
    <n v="84107"/>
    <s v="West"/>
    <s v="OFF-PA-10002893"/>
    <x v="0"/>
    <x v="0"/>
    <x v="54"/>
    <n v="48.4"/>
    <n v="5"/>
    <n v="0"/>
    <n v="23.231999999999999"/>
  </r>
  <r>
    <n v="536"/>
    <s v="US-2023-144029"/>
    <x v="114"/>
    <x v="117"/>
    <s v="Standard Class"/>
    <s v="MM-18055"/>
    <s v="Michelle Moray"/>
    <x v="0"/>
    <x v="0"/>
    <s v="Chicago"/>
    <x v="1"/>
    <n v="60623"/>
    <s v="Central"/>
    <s v="OFF-ST-10001837"/>
    <x v="0"/>
    <x v="3"/>
    <x v="439"/>
    <n v="102.624"/>
    <n v="3"/>
    <n v="0.2"/>
    <n v="7.6968000000000032"/>
  </r>
  <r>
    <n v="537"/>
    <s v="US-2023-156349"/>
    <x v="114"/>
    <x v="116"/>
    <s v="Standard Class"/>
    <s v="ML-17395"/>
    <s v="Marina Lichtenstein"/>
    <x v="2"/>
    <x v="0"/>
    <s v="Los Angeles"/>
    <x v="5"/>
    <n v="90008"/>
    <s v="West"/>
    <s v="TEC-PH-10000441"/>
    <x v="2"/>
    <x v="7"/>
    <x v="440"/>
    <n v="201.584"/>
    <n v="2"/>
    <n v="0.2"/>
    <n v="20.158400000000015"/>
  </r>
  <r>
    <n v="538"/>
    <s v="US-2023-156349"/>
    <x v="114"/>
    <x v="116"/>
    <s v="Standard Class"/>
    <s v="ML-17395"/>
    <s v="Marina Lichtenstein"/>
    <x v="2"/>
    <x v="0"/>
    <s v="Los Angeles"/>
    <x v="5"/>
    <n v="90008"/>
    <s v="West"/>
    <s v="TEC-PH-10002726"/>
    <x v="2"/>
    <x v="7"/>
    <x v="441"/>
    <n v="83.984000000000009"/>
    <n v="2"/>
    <n v="0.2"/>
    <n v="31.494"/>
  </r>
  <r>
    <n v="539"/>
    <s v="US-2023-124429"/>
    <x v="115"/>
    <x v="115"/>
    <s v="Same Day"/>
    <s v="MH-17785"/>
    <s v="Maya Herman"/>
    <x v="2"/>
    <x v="0"/>
    <s v="San Diego"/>
    <x v="5"/>
    <n v="92105"/>
    <s v="West"/>
    <s v="FUR-TA-10002607"/>
    <x v="1"/>
    <x v="13"/>
    <x v="442"/>
    <n v="567.12"/>
    <n v="10"/>
    <n v="0.2"/>
    <n v="-28.355999999999952"/>
  </r>
  <r>
    <n v="540"/>
    <s v="US-2023-117058"/>
    <x v="115"/>
    <x v="116"/>
    <s v="First Class"/>
    <s v="LE-16810"/>
    <s v="Laurel Elliston"/>
    <x v="0"/>
    <x v="0"/>
    <s v="Chicago"/>
    <x v="1"/>
    <n v="60653"/>
    <s v="Central"/>
    <s v="OFF-BI-10004139"/>
    <x v="0"/>
    <x v="1"/>
    <x v="443"/>
    <n v="17.459999999999997"/>
    <n v="6"/>
    <n v="0.8"/>
    <n v="-30.555000000000007"/>
  </r>
  <r>
    <n v="541"/>
    <s v="US-2023-124429"/>
    <x v="115"/>
    <x v="115"/>
    <s v="Same Day"/>
    <s v="MH-17785"/>
    <s v="Maya Herman"/>
    <x v="2"/>
    <x v="0"/>
    <s v="San Diego"/>
    <x v="5"/>
    <n v="92105"/>
    <s v="West"/>
    <s v="OFF-ST-10001809"/>
    <x v="0"/>
    <x v="3"/>
    <x v="444"/>
    <n v="359.32"/>
    <n v="4"/>
    <n v="0"/>
    <n v="7.1863999999999919"/>
  </r>
  <r>
    <n v="542"/>
    <s v="US-2023-139192"/>
    <x v="115"/>
    <x v="118"/>
    <s v="Second Class"/>
    <s v="LC-16885"/>
    <s v="Lena Creighton"/>
    <x v="0"/>
    <x v="0"/>
    <s v="San Francisco"/>
    <x v="5"/>
    <n v="94109"/>
    <s v="West"/>
    <s v="TEC-AC-10001606"/>
    <x v="2"/>
    <x v="9"/>
    <x v="445"/>
    <n v="99.99"/>
    <n v="1"/>
    <n v="0"/>
    <n v="37.996200000000002"/>
  </r>
  <r>
    <n v="543"/>
    <s v="US-2023-139192"/>
    <x v="115"/>
    <x v="118"/>
    <s v="Second Class"/>
    <s v="LC-16885"/>
    <s v="Lena Creighton"/>
    <x v="0"/>
    <x v="0"/>
    <s v="San Francisco"/>
    <x v="5"/>
    <n v="94109"/>
    <s v="West"/>
    <s v="TEC-PH-10000486"/>
    <x v="2"/>
    <x v="7"/>
    <x v="446"/>
    <n v="1113.5039999999999"/>
    <n v="12"/>
    <n v="0.2"/>
    <n v="125.2691999999999"/>
  </r>
  <r>
    <n v="544"/>
    <s v="US-2023-108861"/>
    <x v="116"/>
    <x v="118"/>
    <s v="Standard Class"/>
    <s v="MM-17260"/>
    <s v="Magdelene Morse"/>
    <x v="0"/>
    <x v="0"/>
    <s v="Seattle"/>
    <x v="23"/>
    <n v="98105"/>
    <s v="West"/>
    <s v="OFF-BI-10003876"/>
    <x v="0"/>
    <x v="1"/>
    <x v="447"/>
    <n v="136.96"/>
    <n v="4"/>
    <n v="0.2"/>
    <n v="51.359999999999992"/>
  </r>
  <r>
    <n v="545"/>
    <s v="US-2023-135993"/>
    <x v="116"/>
    <x v="119"/>
    <s v="Standard Class"/>
    <s v="PJ-18835"/>
    <s v="Patrick Jones"/>
    <x v="2"/>
    <x v="0"/>
    <s v="Seattle"/>
    <x v="23"/>
    <n v="98115"/>
    <s v="West"/>
    <s v="TEC-AC-10004877"/>
    <x v="2"/>
    <x v="9"/>
    <x v="172"/>
    <n v="27.6"/>
    <n v="4"/>
    <n v="0"/>
    <n v="2.2079999999999984"/>
  </r>
  <r>
    <n v="546"/>
    <s v="US-2023-135993"/>
    <x v="116"/>
    <x v="119"/>
    <s v="Standard Class"/>
    <s v="PJ-18835"/>
    <s v="Patrick Jones"/>
    <x v="2"/>
    <x v="0"/>
    <s v="Seattle"/>
    <x v="23"/>
    <n v="98115"/>
    <s v="West"/>
    <s v="TEC-PH-10001552"/>
    <x v="2"/>
    <x v="7"/>
    <x v="448"/>
    <n v="57.408000000000008"/>
    <n v="6"/>
    <n v="0.2"/>
    <n v="5.7408000000000019"/>
  </r>
  <r>
    <n v="547"/>
    <s v="US-2023-145800"/>
    <x v="117"/>
    <x v="120"/>
    <s v="Standard Class"/>
    <s v="SS-20410"/>
    <s v="Shahid Shariari"/>
    <x v="0"/>
    <x v="0"/>
    <s v="Buffalo Grove"/>
    <x v="1"/>
    <n v="60089"/>
    <s v="Central"/>
    <s v="FUR-TA-10001539"/>
    <x v="1"/>
    <x v="13"/>
    <x v="449"/>
    <n v="355.45499999999998"/>
    <n v="3"/>
    <n v="0.5"/>
    <n v="-184.83660000000003"/>
  </r>
  <r>
    <n v="548"/>
    <s v="US-2023-103429"/>
    <x v="117"/>
    <x v="118"/>
    <s v="First Class"/>
    <s v="LW-16825"/>
    <s v="Laurel Workman"/>
    <x v="2"/>
    <x v="0"/>
    <s v="New York City"/>
    <x v="21"/>
    <n v="10024"/>
    <s v="East"/>
    <s v="OFF-AP-10001005"/>
    <x v="0"/>
    <x v="12"/>
    <x v="450"/>
    <n v="235.95000000000002"/>
    <n v="3"/>
    <n v="0"/>
    <n v="77.863499999999988"/>
  </r>
  <r>
    <n v="549"/>
    <s v="US-2023-105872"/>
    <x v="117"/>
    <x v="121"/>
    <s v="Standard Class"/>
    <s v="JG-15160"/>
    <s v="James Galang"/>
    <x v="0"/>
    <x v="0"/>
    <s v="New York City"/>
    <x v="21"/>
    <n v="10024"/>
    <s v="East"/>
    <s v="OFF-BI-10003684"/>
    <x v="0"/>
    <x v="1"/>
    <x v="379"/>
    <n v="70.367999999999995"/>
    <n v="4"/>
    <n v="0.2"/>
    <n v="26.387999999999998"/>
  </r>
  <r>
    <n v="550"/>
    <s v="US-2023-103429"/>
    <x v="117"/>
    <x v="118"/>
    <s v="First Class"/>
    <s v="LW-16825"/>
    <s v="Laurel Workman"/>
    <x v="2"/>
    <x v="0"/>
    <s v="New York City"/>
    <x v="21"/>
    <n v="10024"/>
    <s v="East"/>
    <s v="OFF-BI-10004233"/>
    <x v="0"/>
    <x v="1"/>
    <x v="451"/>
    <n v="25.584000000000003"/>
    <n v="2"/>
    <n v="0.2"/>
    <n v="8.9543999999999997"/>
  </r>
  <r>
    <n v="551"/>
    <s v="US-2023-146885"/>
    <x v="117"/>
    <x v="120"/>
    <s v="Standard Class"/>
    <s v="EB-13840"/>
    <s v="Ellis Ballard"/>
    <x v="2"/>
    <x v="0"/>
    <s v="Richmond"/>
    <x v="6"/>
    <n v="23223"/>
    <s v="South"/>
    <s v="OFF-PA-10001622"/>
    <x v="0"/>
    <x v="0"/>
    <x v="452"/>
    <n v="13.620000000000001"/>
    <n v="3"/>
    <n v="0"/>
    <n v="6.1289999999999996"/>
  </r>
  <r>
    <n v="552"/>
    <s v="US-2023-103429"/>
    <x v="117"/>
    <x v="118"/>
    <s v="First Class"/>
    <s v="LW-16825"/>
    <s v="Laurel Workman"/>
    <x v="2"/>
    <x v="0"/>
    <s v="New York City"/>
    <x v="21"/>
    <n v="10024"/>
    <s v="East"/>
    <s v="OFF-PA-10001712"/>
    <x v="0"/>
    <x v="0"/>
    <x v="453"/>
    <n v="39.96"/>
    <n v="4"/>
    <n v="0"/>
    <n v="17.981999999999999"/>
  </r>
  <r>
    <n v="553"/>
    <s v="US-2023-140473"/>
    <x v="117"/>
    <x v="122"/>
    <s v="Standard Class"/>
    <s v="MC-17425"/>
    <s v="Mark Cousins"/>
    <x v="2"/>
    <x v="0"/>
    <s v="Chicago"/>
    <x v="1"/>
    <n v="60623"/>
    <s v="Central"/>
    <s v="TEC-CO-10004202"/>
    <x v="2"/>
    <x v="16"/>
    <x v="365"/>
    <n v="719.97600000000011"/>
    <n v="3"/>
    <n v="0.2"/>
    <n v="134.99549999999999"/>
  </r>
  <r>
    <n v="554"/>
    <s v="US-2023-103429"/>
    <x v="117"/>
    <x v="118"/>
    <s v="First Class"/>
    <s v="LW-16825"/>
    <s v="Laurel Workman"/>
    <x v="2"/>
    <x v="0"/>
    <s v="New York City"/>
    <x v="21"/>
    <n v="10024"/>
    <s v="East"/>
    <s v="TEC-PH-10003505"/>
    <x v="2"/>
    <x v="7"/>
    <x v="454"/>
    <n v="464"/>
    <n v="5"/>
    <n v="0"/>
    <n v="134.55999999999995"/>
  </r>
  <r>
    <n v="555"/>
    <s v="US-2023-166051"/>
    <x v="118"/>
    <x v="120"/>
    <s v="Standard Class"/>
    <s v="JK-15625"/>
    <s v="Jim Karlsson"/>
    <x v="0"/>
    <x v="0"/>
    <s v="Jackson"/>
    <x v="31"/>
    <n v="39212"/>
    <s v="South"/>
    <s v="TEC-PH-10002538"/>
    <x v="2"/>
    <x v="7"/>
    <x v="455"/>
    <n v="113.72999999999999"/>
    <n v="3"/>
    <n v="0"/>
    <n v="32.981699999999989"/>
  </r>
  <r>
    <n v="556"/>
    <s v="US-2023-166051"/>
    <x v="118"/>
    <x v="120"/>
    <s v="Standard Class"/>
    <s v="JK-15625"/>
    <s v="Jim Karlsson"/>
    <x v="0"/>
    <x v="0"/>
    <s v="Jackson"/>
    <x v="31"/>
    <n v="39212"/>
    <s v="South"/>
    <s v="TEC-PH-10002680"/>
    <x v="2"/>
    <x v="7"/>
    <x v="456"/>
    <n v="659.97"/>
    <n v="3"/>
    <n v="0"/>
    <n v="197.99099999999996"/>
  </r>
  <r>
    <n v="557"/>
    <s v="US-2023-131926"/>
    <x v="119"/>
    <x v="121"/>
    <s v="Second Class"/>
    <s v="DW-13480"/>
    <s v="Dianna Wilson"/>
    <x v="1"/>
    <x v="0"/>
    <s v="Lakeville"/>
    <x v="30"/>
    <n v="55044"/>
    <s v="Central"/>
    <s v="FUR-CH-10004063"/>
    <x v="1"/>
    <x v="5"/>
    <x v="5"/>
    <n v="2001.8600000000001"/>
    <n v="7"/>
    <n v="0"/>
    <n v="580.53939999999989"/>
  </r>
  <r>
    <n v="558"/>
    <s v="US-2023-165659"/>
    <x v="119"/>
    <x v="121"/>
    <s v="Standard Class"/>
    <s v="LT-17110"/>
    <s v="Liz Thompson"/>
    <x v="0"/>
    <x v="0"/>
    <s v="Little Rock"/>
    <x v="13"/>
    <n v="72209"/>
    <s v="South"/>
    <s v="FUR-FU-10001935"/>
    <x v="1"/>
    <x v="8"/>
    <x v="457"/>
    <n v="22.200000000000003"/>
    <n v="6"/>
    <n v="0"/>
    <n v="9.1020000000000021"/>
  </r>
  <r>
    <n v="559"/>
    <s v="US-2023-131926"/>
    <x v="119"/>
    <x v="121"/>
    <s v="Second Class"/>
    <s v="DW-13480"/>
    <s v="Dianna Wilson"/>
    <x v="1"/>
    <x v="0"/>
    <s v="Lakeville"/>
    <x v="30"/>
    <n v="55044"/>
    <s v="Central"/>
    <s v="OFF-AP-10002945"/>
    <x v="0"/>
    <x v="12"/>
    <x v="458"/>
    <n v="1503.25"/>
    <n v="5"/>
    <n v="0"/>
    <n v="496.07249999999993"/>
  </r>
  <r>
    <n v="560"/>
    <s v="US-2023-157070"/>
    <x v="119"/>
    <x v="121"/>
    <s v="Standard Class"/>
    <s v="QJ-19255"/>
    <s v="Quincy Jones"/>
    <x v="2"/>
    <x v="0"/>
    <s v="Detroit"/>
    <x v="14"/>
    <n v="48234"/>
    <s v="Central"/>
    <s v="OFF-AP-10004859"/>
    <x v="0"/>
    <x v="12"/>
    <x v="459"/>
    <n v="65.52000000000001"/>
    <n v="5"/>
    <n v="0.1"/>
    <n v="12.376000000000001"/>
  </r>
  <r>
    <n v="561"/>
    <s v="US-2023-111003"/>
    <x v="119"/>
    <x v="121"/>
    <s v="Standard Class"/>
    <s v="CR-12625"/>
    <s v="Corey Roper"/>
    <x v="1"/>
    <x v="0"/>
    <s v="Lakewood"/>
    <x v="24"/>
    <n v="8701"/>
    <s v="East"/>
    <s v="OFF-AR-10002135"/>
    <x v="0"/>
    <x v="4"/>
    <x v="460"/>
    <n v="289.20000000000005"/>
    <n v="6"/>
    <n v="0"/>
    <n v="83.867999999999967"/>
  </r>
  <r>
    <n v="562"/>
    <s v="US-2023-111003"/>
    <x v="119"/>
    <x v="121"/>
    <s v="Standard Class"/>
    <s v="CR-12625"/>
    <s v="Corey Roper"/>
    <x v="1"/>
    <x v="0"/>
    <s v="Lakewood"/>
    <x v="24"/>
    <n v="8701"/>
    <s v="East"/>
    <s v="OFF-BI-10001072"/>
    <x v="0"/>
    <x v="1"/>
    <x v="461"/>
    <n v="45.480000000000004"/>
    <n v="3"/>
    <n v="0"/>
    <n v="20.9208"/>
  </r>
  <r>
    <n v="563"/>
    <s v="US-2023-157070"/>
    <x v="119"/>
    <x v="121"/>
    <s v="Standard Class"/>
    <s v="QJ-19255"/>
    <s v="Quincy Jones"/>
    <x v="2"/>
    <x v="0"/>
    <s v="Detroit"/>
    <x v="14"/>
    <n v="48234"/>
    <s v="Central"/>
    <s v="OFF-BI-10001765"/>
    <x v="0"/>
    <x v="1"/>
    <x v="462"/>
    <n v="138.56"/>
    <n v="4"/>
    <n v="0"/>
    <n v="66.508799999999994"/>
  </r>
  <r>
    <n v="564"/>
    <s v="US-2023-131926"/>
    <x v="119"/>
    <x v="121"/>
    <s v="Second Class"/>
    <s v="DW-13480"/>
    <s v="Dianna Wilson"/>
    <x v="1"/>
    <x v="0"/>
    <s v="Lakeville"/>
    <x v="30"/>
    <n v="55044"/>
    <s v="Central"/>
    <s v="OFF-PA-10000061"/>
    <x v="0"/>
    <x v="0"/>
    <x v="463"/>
    <n v="25.92"/>
    <n v="4"/>
    <n v="0"/>
    <n v="12.441600000000001"/>
  </r>
  <r>
    <n v="565"/>
    <s v="US-2023-131926"/>
    <x v="119"/>
    <x v="121"/>
    <s v="Second Class"/>
    <s v="DW-13480"/>
    <s v="Dianna Wilson"/>
    <x v="1"/>
    <x v="0"/>
    <s v="Lakeville"/>
    <x v="30"/>
    <n v="55044"/>
    <s v="Central"/>
    <s v="OFF-PA-10004082"/>
    <x v="0"/>
    <x v="0"/>
    <x v="464"/>
    <n v="47.88"/>
    <n v="6"/>
    <n v="0"/>
    <n v="23.94"/>
  </r>
  <r>
    <n v="566"/>
    <s v="US-2023-131926"/>
    <x v="119"/>
    <x v="121"/>
    <s v="Second Class"/>
    <s v="DW-13480"/>
    <s v="Dianna Wilson"/>
    <x v="1"/>
    <x v="0"/>
    <s v="Lakeville"/>
    <x v="30"/>
    <n v="55044"/>
    <s v="Central"/>
    <s v="OFF-ST-10002276"/>
    <x v="0"/>
    <x v="3"/>
    <x v="465"/>
    <n v="166.72"/>
    <n v="2"/>
    <n v="0"/>
    <n v="41.680000000000007"/>
  </r>
  <r>
    <n v="567"/>
    <s v="US-2023-165659"/>
    <x v="119"/>
    <x v="121"/>
    <s v="Standard Class"/>
    <s v="LT-17110"/>
    <s v="Liz Thompson"/>
    <x v="0"/>
    <x v="0"/>
    <s v="Little Rock"/>
    <x v="13"/>
    <n v="72209"/>
    <s v="South"/>
    <s v="TEC-PH-10002563"/>
    <x v="2"/>
    <x v="7"/>
    <x v="466"/>
    <n v="881.93"/>
    <n v="7"/>
    <n v="0"/>
    <n v="229.30180000000001"/>
  </r>
  <r>
    <n v="568"/>
    <s v="US-2023-104472"/>
    <x v="120"/>
    <x v="123"/>
    <s v="Standard Class"/>
    <s v="CK-12325"/>
    <s v="Christine Kargatis"/>
    <x v="1"/>
    <x v="0"/>
    <s v="Orem"/>
    <x v="29"/>
    <n v="84057"/>
    <s v="West"/>
    <s v="FUR-FU-10000246"/>
    <x v="1"/>
    <x v="8"/>
    <x v="467"/>
    <n v="73.320000000000007"/>
    <n v="6"/>
    <n v="0"/>
    <n v="21.995999999999992"/>
  </r>
  <r>
    <n v="569"/>
    <s v="US-2023-100895"/>
    <x v="120"/>
    <x v="121"/>
    <s v="Standard Class"/>
    <s v="SV-20785"/>
    <s v="Stewart Visinsky"/>
    <x v="0"/>
    <x v="0"/>
    <s v="Roswell"/>
    <x v="4"/>
    <n v="30076"/>
    <s v="South"/>
    <s v="OFF-AR-10004511"/>
    <x v="0"/>
    <x v="4"/>
    <x v="414"/>
    <n v="8.56"/>
    <n v="2"/>
    <n v="0"/>
    <n v="2.6536"/>
  </r>
  <r>
    <n v="570"/>
    <s v="US-2023-104472"/>
    <x v="120"/>
    <x v="123"/>
    <s v="Standard Class"/>
    <s v="CK-12325"/>
    <s v="Christine Kargatis"/>
    <x v="1"/>
    <x v="0"/>
    <s v="Orem"/>
    <x v="29"/>
    <n v="84057"/>
    <s v="West"/>
    <s v="OFF-BI-10001658"/>
    <x v="0"/>
    <x v="1"/>
    <x v="468"/>
    <n v="59.808000000000007"/>
    <n v="3"/>
    <n v="0.2"/>
    <n v="19.4376"/>
  </r>
  <r>
    <n v="571"/>
    <s v="US-2023-100895"/>
    <x v="120"/>
    <x v="121"/>
    <s v="Standard Class"/>
    <s v="SV-20785"/>
    <s v="Stewart Visinsky"/>
    <x v="0"/>
    <x v="0"/>
    <s v="Roswell"/>
    <x v="4"/>
    <n v="30076"/>
    <s v="South"/>
    <s v="OFF-ST-10001490"/>
    <x v="0"/>
    <x v="3"/>
    <x v="178"/>
    <n v="356.94"/>
    <n v="2"/>
    <n v="0"/>
    <n v="107.08199999999997"/>
  </r>
  <r>
    <n v="572"/>
    <s v="US-2023-100895"/>
    <x v="120"/>
    <x v="121"/>
    <s v="Standard Class"/>
    <s v="SV-20785"/>
    <s v="Stewart Visinsky"/>
    <x v="0"/>
    <x v="0"/>
    <s v="Roswell"/>
    <x v="4"/>
    <n v="30076"/>
    <s v="South"/>
    <s v="TEC-PH-10001425"/>
    <x v="2"/>
    <x v="7"/>
    <x v="469"/>
    <n v="239.96999999999997"/>
    <n v="3"/>
    <n v="0"/>
    <n v="67.191599999999994"/>
  </r>
  <r>
    <n v="573"/>
    <s v="US-2023-163867"/>
    <x v="121"/>
    <x v="121"/>
    <s v="First Class"/>
    <s v="RE-19450"/>
    <s v="Richard Eichhorn"/>
    <x v="0"/>
    <x v="0"/>
    <s v="Decatur"/>
    <x v="1"/>
    <n v="62521"/>
    <s v="Central"/>
    <s v="FUR-FU-10001475"/>
    <x v="1"/>
    <x v="8"/>
    <x v="470"/>
    <n v="61.543999999999997"/>
    <n v="7"/>
    <n v="0.6"/>
    <n v="-40.003599999999999"/>
  </r>
  <r>
    <n v="574"/>
    <s v="US-2023-135657"/>
    <x v="121"/>
    <x v="123"/>
    <s v="Second Class"/>
    <s v="SC-20725"/>
    <s v="Steven Cartwright"/>
    <x v="0"/>
    <x v="0"/>
    <s v="Seattle"/>
    <x v="23"/>
    <n v="98115"/>
    <s v="West"/>
    <s v="FUR-TA-10004086"/>
    <x v="1"/>
    <x v="13"/>
    <x v="285"/>
    <n v="515.88"/>
    <n v="6"/>
    <n v="0"/>
    <n v="113.49359999999999"/>
  </r>
  <r>
    <n v="575"/>
    <s v="US-2023-141299"/>
    <x v="121"/>
    <x v="123"/>
    <s v="Second Class"/>
    <s v="RB-19795"/>
    <s v="Ross Baird"/>
    <x v="1"/>
    <x v="0"/>
    <s v="Midland"/>
    <x v="14"/>
    <n v="48640"/>
    <s v="Central"/>
    <s v="OFF-EN-10004459"/>
    <x v="0"/>
    <x v="11"/>
    <x v="471"/>
    <n v="15.28"/>
    <n v="2"/>
    <n v="0"/>
    <n v="7.4871999999999996"/>
  </r>
  <r>
    <n v="576"/>
    <s v="US-2023-163867"/>
    <x v="121"/>
    <x v="121"/>
    <s v="First Class"/>
    <s v="RE-19450"/>
    <s v="Richard Eichhorn"/>
    <x v="0"/>
    <x v="0"/>
    <s v="Decatur"/>
    <x v="1"/>
    <n v="62521"/>
    <s v="Central"/>
    <s v="OFF-LA-10001771"/>
    <x v="0"/>
    <x v="2"/>
    <x v="472"/>
    <n v="15.936000000000002"/>
    <n v="4"/>
    <n v="0.2"/>
    <n v="5.1791999999999998"/>
  </r>
  <r>
    <n v="577"/>
    <s v="US-2023-163867"/>
    <x v="121"/>
    <x v="121"/>
    <s v="First Class"/>
    <s v="RE-19450"/>
    <s v="Richard Eichhorn"/>
    <x v="0"/>
    <x v="0"/>
    <s v="Decatur"/>
    <x v="1"/>
    <n v="62521"/>
    <s v="Central"/>
    <s v="OFF-ST-10000877"/>
    <x v="0"/>
    <x v="3"/>
    <x v="355"/>
    <n v="132.696"/>
    <n v="3"/>
    <n v="0.2"/>
    <n v="9.9521999999999977"/>
  </r>
  <r>
    <n v="578"/>
    <s v="US-2023-151946"/>
    <x v="122"/>
    <x v="124"/>
    <s v="Standard Class"/>
    <s v="BT-11440"/>
    <s v="Bobby Trafton"/>
    <x v="0"/>
    <x v="0"/>
    <s v="New York City"/>
    <x v="21"/>
    <n v="10035"/>
    <s v="East"/>
    <s v="FUR-BO-10003272"/>
    <x v="1"/>
    <x v="10"/>
    <x v="473"/>
    <n v="353.56799999999998"/>
    <n v="2"/>
    <n v="0.2"/>
    <n v="-44.196000000000026"/>
  </r>
  <r>
    <n v="579"/>
    <s v="US-2023-151946"/>
    <x v="122"/>
    <x v="124"/>
    <s v="Standard Class"/>
    <s v="BT-11440"/>
    <s v="Bobby Trafton"/>
    <x v="0"/>
    <x v="0"/>
    <s v="New York City"/>
    <x v="21"/>
    <n v="10035"/>
    <s v="East"/>
    <s v="FUR-FU-10002191"/>
    <x v="1"/>
    <x v="8"/>
    <x v="340"/>
    <n v="13.96"/>
    <n v="2"/>
    <n v="0"/>
    <n v="6.7008000000000001"/>
  </r>
  <r>
    <n v="580"/>
    <s v="US-2023-151946"/>
    <x v="122"/>
    <x v="124"/>
    <s v="Standard Class"/>
    <s v="BT-11440"/>
    <s v="Bobby Trafton"/>
    <x v="0"/>
    <x v="0"/>
    <s v="New York City"/>
    <x v="21"/>
    <n v="10035"/>
    <s v="East"/>
    <s v="FUR-FU-10002878"/>
    <x v="1"/>
    <x v="8"/>
    <x v="474"/>
    <n v="56.96"/>
    <n v="2"/>
    <n v="0"/>
    <n v="21.075200000000002"/>
  </r>
  <r>
    <n v="581"/>
    <s v="US-2023-151946"/>
    <x v="122"/>
    <x v="124"/>
    <s v="Standard Class"/>
    <s v="BT-11440"/>
    <s v="Bobby Trafton"/>
    <x v="0"/>
    <x v="0"/>
    <s v="New York City"/>
    <x v="21"/>
    <n v="10035"/>
    <s v="East"/>
    <s v="OFF-AP-10001626"/>
    <x v="0"/>
    <x v="12"/>
    <x v="475"/>
    <n v="15.56"/>
    <n v="4"/>
    <n v="0"/>
    <n v="4.0456000000000003"/>
  </r>
  <r>
    <n v="582"/>
    <s v="US-2023-147914"/>
    <x v="122"/>
    <x v="124"/>
    <s v="Standard Class"/>
    <s v="MP-17470"/>
    <s v="Mark Packer"/>
    <x v="1"/>
    <x v="0"/>
    <s v="Columbus"/>
    <x v="9"/>
    <n v="43229"/>
    <s v="East"/>
    <s v="OFF-PA-10001685"/>
    <x v="0"/>
    <x v="0"/>
    <x v="374"/>
    <n v="16.224"/>
    <n v="2"/>
    <n v="0.2"/>
    <n v="5.8812000000000006"/>
  </r>
  <r>
    <n v="583"/>
    <s v="US-2023-159520"/>
    <x v="123"/>
    <x v="125"/>
    <s v="Standard Class"/>
    <s v="GT-14635"/>
    <s v="Grant Thornton"/>
    <x v="2"/>
    <x v="0"/>
    <s v="Long Beach"/>
    <x v="21"/>
    <n v="11561"/>
    <s v="East"/>
    <s v="FUR-TA-10003238"/>
    <x v="1"/>
    <x v="13"/>
    <x v="476"/>
    <n v="991.76400000000012"/>
    <n v="3"/>
    <n v="0.4"/>
    <n v="-347.11740000000009"/>
  </r>
  <r>
    <n v="584"/>
    <s v="US-2023-133270"/>
    <x v="123"/>
    <x v="124"/>
    <s v="First Class"/>
    <s v="BM-11785"/>
    <s v="Bryan Mills"/>
    <x v="0"/>
    <x v="0"/>
    <s v="Rochester"/>
    <x v="21"/>
    <n v="14609"/>
    <s v="East"/>
    <s v="OFF-AR-10002656"/>
    <x v="0"/>
    <x v="4"/>
    <x v="477"/>
    <n v="13.36"/>
    <n v="2"/>
    <n v="0"/>
    <n v="4.9431999999999992"/>
  </r>
  <r>
    <n v="585"/>
    <s v="US-2023-169257"/>
    <x v="123"/>
    <x v="126"/>
    <s v="Standard Class"/>
    <s v="SV-20785"/>
    <s v="Stewart Visinsky"/>
    <x v="0"/>
    <x v="0"/>
    <s v="Jacksonville"/>
    <x v="16"/>
    <n v="32216"/>
    <s v="South"/>
    <s v="OFF-BI-10002557"/>
    <x v="0"/>
    <x v="1"/>
    <x v="478"/>
    <n v="1.3650000000000002"/>
    <n v="1"/>
    <n v="0.7"/>
    <n v="-0.9099999999999997"/>
  </r>
  <r>
    <n v="586"/>
    <s v="US-2023-161305"/>
    <x v="123"/>
    <x v="126"/>
    <s v="Standard Class"/>
    <s v="SB-20170"/>
    <s v="Sarah Bern"/>
    <x v="0"/>
    <x v="0"/>
    <s v="Chicago"/>
    <x v="1"/>
    <n v="60623"/>
    <s v="Central"/>
    <s v="OFF-BI-10002794"/>
    <x v="0"/>
    <x v="1"/>
    <x v="287"/>
    <n v="24.587999999999994"/>
    <n v="3"/>
    <n v="0.8"/>
    <n v="-38.11140000000001"/>
  </r>
  <r>
    <n v="587"/>
    <s v="US-2023-159520"/>
    <x v="123"/>
    <x v="125"/>
    <s v="Standard Class"/>
    <s v="GT-14635"/>
    <s v="Grant Thornton"/>
    <x v="2"/>
    <x v="0"/>
    <s v="Long Beach"/>
    <x v="21"/>
    <n v="11561"/>
    <s v="East"/>
    <s v="OFF-BI-10003982"/>
    <x v="0"/>
    <x v="1"/>
    <x v="479"/>
    <n v="149.54399999999998"/>
    <n v="9"/>
    <n v="0.2"/>
    <n v="50.471099999999993"/>
  </r>
  <r>
    <n v="588"/>
    <s v="US-2023-161305"/>
    <x v="123"/>
    <x v="126"/>
    <s v="Standard Class"/>
    <s v="SB-20170"/>
    <s v="Sarah Bern"/>
    <x v="0"/>
    <x v="0"/>
    <s v="Chicago"/>
    <x v="1"/>
    <n v="60623"/>
    <s v="Central"/>
    <s v="OFF-EN-10000461"/>
    <x v="0"/>
    <x v="11"/>
    <x v="480"/>
    <n v="13.984000000000002"/>
    <n v="2"/>
    <n v="0.2"/>
    <n v="4.7195999999999998"/>
  </r>
  <r>
    <n v="589"/>
    <s v="US-2023-151897"/>
    <x v="123"/>
    <x v="127"/>
    <s v="Standard Class"/>
    <s v="VT-21700"/>
    <s v="Valerie Takahito"/>
    <x v="1"/>
    <x v="0"/>
    <s v="Houston"/>
    <x v="0"/>
    <n v="77070"/>
    <s v="Central"/>
    <s v="OFF-LA-10001074"/>
    <x v="0"/>
    <x v="2"/>
    <x v="36"/>
    <n v="100.24000000000001"/>
    <n v="10"/>
    <n v="0.2"/>
    <n v="33.830999999999989"/>
  </r>
  <r>
    <n v="590"/>
    <s v="US-2023-169257"/>
    <x v="123"/>
    <x v="126"/>
    <s v="Standard Class"/>
    <s v="SV-20785"/>
    <s v="Stewart Visinsky"/>
    <x v="0"/>
    <x v="0"/>
    <s v="Jacksonville"/>
    <x v="16"/>
    <n v="32216"/>
    <s v="South"/>
    <s v="OFF-PA-10002319"/>
    <x v="0"/>
    <x v="0"/>
    <x v="432"/>
    <n v="62.015999999999998"/>
    <n v="2"/>
    <n v="0.2"/>
    <n v="22.480800000000002"/>
  </r>
  <r>
    <n v="591"/>
    <s v="US-2023-159520"/>
    <x v="123"/>
    <x v="125"/>
    <s v="Standard Class"/>
    <s v="GT-14635"/>
    <s v="Grant Thornton"/>
    <x v="2"/>
    <x v="0"/>
    <s v="Long Beach"/>
    <x v="21"/>
    <n v="11561"/>
    <s v="East"/>
    <s v="OFF-SU-10001664"/>
    <x v="0"/>
    <x v="14"/>
    <x v="481"/>
    <n v="17.14"/>
    <n v="2"/>
    <n v="0"/>
    <n v="4.4564000000000004"/>
  </r>
  <r>
    <n v="592"/>
    <s v="US-2023-106229"/>
    <x v="124"/>
    <x v="125"/>
    <s v="Second Class"/>
    <s v="NR-18550"/>
    <s v="Nick Radford"/>
    <x v="0"/>
    <x v="0"/>
    <s v="Aurora"/>
    <x v="1"/>
    <n v="60505"/>
    <s v="Central"/>
    <s v="FUR-TA-10002041"/>
    <x v="1"/>
    <x v="13"/>
    <x v="482"/>
    <n v="268.935"/>
    <n v="3"/>
    <n v="0.5"/>
    <n v="-209.76929999999999"/>
  </r>
  <r>
    <n v="593"/>
    <s v="US-2023-134971"/>
    <x v="124"/>
    <x v="127"/>
    <s v="Second Class"/>
    <s v="BP-11095"/>
    <s v="Bart Pistole"/>
    <x v="2"/>
    <x v="0"/>
    <s v="Peoria"/>
    <x v="1"/>
    <n v="61604"/>
    <s v="Central"/>
    <s v="OFF-BI-10003982"/>
    <x v="0"/>
    <x v="1"/>
    <x v="479"/>
    <n v="12.461999999999996"/>
    <n v="3"/>
    <n v="0.8"/>
    <n v="-20.5623"/>
  </r>
  <r>
    <n v="594"/>
    <s v="US-2023-109162"/>
    <x v="125"/>
    <x v="126"/>
    <s v="Standard Class"/>
    <s v="KE-16420"/>
    <s v="Katrina Edelman"/>
    <x v="2"/>
    <x v="0"/>
    <s v="Bristol"/>
    <x v="15"/>
    <n v="37620"/>
    <s v="South"/>
    <s v="FUR-CH-10002647"/>
    <x v="1"/>
    <x v="5"/>
    <x v="483"/>
    <n v="170.35200000000003"/>
    <n v="3"/>
    <n v="0.2"/>
    <n v="10.647000000000006"/>
  </r>
  <r>
    <n v="595"/>
    <s v="US-2023-141257"/>
    <x v="125"/>
    <x v="128"/>
    <s v="Standard Class"/>
    <s v="CS-11950"/>
    <s v="Carlos Soltero"/>
    <x v="0"/>
    <x v="0"/>
    <s v="Seattle"/>
    <x v="23"/>
    <n v="98115"/>
    <s v="West"/>
    <s v="FUR-CH-10002758"/>
    <x v="1"/>
    <x v="5"/>
    <x v="484"/>
    <n v="585.55200000000002"/>
    <n v="3"/>
    <n v="0.2"/>
    <n v="73.19399999999996"/>
  </r>
  <r>
    <n v="596"/>
    <s v="US-2023-108147"/>
    <x v="125"/>
    <x v="129"/>
    <s v="Standard Class"/>
    <s v="RD-19480"/>
    <s v="Rick Duston"/>
    <x v="0"/>
    <x v="0"/>
    <s v="Long Beach"/>
    <x v="21"/>
    <n v="11561"/>
    <s v="East"/>
    <s v="OFF-BI-10003876"/>
    <x v="0"/>
    <x v="1"/>
    <x v="447"/>
    <n v="68.48"/>
    <n v="2"/>
    <n v="0.2"/>
    <n v="25.679999999999996"/>
  </r>
  <r>
    <n v="597"/>
    <s v="US-2023-108147"/>
    <x v="125"/>
    <x v="129"/>
    <s v="Standard Class"/>
    <s v="RD-19480"/>
    <s v="Rick Duston"/>
    <x v="0"/>
    <x v="0"/>
    <s v="Long Beach"/>
    <x v="21"/>
    <n v="11561"/>
    <s v="East"/>
    <s v="OFF-ST-10003470"/>
    <x v="0"/>
    <x v="3"/>
    <x v="485"/>
    <n v="1676.88"/>
    <n v="6"/>
    <n v="0"/>
    <n v="83.843999999999937"/>
  </r>
  <r>
    <n v="598"/>
    <s v="US-2023-115812"/>
    <x v="126"/>
    <x v="128"/>
    <s v="Standard Class"/>
    <s v="BH-11710"/>
    <s v="Brosina Hoffman"/>
    <x v="0"/>
    <x v="0"/>
    <s v="Los Angeles"/>
    <x v="5"/>
    <n v="90032"/>
    <s v="West"/>
    <s v="FUR-FU-10001487"/>
    <x v="1"/>
    <x v="8"/>
    <x v="486"/>
    <n v="48.86"/>
    <n v="7"/>
    <n v="0"/>
    <n v="14.169399999999996"/>
  </r>
  <r>
    <n v="599"/>
    <s v="US-2023-160262"/>
    <x v="126"/>
    <x v="129"/>
    <s v="Second Class"/>
    <s v="TS-21205"/>
    <s v="Thomas Seio"/>
    <x v="2"/>
    <x v="0"/>
    <s v="North Las Vegas"/>
    <x v="19"/>
    <n v="89031"/>
    <s v="West"/>
    <s v="FUR-FU-10002685"/>
    <x v="1"/>
    <x v="8"/>
    <x v="487"/>
    <n v="37.4"/>
    <n v="2"/>
    <n v="0"/>
    <n v="14.212"/>
  </r>
  <r>
    <n v="600"/>
    <s v="US-2023-115812"/>
    <x v="126"/>
    <x v="128"/>
    <s v="Standard Class"/>
    <s v="BH-11710"/>
    <s v="Brosina Hoffman"/>
    <x v="0"/>
    <x v="0"/>
    <s v="Los Angeles"/>
    <x v="5"/>
    <n v="90032"/>
    <s v="West"/>
    <s v="FUR-TA-10001539"/>
    <x v="1"/>
    <x v="13"/>
    <x v="449"/>
    <n v="1706.1840000000002"/>
    <n v="9"/>
    <n v="0.2"/>
    <n v="85.309199999999805"/>
  </r>
  <r>
    <n v="601"/>
    <s v="US-2023-132612"/>
    <x v="126"/>
    <x v="125"/>
    <s v="Second Class"/>
    <s v="FO-14305"/>
    <s v="Frank Olsen"/>
    <x v="0"/>
    <x v="0"/>
    <s v="Harrisonburg"/>
    <x v="6"/>
    <n v="22801"/>
    <s v="South"/>
    <s v="FUR-TA-10004534"/>
    <x v="1"/>
    <x v="13"/>
    <x v="488"/>
    <n v="1441.3"/>
    <n v="7"/>
    <n v="0"/>
    <n v="245.0209999999999"/>
  </r>
  <r>
    <n v="602"/>
    <s v="US-2023-115812"/>
    <x v="126"/>
    <x v="128"/>
    <s v="Standard Class"/>
    <s v="BH-11710"/>
    <s v="Brosina Hoffman"/>
    <x v="0"/>
    <x v="0"/>
    <s v="Los Angeles"/>
    <x v="5"/>
    <n v="90032"/>
    <s v="West"/>
    <s v="OFF-AP-10002892"/>
    <x v="0"/>
    <x v="12"/>
    <x v="489"/>
    <n v="114.9"/>
    <n v="5"/>
    <n v="0"/>
    <n v="34.469999999999992"/>
  </r>
  <r>
    <n v="603"/>
    <s v="US-2023-133753"/>
    <x v="126"/>
    <x v="129"/>
    <s v="Second Class"/>
    <s v="CW-11905"/>
    <s v="Carl Weiss"/>
    <x v="1"/>
    <x v="0"/>
    <s v="Huntsville"/>
    <x v="0"/>
    <n v="77340"/>
    <s v="Central"/>
    <s v="OFF-AR-10001953"/>
    <x v="0"/>
    <x v="4"/>
    <x v="490"/>
    <n v="70.367999999999995"/>
    <n v="2"/>
    <n v="0.2"/>
    <n v="6.1572000000000031"/>
  </r>
  <r>
    <n v="604"/>
    <s v="US-2023-160262"/>
    <x v="126"/>
    <x v="129"/>
    <s v="Second Class"/>
    <s v="TS-21205"/>
    <s v="Thomas Seio"/>
    <x v="2"/>
    <x v="0"/>
    <s v="North Las Vegas"/>
    <x v="19"/>
    <n v="89031"/>
    <s v="West"/>
    <s v="OFF-AR-10002335"/>
    <x v="0"/>
    <x v="4"/>
    <x v="491"/>
    <n v="18.060000000000002"/>
    <n v="7"/>
    <n v="0"/>
    <n v="4.6956000000000007"/>
  </r>
  <r>
    <n v="605"/>
    <s v="US-2023-115812"/>
    <x v="126"/>
    <x v="128"/>
    <s v="Standard Class"/>
    <s v="BH-11710"/>
    <s v="Brosina Hoffman"/>
    <x v="0"/>
    <x v="0"/>
    <s v="Los Angeles"/>
    <x v="5"/>
    <n v="90032"/>
    <s v="West"/>
    <s v="OFF-AR-10002833"/>
    <x v="0"/>
    <x v="4"/>
    <x v="492"/>
    <n v="7.28"/>
    <n v="4"/>
    <n v="0"/>
    <n v="1.9656000000000002"/>
  </r>
  <r>
    <n v="606"/>
    <s v="US-2023-133851"/>
    <x v="126"/>
    <x v="130"/>
    <s v="Standard Class"/>
    <s v="CM-12445"/>
    <s v="Chuck Magee"/>
    <x v="0"/>
    <x v="0"/>
    <s v="San Francisco"/>
    <x v="5"/>
    <n v="94122"/>
    <s v="West"/>
    <s v="OFF-AR-10003752"/>
    <x v="0"/>
    <x v="4"/>
    <x v="493"/>
    <n v="23.1"/>
    <n v="2"/>
    <n v="0"/>
    <n v="10.625999999999999"/>
  </r>
  <r>
    <n v="607"/>
    <s v="US-2023-115812"/>
    <x v="126"/>
    <x v="128"/>
    <s v="Standard Class"/>
    <s v="BH-11710"/>
    <s v="Brosina Hoffman"/>
    <x v="0"/>
    <x v="0"/>
    <s v="Los Angeles"/>
    <x v="5"/>
    <n v="90032"/>
    <s v="West"/>
    <s v="OFF-BI-10003910"/>
    <x v="0"/>
    <x v="1"/>
    <x v="494"/>
    <n v="18.504000000000001"/>
    <n v="3"/>
    <n v="0.2"/>
    <n v="5.7824999999999998"/>
  </r>
  <r>
    <n v="608"/>
    <s v="US-2023-160262"/>
    <x v="126"/>
    <x v="129"/>
    <s v="Second Class"/>
    <s v="TS-21205"/>
    <s v="Thomas Seio"/>
    <x v="2"/>
    <x v="0"/>
    <s v="North Las Vegas"/>
    <x v="19"/>
    <n v="89031"/>
    <s v="West"/>
    <s v="OFF-PA-10003641"/>
    <x v="0"/>
    <x v="0"/>
    <x v="195"/>
    <n v="79.14"/>
    <n v="3"/>
    <n v="0"/>
    <n v="36.404399999999995"/>
  </r>
  <r>
    <n v="609"/>
    <s v="US-2023-133851"/>
    <x v="126"/>
    <x v="130"/>
    <s v="Standard Class"/>
    <s v="CM-12445"/>
    <s v="Chuck Magee"/>
    <x v="0"/>
    <x v="0"/>
    <s v="San Francisco"/>
    <x v="5"/>
    <n v="94122"/>
    <s v="West"/>
    <s v="OFF-SU-10001225"/>
    <x v="0"/>
    <x v="14"/>
    <x v="495"/>
    <n v="7.36"/>
    <n v="2"/>
    <n v="0"/>
    <n v="0.14719999999999978"/>
  </r>
  <r>
    <n v="610"/>
    <s v="US-2023-133753"/>
    <x v="126"/>
    <x v="129"/>
    <s v="Second Class"/>
    <s v="CW-11905"/>
    <s v="Carl Weiss"/>
    <x v="1"/>
    <x v="0"/>
    <s v="Huntsville"/>
    <x v="0"/>
    <n v="77340"/>
    <s v="Central"/>
    <s v="TEC-AC-10000303"/>
    <x v="2"/>
    <x v="9"/>
    <x v="496"/>
    <n v="63.984000000000009"/>
    <n v="2"/>
    <n v="0.2"/>
    <n v="10.397399999999998"/>
  </r>
  <r>
    <n v="611"/>
    <s v="US-2023-133753"/>
    <x v="126"/>
    <x v="129"/>
    <s v="Second Class"/>
    <s v="CW-11905"/>
    <s v="Carl Weiss"/>
    <x v="1"/>
    <x v="0"/>
    <s v="Huntsville"/>
    <x v="0"/>
    <n v="77340"/>
    <s v="Central"/>
    <s v="TEC-PH-10000376"/>
    <x v="2"/>
    <x v="7"/>
    <x v="362"/>
    <n v="7.9920000000000009"/>
    <n v="1"/>
    <n v="0.2"/>
    <n v="0.59940000000000015"/>
  </r>
  <r>
    <n v="612"/>
    <s v="US-2023-115812"/>
    <x v="126"/>
    <x v="128"/>
    <s v="Standard Class"/>
    <s v="BH-11710"/>
    <s v="Brosina Hoffman"/>
    <x v="0"/>
    <x v="0"/>
    <s v="Los Angeles"/>
    <x v="5"/>
    <n v="90032"/>
    <s v="West"/>
    <s v="TEC-PH-10002033"/>
    <x v="2"/>
    <x v="7"/>
    <x v="497"/>
    <n v="911.42399999999998"/>
    <n v="4"/>
    <n v="0.2"/>
    <n v="68.356800000000021"/>
  </r>
  <r>
    <n v="613"/>
    <s v="US-2023-115812"/>
    <x v="126"/>
    <x v="128"/>
    <s v="Standard Class"/>
    <s v="BH-11710"/>
    <s v="Brosina Hoffman"/>
    <x v="0"/>
    <x v="0"/>
    <s v="Los Angeles"/>
    <x v="5"/>
    <n v="90032"/>
    <s v="West"/>
    <s v="TEC-PH-10002275"/>
    <x v="2"/>
    <x v="7"/>
    <x v="498"/>
    <n v="907.15200000000004"/>
    <n v="6"/>
    <n v="0.2"/>
    <n v="90.715200000000038"/>
  </r>
  <r>
    <n v="614"/>
    <s v="US-2023-144281"/>
    <x v="127"/>
    <x v="131"/>
    <s v="Second Class"/>
    <s v="HK-14890"/>
    <s v="Heather Kirkland"/>
    <x v="2"/>
    <x v="0"/>
    <s v="Detroit"/>
    <x v="14"/>
    <n v="48234"/>
    <s v="Central"/>
    <s v="OFF-LA-10003930"/>
    <x v="0"/>
    <x v="2"/>
    <x v="499"/>
    <n v="491.55"/>
    <n v="5"/>
    <n v="0"/>
    <n v="240.8595"/>
  </r>
  <r>
    <n v="615"/>
    <s v="US-2023-114643"/>
    <x v="128"/>
    <x v="132"/>
    <s v="Standard Class"/>
    <s v="FM-14215"/>
    <s v="Filia McAdams"/>
    <x v="2"/>
    <x v="0"/>
    <s v="Los Angeles"/>
    <x v="5"/>
    <n v="90032"/>
    <s v="West"/>
    <s v="OFF-AR-10003631"/>
    <x v="0"/>
    <x v="4"/>
    <x v="113"/>
    <n v="14.52"/>
    <n v="3"/>
    <n v="0"/>
    <n v="4.7915999999999999"/>
  </r>
  <r>
    <n v="616"/>
    <s v="US-2023-140487"/>
    <x v="129"/>
    <x v="133"/>
    <s v="Standard Class"/>
    <s v="SR-20425"/>
    <s v="Sharelle Roach"/>
    <x v="1"/>
    <x v="0"/>
    <s v="Detroit"/>
    <x v="14"/>
    <n v="48234"/>
    <s v="Central"/>
    <s v="FUR-BO-10000711"/>
    <x v="1"/>
    <x v="10"/>
    <x v="500"/>
    <n v="212.94"/>
    <n v="3"/>
    <n v="0"/>
    <n v="57.4938"/>
  </r>
  <r>
    <n v="617"/>
    <s v="US-2023-141215"/>
    <x v="130"/>
    <x v="134"/>
    <s v="Standard Class"/>
    <s v="KL-16555"/>
    <s v="Kelly Lampkin"/>
    <x v="2"/>
    <x v="0"/>
    <s v="San Antonio"/>
    <x v="0"/>
    <n v="78207"/>
    <s v="Central"/>
    <s v="FUR-CH-10003379"/>
    <x v="1"/>
    <x v="5"/>
    <x v="165"/>
    <n v="797.94399999999996"/>
    <n v="4"/>
    <n v="0.3"/>
    <n v="-56.995999999999981"/>
  </r>
  <r>
    <n v="618"/>
    <s v="US-2023-141215"/>
    <x v="130"/>
    <x v="134"/>
    <s v="Standard Class"/>
    <s v="KL-16555"/>
    <s v="Kelly Lampkin"/>
    <x v="2"/>
    <x v="0"/>
    <s v="San Antonio"/>
    <x v="0"/>
    <n v="78207"/>
    <s v="Central"/>
    <s v="FUR-TA-10001520"/>
    <x v="1"/>
    <x v="13"/>
    <x v="501"/>
    <n v="99.918000000000006"/>
    <n v="2"/>
    <n v="0.3"/>
    <n v="-18.556200000000018"/>
  </r>
  <r>
    <n v="619"/>
    <s v="US-2023-141215"/>
    <x v="130"/>
    <x v="134"/>
    <s v="Standard Class"/>
    <s v="KL-16555"/>
    <s v="Kelly Lampkin"/>
    <x v="2"/>
    <x v="0"/>
    <s v="San Antonio"/>
    <x v="0"/>
    <n v="78207"/>
    <s v="Central"/>
    <s v="OFF-BI-10002706"/>
    <x v="0"/>
    <x v="1"/>
    <x v="502"/>
    <n v="8.5679999999999978"/>
    <n v="3"/>
    <n v="0.8"/>
    <n v="-14.5656"/>
  </r>
  <r>
    <n v="620"/>
    <s v="US-2023-126963"/>
    <x v="130"/>
    <x v="131"/>
    <s v="Same Day"/>
    <s v="PS-18760"/>
    <s v="Pamela Stobb"/>
    <x v="0"/>
    <x v="0"/>
    <s v="El Paso"/>
    <x v="0"/>
    <n v="79907"/>
    <s v="Central"/>
    <s v="OFF-PA-10001952"/>
    <x v="0"/>
    <x v="0"/>
    <x v="503"/>
    <n v="36.544000000000004"/>
    <n v="2"/>
    <n v="0.2"/>
    <n v="11.876799999999998"/>
  </r>
  <r>
    <n v="621"/>
    <s v="US-2023-136644"/>
    <x v="131"/>
    <x v="135"/>
    <s v="Standard Class"/>
    <s v="SC-20575"/>
    <s v="Sonia Cooley"/>
    <x v="0"/>
    <x v="0"/>
    <s v="Mishawaka"/>
    <x v="18"/>
    <n v="46544"/>
    <s v="Central"/>
    <s v="FUR-CH-10000225"/>
    <x v="1"/>
    <x v="5"/>
    <x v="105"/>
    <n v="647.84"/>
    <n v="8"/>
    <n v="0"/>
    <n v="32.391999999999939"/>
  </r>
  <r>
    <n v="622"/>
    <s v="US-2023-113929"/>
    <x v="131"/>
    <x v="134"/>
    <s v="Standard Class"/>
    <s v="CK-12205"/>
    <s v="Chloris Kastensmidt"/>
    <x v="0"/>
    <x v="0"/>
    <s v="Hempstead"/>
    <x v="21"/>
    <n v="11550"/>
    <s v="East"/>
    <s v="OFF-AR-10003772"/>
    <x v="0"/>
    <x v="4"/>
    <x v="504"/>
    <n v="35"/>
    <n v="4"/>
    <n v="0"/>
    <n v="10.499999999999996"/>
  </r>
  <r>
    <n v="623"/>
    <s v="US-2023-113929"/>
    <x v="131"/>
    <x v="134"/>
    <s v="Standard Class"/>
    <s v="CK-12205"/>
    <s v="Chloris Kastensmidt"/>
    <x v="0"/>
    <x v="0"/>
    <s v="Hempstead"/>
    <x v="21"/>
    <n v="11550"/>
    <s v="East"/>
    <s v="OFF-BI-10002852"/>
    <x v="0"/>
    <x v="1"/>
    <x v="276"/>
    <n v="39.552000000000007"/>
    <n v="3"/>
    <n v="0.2"/>
    <n v="14.337599999999998"/>
  </r>
  <r>
    <n v="624"/>
    <s v="US-2023-113929"/>
    <x v="131"/>
    <x v="134"/>
    <s v="Standard Class"/>
    <s v="CK-12205"/>
    <s v="Chloris Kastensmidt"/>
    <x v="0"/>
    <x v="0"/>
    <s v="Hempstead"/>
    <x v="21"/>
    <n v="11550"/>
    <s v="East"/>
    <s v="OFF-EN-10003286"/>
    <x v="0"/>
    <x v="11"/>
    <x v="27"/>
    <n v="41.4"/>
    <n v="5"/>
    <n v="0"/>
    <n v="19.457999999999998"/>
  </r>
  <r>
    <n v="625"/>
    <s v="US-2023-144414"/>
    <x v="132"/>
    <x v="134"/>
    <s v="Standard Class"/>
    <s v="GH-14425"/>
    <s v="Gary Hwang"/>
    <x v="0"/>
    <x v="0"/>
    <s v="Seattle"/>
    <x v="23"/>
    <n v="98105"/>
    <s v="West"/>
    <s v="FUR-FU-10003981"/>
    <x v="1"/>
    <x v="8"/>
    <x v="157"/>
    <n v="6.24"/>
    <n v="3"/>
    <n v="0"/>
    <n v="2.6208000000000005"/>
  </r>
  <r>
    <n v="626"/>
    <s v="US-2023-144414"/>
    <x v="132"/>
    <x v="134"/>
    <s v="Standard Class"/>
    <s v="GH-14425"/>
    <s v="Gary Hwang"/>
    <x v="0"/>
    <x v="0"/>
    <s v="Seattle"/>
    <x v="23"/>
    <n v="98105"/>
    <s v="West"/>
    <s v="OFF-BI-10004995"/>
    <x v="0"/>
    <x v="1"/>
    <x v="505"/>
    <n v="3266.3760000000002"/>
    <n v="3"/>
    <n v="0.2"/>
    <n v="1061.5721999999998"/>
  </r>
  <r>
    <n v="627"/>
    <s v="US-2023-144414"/>
    <x v="132"/>
    <x v="134"/>
    <s v="Standard Class"/>
    <s v="GH-14425"/>
    <s v="Gary Hwang"/>
    <x v="0"/>
    <x v="0"/>
    <s v="Seattle"/>
    <x v="23"/>
    <n v="98105"/>
    <s v="West"/>
    <s v="OFF-FA-10000624"/>
    <x v="0"/>
    <x v="6"/>
    <x v="506"/>
    <n v="17.899999999999999"/>
    <n v="5"/>
    <n v="0"/>
    <n v="8.9499999999999993"/>
  </r>
  <r>
    <n v="628"/>
    <s v="US-2023-156342"/>
    <x v="132"/>
    <x v="133"/>
    <s v="Second Class"/>
    <s v="JF-15415"/>
    <s v="Jennifer Ferguson"/>
    <x v="0"/>
    <x v="0"/>
    <s v="Chicago"/>
    <x v="1"/>
    <n v="60653"/>
    <s v="Central"/>
    <s v="OFF-PA-10001725"/>
    <x v="0"/>
    <x v="0"/>
    <x v="507"/>
    <n v="62.015999999999998"/>
    <n v="2"/>
    <n v="0.2"/>
    <n v="22.480800000000002"/>
  </r>
  <r>
    <n v="629"/>
    <s v="US-2023-104402"/>
    <x v="132"/>
    <x v="136"/>
    <s v="Standard Class"/>
    <s v="DB-13660"/>
    <s v="Duane Benoit"/>
    <x v="0"/>
    <x v="0"/>
    <s v="Newark"/>
    <x v="7"/>
    <n v="19711"/>
    <s v="East"/>
    <s v="TEC-MA-10000423"/>
    <x v="2"/>
    <x v="15"/>
    <x v="508"/>
    <n v="65.97"/>
    <n v="3"/>
    <n v="0"/>
    <n v="31.005899999999997"/>
  </r>
  <r>
    <n v="630"/>
    <s v="US-2023-123855"/>
    <x v="133"/>
    <x v="136"/>
    <s v="Standard Class"/>
    <s v="MC-18100"/>
    <s v="Mick Crebagga"/>
    <x v="0"/>
    <x v="0"/>
    <s v="Los Angeles"/>
    <x v="5"/>
    <n v="90036"/>
    <s v="West"/>
    <s v="TEC-PH-10000215"/>
    <x v="2"/>
    <x v="7"/>
    <x v="509"/>
    <n v="139.80000000000001"/>
    <n v="5"/>
    <n v="0.2"/>
    <n v="12.232500000000009"/>
  </r>
  <r>
    <n v="631"/>
    <s v="CA-2023-184712"/>
    <x v="133"/>
    <x v="133"/>
    <s v="Second Class"/>
    <s v="NC-19470"/>
    <s v="Neil Cohen"/>
    <x v="1"/>
    <x v="1"/>
    <s v="Halifax"/>
    <x v="43"/>
    <s v="B3H"/>
    <s v="East"/>
    <s v="OFF-PA-10000167"/>
    <x v="0"/>
    <x v="0"/>
    <x v="510"/>
    <n v="74.352000000000004"/>
    <n v="3"/>
    <n v="0.2"/>
    <n v="23.234999999999992"/>
  </r>
  <r>
    <n v="632"/>
    <s v="US-2023-166863"/>
    <x v="134"/>
    <x v="137"/>
    <s v="Standard Class"/>
    <s v="SC-20020"/>
    <s v="Sam Craven"/>
    <x v="0"/>
    <x v="0"/>
    <s v="Plano"/>
    <x v="0"/>
    <n v="75023"/>
    <s v="Central"/>
    <s v="FUR-BO-10001608"/>
    <x v="1"/>
    <x v="10"/>
    <x v="511"/>
    <n v="193.06559999999999"/>
    <n v="4"/>
    <n v="0.32"/>
    <n v="-19.874399999999994"/>
  </r>
  <r>
    <n v="633"/>
    <s v="US-2023-112949"/>
    <x v="134"/>
    <x v="138"/>
    <s v="Standard Class"/>
    <s v="Co-12640"/>
    <s v="Corey-Lock"/>
    <x v="0"/>
    <x v="0"/>
    <s v="Lawton"/>
    <x v="44"/>
    <n v="73505"/>
    <s v="Central"/>
    <s v="OFF-AP-10001005"/>
    <x v="0"/>
    <x v="12"/>
    <x v="450"/>
    <n v="471.90000000000003"/>
    <n v="6"/>
    <n v="0"/>
    <n v="155.72699999999998"/>
  </r>
  <r>
    <n v="634"/>
    <s v="US-2023-112949"/>
    <x v="134"/>
    <x v="138"/>
    <s v="Standard Class"/>
    <s v="Co-12640"/>
    <s v="Corey-Lock"/>
    <x v="0"/>
    <x v="0"/>
    <s v="Lawton"/>
    <x v="44"/>
    <n v="73505"/>
    <s v="Central"/>
    <s v="OFF-AR-10003469"/>
    <x v="0"/>
    <x v="4"/>
    <x v="512"/>
    <n v="3.52"/>
    <n v="2"/>
    <n v="0"/>
    <n v="1.6896"/>
  </r>
  <r>
    <n v="635"/>
    <s v="US-2023-166863"/>
    <x v="134"/>
    <x v="137"/>
    <s v="Standard Class"/>
    <s v="SC-20020"/>
    <s v="Sam Craven"/>
    <x v="0"/>
    <x v="0"/>
    <s v="Plano"/>
    <x v="0"/>
    <n v="75023"/>
    <s v="Central"/>
    <s v="OFF-BI-10000756"/>
    <x v="0"/>
    <x v="1"/>
    <x v="513"/>
    <n v="3.3919999999999995"/>
    <n v="4"/>
    <n v="0.8"/>
    <n v="-5.088000000000001"/>
  </r>
  <r>
    <n v="636"/>
    <s v="US-2023-166863"/>
    <x v="134"/>
    <x v="137"/>
    <s v="Standard Class"/>
    <s v="SC-20020"/>
    <s v="Sam Craven"/>
    <x v="0"/>
    <x v="0"/>
    <s v="Plano"/>
    <x v="0"/>
    <n v="75023"/>
    <s v="Central"/>
    <s v="OFF-PA-10000587"/>
    <x v="0"/>
    <x v="0"/>
    <x v="132"/>
    <n v="11.648000000000001"/>
    <n v="2"/>
    <n v="0.2"/>
    <n v="4.0768000000000004"/>
  </r>
  <r>
    <n v="637"/>
    <s v="US-2023-166863"/>
    <x v="134"/>
    <x v="137"/>
    <s v="Standard Class"/>
    <s v="SC-20020"/>
    <s v="Sam Craven"/>
    <x v="0"/>
    <x v="0"/>
    <s v="Plano"/>
    <x v="0"/>
    <n v="75023"/>
    <s v="Central"/>
    <s v="OFF-PA-10001166"/>
    <x v="0"/>
    <x v="0"/>
    <x v="514"/>
    <n v="15.552000000000003"/>
    <n v="3"/>
    <n v="0.2"/>
    <n v="5.4432"/>
  </r>
  <r>
    <n v="638"/>
    <s v="US-2023-166863"/>
    <x v="134"/>
    <x v="137"/>
    <s v="Standard Class"/>
    <s v="SC-20020"/>
    <s v="Sam Craven"/>
    <x v="0"/>
    <x v="0"/>
    <s v="Plano"/>
    <x v="0"/>
    <n v="75023"/>
    <s v="Central"/>
    <s v="OFF-ST-10004123"/>
    <x v="0"/>
    <x v="3"/>
    <x v="515"/>
    <n v="509.48800000000006"/>
    <n v="7"/>
    <n v="0.2"/>
    <n v="-127.37200000000001"/>
  </r>
  <r>
    <n v="639"/>
    <s v="US-2023-166863"/>
    <x v="134"/>
    <x v="137"/>
    <s v="Standard Class"/>
    <s v="SC-20020"/>
    <s v="Sam Craven"/>
    <x v="0"/>
    <x v="0"/>
    <s v="Plano"/>
    <x v="0"/>
    <n v="75023"/>
    <s v="Central"/>
    <s v="TEC-MA-10001972"/>
    <x v="2"/>
    <x v="15"/>
    <x v="516"/>
    <n v="418.8"/>
    <n v="2"/>
    <n v="0.4"/>
    <n v="-97.71999999999997"/>
  </r>
  <r>
    <n v="640"/>
    <s v="US-2023-166863"/>
    <x v="134"/>
    <x v="137"/>
    <s v="Standard Class"/>
    <s v="SC-20020"/>
    <s v="Sam Craven"/>
    <x v="0"/>
    <x v="0"/>
    <s v="Plano"/>
    <x v="0"/>
    <n v="75023"/>
    <s v="Central"/>
    <s v="TEC-PH-10000369"/>
    <x v="2"/>
    <x v="7"/>
    <x v="517"/>
    <n v="201.584"/>
    <n v="2"/>
    <n v="0.2"/>
    <n v="20.158400000000015"/>
  </r>
  <r>
    <n v="641"/>
    <s v="US-2023-138317"/>
    <x v="135"/>
    <x v="139"/>
    <s v="Standard Class"/>
    <s v="NW-18400"/>
    <s v="Natalie Webber"/>
    <x v="0"/>
    <x v="0"/>
    <s v="Philadelphia"/>
    <x v="2"/>
    <n v="19120"/>
    <s v="East"/>
    <s v="FUR-FU-10000550"/>
    <x v="1"/>
    <x v="8"/>
    <x v="518"/>
    <n v="3.9840000000000004"/>
    <n v="1"/>
    <n v="0.2"/>
    <n v="0.64739999999999964"/>
  </r>
  <r>
    <n v="642"/>
    <s v="US-2023-117135"/>
    <x v="135"/>
    <x v="136"/>
    <s v="Second Class"/>
    <s v="NP-18325"/>
    <s v="Naresj Patel"/>
    <x v="0"/>
    <x v="0"/>
    <s v="Waynesboro"/>
    <x v="6"/>
    <n v="22980"/>
    <s v="South"/>
    <s v="FUR-FU-10004071"/>
    <x v="1"/>
    <x v="8"/>
    <x v="519"/>
    <n v="104.01"/>
    <n v="1"/>
    <n v="0"/>
    <n v="14.561400000000006"/>
  </r>
  <r>
    <n v="643"/>
    <s v="US-2023-130624"/>
    <x v="135"/>
    <x v="137"/>
    <s v="First Class"/>
    <s v="TB-21280"/>
    <s v="Toby Braunhardt"/>
    <x v="0"/>
    <x v="0"/>
    <s v="New York City"/>
    <x v="21"/>
    <n v="10024"/>
    <s v="East"/>
    <s v="OFF-AP-10001303"/>
    <x v="0"/>
    <x v="12"/>
    <x v="111"/>
    <n v="59.699999999999996"/>
    <n v="3"/>
    <n v="0"/>
    <n v="26.864999999999995"/>
  </r>
  <r>
    <n v="644"/>
    <s v="US-2023-138317"/>
    <x v="135"/>
    <x v="139"/>
    <s v="Standard Class"/>
    <s v="NW-18400"/>
    <s v="Natalie Webber"/>
    <x v="0"/>
    <x v="0"/>
    <s v="Philadelphia"/>
    <x v="2"/>
    <n v="19120"/>
    <s v="East"/>
    <s v="OFF-AP-10003860"/>
    <x v="0"/>
    <x v="12"/>
    <x v="520"/>
    <n v="44.416000000000004"/>
    <n v="2"/>
    <n v="0.2"/>
    <n v="3.8864000000000001"/>
  </r>
  <r>
    <n v="645"/>
    <s v="US-2023-128146"/>
    <x v="135"/>
    <x v="139"/>
    <s v="Standard Class"/>
    <s v="DB-13060"/>
    <s v="Dave Brooks"/>
    <x v="0"/>
    <x v="0"/>
    <s v="Lakewood"/>
    <x v="24"/>
    <n v="8701"/>
    <s v="East"/>
    <s v="OFF-AR-10001919"/>
    <x v="0"/>
    <x v="4"/>
    <x v="521"/>
    <n v="3.76"/>
    <n v="2"/>
    <n v="0"/>
    <n v="1.0903999999999998"/>
  </r>
  <r>
    <n v="646"/>
    <s v="US-2023-141278"/>
    <x v="135"/>
    <x v="137"/>
    <s v="First Class"/>
    <s v="RM-19375"/>
    <s v="Raymond Messe"/>
    <x v="0"/>
    <x v="0"/>
    <s v="Meriden"/>
    <x v="39"/>
    <n v="6450"/>
    <s v="East"/>
    <s v="OFF-AR-10003056"/>
    <x v="0"/>
    <x v="4"/>
    <x v="522"/>
    <n v="21.400000000000002"/>
    <n v="5"/>
    <n v="0"/>
    <n v="6.2059999999999977"/>
  </r>
  <r>
    <n v="647"/>
    <s v="US-2023-138317"/>
    <x v="135"/>
    <x v="139"/>
    <s v="Standard Class"/>
    <s v="NW-18400"/>
    <s v="Natalie Webber"/>
    <x v="0"/>
    <x v="0"/>
    <s v="Philadelphia"/>
    <x v="2"/>
    <n v="19120"/>
    <s v="East"/>
    <s v="OFF-BI-10000069"/>
    <x v="0"/>
    <x v="1"/>
    <x v="523"/>
    <n v="9.006000000000002"/>
    <n v="2"/>
    <n v="0.7"/>
    <n v="-7.2048000000000023"/>
  </r>
  <r>
    <n v="648"/>
    <s v="US-2023-160780"/>
    <x v="135"/>
    <x v="134"/>
    <s v="Same Day"/>
    <s v="SV-20785"/>
    <s v="Stewart Visinsky"/>
    <x v="0"/>
    <x v="0"/>
    <s v="Pueblo"/>
    <x v="27"/>
    <n v="81001"/>
    <s v="West"/>
    <s v="OFF-BI-10001116"/>
    <x v="0"/>
    <x v="1"/>
    <x v="524"/>
    <n v="11.088000000000003"/>
    <n v="7"/>
    <n v="0.7"/>
    <n v="-8.1311999999999998"/>
  </r>
  <r>
    <n v="649"/>
    <s v="US-2023-160780"/>
    <x v="135"/>
    <x v="134"/>
    <s v="Same Day"/>
    <s v="SV-20785"/>
    <s v="Stewart Visinsky"/>
    <x v="0"/>
    <x v="0"/>
    <s v="Pueblo"/>
    <x v="27"/>
    <n v="81001"/>
    <s v="West"/>
    <s v="OFF-BI-10002931"/>
    <x v="0"/>
    <x v="1"/>
    <x v="525"/>
    <n v="25.164000000000001"/>
    <n v="2"/>
    <n v="0.7"/>
    <n v="-16.775999999999996"/>
  </r>
  <r>
    <n v="650"/>
    <s v="US-2023-138317"/>
    <x v="135"/>
    <x v="139"/>
    <s v="Standard Class"/>
    <s v="NW-18400"/>
    <s v="Natalie Webber"/>
    <x v="0"/>
    <x v="0"/>
    <s v="Philadelphia"/>
    <x v="2"/>
    <n v="19120"/>
    <s v="East"/>
    <s v="OFF-EN-10001539"/>
    <x v="0"/>
    <x v="11"/>
    <x v="27"/>
    <n v="24.896000000000001"/>
    <n v="4"/>
    <n v="0.2"/>
    <n v="8.4024000000000001"/>
  </r>
  <r>
    <n v="651"/>
    <s v="US-2023-130624"/>
    <x v="135"/>
    <x v="137"/>
    <s v="First Class"/>
    <s v="TB-21280"/>
    <s v="Toby Braunhardt"/>
    <x v="0"/>
    <x v="0"/>
    <s v="New York City"/>
    <x v="21"/>
    <n v="10024"/>
    <s v="East"/>
    <s v="OFF-PA-10003883"/>
    <x v="0"/>
    <x v="0"/>
    <x v="526"/>
    <n v="19.649999999999999"/>
    <n v="3"/>
    <n v="0"/>
    <n v="9.0389999999999997"/>
  </r>
  <r>
    <n v="652"/>
    <s v="US-2023-117135"/>
    <x v="135"/>
    <x v="136"/>
    <s v="Second Class"/>
    <s v="NP-18325"/>
    <s v="Naresj Patel"/>
    <x v="0"/>
    <x v="0"/>
    <s v="Waynesboro"/>
    <x v="6"/>
    <n v="22980"/>
    <s v="South"/>
    <s v="OFF-ST-10002444"/>
    <x v="0"/>
    <x v="3"/>
    <x v="527"/>
    <n v="36.839999999999996"/>
    <n v="3"/>
    <n v="0"/>
    <n v="10.315199999999999"/>
  </r>
  <r>
    <n v="653"/>
    <s v="US-2023-138317"/>
    <x v="135"/>
    <x v="139"/>
    <s v="Standard Class"/>
    <s v="NW-18400"/>
    <s v="Natalie Webber"/>
    <x v="0"/>
    <x v="0"/>
    <s v="Philadelphia"/>
    <x v="2"/>
    <n v="19120"/>
    <s v="East"/>
    <s v="TEC-AC-10003628"/>
    <x v="2"/>
    <x v="9"/>
    <x v="33"/>
    <n v="95.968000000000004"/>
    <n v="4"/>
    <n v="0.2"/>
    <n v="28.790400000000009"/>
  </r>
  <r>
    <n v="654"/>
    <s v="US-2023-138317"/>
    <x v="135"/>
    <x v="139"/>
    <s v="Standard Class"/>
    <s v="NW-18400"/>
    <s v="Natalie Webber"/>
    <x v="0"/>
    <x v="0"/>
    <s v="Philadelphia"/>
    <x v="2"/>
    <n v="19120"/>
    <s v="East"/>
    <s v="TEC-MA-10004521"/>
    <x v="2"/>
    <x v="15"/>
    <x v="528"/>
    <n v="206.99100000000004"/>
    <n v="3"/>
    <n v="0.7"/>
    <n v="-172.49250000000001"/>
  </r>
  <r>
    <n v="655"/>
    <s v="US-2023-141796"/>
    <x v="135"/>
    <x v="134"/>
    <s v="Same Day"/>
    <s v="JG-15160"/>
    <s v="James Galang"/>
    <x v="0"/>
    <x v="0"/>
    <s v="Long Beach"/>
    <x v="21"/>
    <n v="11561"/>
    <s v="East"/>
    <s v="TEC-PH-10001578"/>
    <x v="2"/>
    <x v="7"/>
    <x v="529"/>
    <n v="1214.8499999999999"/>
    <n v="3"/>
    <n v="0"/>
    <n v="352.30649999999997"/>
  </r>
  <r>
    <n v="656"/>
    <s v="US-2023-117135"/>
    <x v="135"/>
    <x v="136"/>
    <s v="Second Class"/>
    <s v="NP-18325"/>
    <s v="Naresj Patel"/>
    <x v="0"/>
    <x v="0"/>
    <s v="Waynesboro"/>
    <x v="6"/>
    <n v="22980"/>
    <s v="South"/>
    <s v="TEC-PH-10002033"/>
    <x v="2"/>
    <x v="7"/>
    <x v="497"/>
    <n v="284.82"/>
    <n v="1"/>
    <n v="0"/>
    <n v="74.053200000000004"/>
  </r>
  <r>
    <n v="657"/>
    <s v="US-2023-130624"/>
    <x v="135"/>
    <x v="137"/>
    <s v="First Class"/>
    <s v="TB-21280"/>
    <s v="Toby Braunhardt"/>
    <x v="0"/>
    <x v="0"/>
    <s v="New York City"/>
    <x v="21"/>
    <n v="10024"/>
    <s v="East"/>
    <s v="TEC-PH-10003963"/>
    <x v="2"/>
    <x v="7"/>
    <x v="530"/>
    <n v="617.97"/>
    <n v="3"/>
    <n v="0"/>
    <n v="160.6722"/>
  </r>
  <r>
    <n v="658"/>
    <s v="US-2023-128146"/>
    <x v="135"/>
    <x v="139"/>
    <s v="Standard Class"/>
    <s v="DB-13060"/>
    <s v="Dave Brooks"/>
    <x v="0"/>
    <x v="0"/>
    <s v="Lakewood"/>
    <x v="24"/>
    <n v="8701"/>
    <s v="East"/>
    <s v="TEC-PH-10004539"/>
    <x v="2"/>
    <x v="7"/>
    <x v="12"/>
    <n v="1322.93"/>
    <n v="7"/>
    <n v="0"/>
    <n v="357.19110000000001"/>
  </r>
  <r>
    <n v="659"/>
    <s v="US-2023-154963"/>
    <x v="136"/>
    <x v="138"/>
    <s v="Standard Class"/>
    <s v="AA-10645"/>
    <s v="Anna Andreadi"/>
    <x v="0"/>
    <x v="0"/>
    <s v="Chester"/>
    <x v="2"/>
    <n v="19013"/>
    <s v="East"/>
    <s v="FUR-CH-10000454"/>
    <x v="1"/>
    <x v="5"/>
    <x v="531"/>
    <n v="853.92999999999984"/>
    <n v="5"/>
    <n v="0.3"/>
    <n v="0"/>
  </r>
  <r>
    <n v="660"/>
    <s v="US-2023-154963"/>
    <x v="136"/>
    <x v="138"/>
    <s v="Standard Class"/>
    <s v="AA-10645"/>
    <s v="Anna Andreadi"/>
    <x v="0"/>
    <x v="0"/>
    <s v="Chester"/>
    <x v="2"/>
    <n v="19013"/>
    <s v="East"/>
    <s v="FUR-CH-10004698"/>
    <x v="1"/>
    <x v="5"/>
    <x v="532"/>
    <n v="170.05799999999999"/>
    <n v="3"/>
    <n v="0.3"/>
    <n v="-4.858799999999988"/>
  </r>
  <r>
    <n v="661"/>
    <s v="US-2023-133389"/>
    <x v="136"/>
    <x v="135"/>
    <s v="Same Day"/>
    <s v="TB-21280"/>
    <s v="Toby Braunhardt"/>
    <x v="0"/>
    <x v="0"/>
    <s v="Phoenix"/>
    <x v="12"/>
    <n v="85023"/>
    <s v="West"/>
    <s v="OFF-BI-10001553"/>
    <x v="0"/>
    <x v="1"/>
    <x v="533"/>
    <n v="8.2260000000000009"/>
    <n v="3"/>
    <n v="0.7"/>
    <n v="-6.0323999999999991"/>
  </r>
  <r>
    <n v="662"/>
    <s v="US-2023-124646"/>
    <x v="136"/>
    <x v="137"/>
    <s v="First Class"/>
    <s v="DV-13465"/>
    <s v="Dianna Vittorini"/>
    <x v="0"/>
    <x v="0"/>
    <s v="Minneapolis"/>
    <x v="30"/>
    <n v="55407"/>
    <s v="Central"/>
    <s v="OFF-ST-10001097"/>
    <x v="0"/>
    <x v="3"/>
    <x v="534"/>
    <n v="501.81000000000006"/>
    <n v="3"/>
    <n v="0"/>
    <n v="0"/>
  </r>
  <r>
    <n v="663"/>
    <s v="US-2023-124646"/>
    <x v="136"/>
    <x v="137"/>
    <s v="First Class"/>
    <s v="DV-13465"/>
    <s v="Dianna Vittorini"/>
    <x v="0"/>
    <x v="0"/>
    <s v="Minneapolis"/>
    <x v="30"/>
    <n v="55407"/>
    <s v="Central"/>
    <s v="OFF-ST-10001469"/>
    <x v="0"/>
    <x v="3"/>
    <x v="129"/>
    <n v="161.94"/>
    <n v="3"/>
    <n v="0"/>
    <n v="9.716399999999993"/>
  </r>
  <r>
    <n v="664"/>
    <s v="US-2023-142048"/>
    <x v="136"/>
    <x v="139"/>
    <s v="First Class"/>
    <s v="JE-15745"/>
    <s v="Joel Eaton"/>
    <x v="0"/>
    <x v="0"/>
    <s v="Louisville"/>
    <x v="27"/>
    <n v="80027"/>
    <s v="West"/>
    <s v="TEC-AC-10004114"/>
    <x v="2"/>
    <x v="9"/>
    <x v="535"/>
    <n v="196.75200000000001"/>
    <n v="6"/>
    <n v="0.2"/>
    <n v="56.566200000000009"/>
  </r>
  <r>
    <n v="665"/>
    <s v="US-2023-154963"/>
    <x v="136"/>
    <x v="138"/>
    <s v="Standard Class"/>
    <s v="AA-10645"/>
    <s v="Anna Andreadi"/>
    <x v="0"/>
    <x v="0"/>
    <s v="Chester"/>
    <x v="2"/>
    <n v="19013"/>
    <s v="East"/>
    <s v="TEC-PH-10004093"/>
    <x v="2"/>
    <x v="7"/>
    <x v="536"/>
    <n v="82.782000000000011"/>
    <n v="3"/>
    <n v="0.4"/>
    <n v="-15.176700000000004"/>
  </r>
  <r>
    <n v="666"/>
    <s v="US-2023-130358"/>
    <x v="137"/>
    <x v="140"/>
    <s v="First Class"/>
    <s v="DL-13330"/>
    <s v="Denise Leinenbach"/>
    <x v="0"/>
    <x v="0"/>
    <s v="Concord"/>
    <x v="26"/>
    <n v="28027"/>
    <s v="South"/>
    <s v="OFF-AR-10002766"/>
    <x v="0"/>
    <x v="4"/>
    <x v="537"/>
    <n v="20.015999999999998"/>
    <n v="9"/>
    <n v="0.2"/>
    <n v="1.7514000000000003"/>
  </r>
  <r>
    <n v="667"/>
    <s v="US-2023-130358"/>
    <x v="137"/>
    <x v="140"/>
    <s v="First Class"/>
    <s v="DL-13330"/>
    <s v="Denise Leinenbach"/>
    <x v="0"/>
    <x v="0"/>
    <s v="Concord"/>
    <x v="26"/>
    <n v="28027"/>
    <s v="South"/>
    <s v="OFF-SU-10002522"/>
    <x v="0"/>
    <x v="14"/>
    <x v="538"/>
    <n v="3.1040000000000001"/>
    <n v="1"/>
    <n v="0.2"/>
    <n v="0.34919999999999951"/>
  </r>
  <r>
    <n v="668"/>
    <s v="US-2023-126032"/>
    <x v="137"/>
    <x v="141"/>
    <s v="Standard Class"/>
    <s v="BS-11665"/>
    <s v="Brian Stugart"/>
    <x v="0"/>
    <x v="0"/>
    <s v="Philadelphia"/>
    <x v="2"/>
    <n v="19143"/>
    <s v="East"/>
    <s v="TEC-AC-10000158"/>
    <x v="2"/>
    <x v="9"/>
    <x v="539"/>
    <n v="86.376000000000005"/>
    <n v="3"/>
    <n v="0.2"/>
    <n v="1.079699999999999"/>
  </r>
  <r>
    <n v="669"/>
    <s v="US-2023-159814"/>
    <x v="138"/>
    <x v="141"/>
    <s v="Standard Class"/>
    <s v="LP-17080"/>
    <s v="Liz Pelletier"/>
    <x v="0"/>
    <x v="0"/>
    <s v="Tucson"/>
    <x v="12"/>
    <n v="85705"/>
    <s v="West"/>
    <s v="FUR-FU-10001731"/>
    <x v="1"/>
    <x v="8"/>
    <x v="540"/>
    <n v="4.2720000000000002"/>
    <n v="2"/>
    <n v="0.2"/>
    <n v="0.96119999999999983"/>
  </r>
  <r>
    <n v="670"/>
    <s v="US-2023-159338"/>
    <x v="139"/>
    <x v="141"/>
    <s v="First Class"/>
    <s v="NS-18640"/>
    <s v="Noel Staavos"/>
    <x v="2"/>
    <x v="0"/>
    <s v="Los Angeles"/>
    <x v="5"/>
    <n v="90049"/>
    <s v="West"/>
    <s v="FUR-TA-10004147"/>
    <x v="1"/>
    <x v="13"/>
    <x v="541"/>
    <n v="447.84"/>
    <n v="5"/>
    <n v="0.2"/>
    <n v="11.19599999999997"/>
  </r>
  <r>
    <n v="671"/>
    <s v="US-2023-164469"/>
    <x v="139"/>
    <x v="138"/>
    <s v="Second Class"/>
    <s v="GK-14620"/>
    <s v="Grace Kelly"/>
    <x v="2"/>
    <x v="0"/>
    <s v="Salem"/>
    <x v="11"/>
    <n v="97301"/>
    <s v="West"/>
    <s v="OFF-AR-10000475"/>
    <x v="0"/>
    <x v="4"/>
    <x v="542"/>
    <n v="9.3280000000000012"/>
    <n v="1"/>
    <n v="0.2"/>
    <n v="0.8162000000000007"/>
  </r>
  <r>
    <n v="672"/>
    <s v="US-2023-164469"/>
    <x v="139"/>
    <x v="138"/>
    <s v="Second Class"/>
    <s v="GK-14620"/>
    <s v="Grace Kelly"/>
    <x v="2"/>
    <x v="0"/>
    <s v="Salem"/>
    <x v="11"/>
    <n v="97301"/>
    <s v="West"/>
    <s v="OFF-AR-10003478"/>
    <x v="0"/>
    <x v="4"/>
    <x v="4"/>
    <n v="71.632000000000005"/>
    <n v="11"/>
    <n v="0.2"/>
    <n v="17.908000000000001"/>
  </r>
  <r>
    <n v="673"/>
    <s v="US-2023-164469"/>
    <x v="139"/>
    <x v="138"/>
    <s v="Second Class"/>
    <s v="GK-14620"/>
    <s v="Grace Kelly"/>
    <x v="2"/>
    <x v="0"/>
    <s v="Salem"/>
    <x v="11"/>
    <n v="97301"/>
    <s v="West"/>
    <s v="TEC-PH-10002115"/>
    <x v="2"/>
    <x v="7"/>
    <x v="543"/>
    <n v="263.96000000000004"/>
    <n v="5"/>
    <n v="0.2"/>
    <n v="19.796999999999997"/>
  </r>
  <r>
    <n v="674"/>
    <s v="US-2023-104283"/>
    <x v="140"/>
    <x v="142"/>
    <s v="Standard Class"/>
    <s v="LM-17065"/>
    <s v="Liz MacKendrick"/>
    <x v="0"/>
    <x v="0"/>
    <s v="Southaven"/>
    <x v="31"/>
    <n v="38671"/>
    <s v="South"/>
    <s v="FUR-TA-10001039"/>
    <x v="1"/>
    <x v="13"/>
    <x v="285"/>
    <n v="85.98"/>
    <n v="1"/>
    <n v="0"/>
    <n v="22.354800000000004"/>
  </r>
  <r>
    <n v="675"/>
    <s v="US-2023-104283"/>
    <x v="140"/>
    <x v="142"/>
    <s v="Standard Class"/>
    <s v="LM-17065"/>
    <s v="Liz MacKendrick"/>
    <x v="0"/>
    <x v="0"/>
    <s v="Southaven"/>
    <x v="31"/>
    <n v="38671"/>
    <s v="South"/>
    <s v="OFF-ST-10004337"/>
    <x v="0"/>
    <x v="3"/>
    <x v="72"/>
    <n v="306.2"/>
    <n v="5"/>
    <n v="0"/>
    <n v="0"/>
  </r>
  <r>
    <n v="676"/>
    <s v="US-2023-104283"/>
    <x v="140"/>
    <x v="142"/>
    <s v="Standard Class"/>
    <s v="LM-17065"/>
    <s v="Liz MacKendrick"/>
    <x v="0"/>
    <x v="0"/>
    <s v="Southaven"/>
    <x v="31"/>
    <n v="38671"/>
    <s v="South"/>
    <s v="TEC-AC-10000109"/>
    <x v="2"/>
    <x v="9"/>
    <x v="386"/>
    <n v="223.96"/>
    <n v="4"/>
    <n v="0"/>
    <n v="53.750400000000013"/>
  </r>
  <r>
    <n v="677"/>
    <s v="US-2023-140858"/>
    <x v="141"/>
    <x v="143"/>
    <s v="Standard Class"/>
    <s v="CA-12775"/>
    <s v="Cynthia Arntzen"/>
    <x v="0"/>
    <x v="0"/>
    <s v="Philadelphia"/>
    <x v="2"/>
    <n v="19140"/>
    <s v="East"/>
    <s v="FUR-CH-10001394"/>
    <x v="1"/>
    <x v="5"/>
    <x v="359"/>
    <n v="1228.4649999999999"/>
    <n v="5"/>
    <n v="0.3"/>
    <n v="0"/>
  </r>
  <r>
    <n v="678"/>
    <s v="US-2023-140858"/>
    <x v="141"/>
    <x v="143"/>
    <s v="Standard Class"/>
    <s v="CA-12775"/>
    <s v="Cynthia Arntzen"/>
    <x v="0"/>
    <x v="0"/>
    <s v="Philadelphia"/>
    <x v="2"/>
    <n v="19140"/>
    <s v="East"/>
    <s v="OFF-BI-10003094"/>
    <x v="0"/>
    <x v="1"/>
    <x v="544"/>
    <n v="3.168000000000001"/>
    <n v="3"/>
    <n v="0.7"/>
    <n v="-2.4287999999999998"/>
  </r>
  <r>
    <n v="679"/>
    <s v="US-2023-140858"/>
    <x v="141"/>
    <x v="143"/>
    <s v="Standard Class"/>
    <s v="CA-12775"/>
    <s v="Cynthia Arntzen"/>
    <x v="0"/>
    <x v="0"/>
    <s v="Philadelphia"/>
    <x v="2"/>
    <n v="19140"/>
    <s v="East"/>
    <s v="OFF-BI-10004230"/>
    <x v="0"/>
    <x v="1"/>
    <x v="88"/>
    <n v="31.086000000000006"/>
    <n v="3"/>
    <n v="0.7"/>
    <n v="-22.796399999999991"/>
  </r>
  <r>
    <n v="680"/>
    <s v="US-2023-156993"/>
    <x v="141"/>
    <x v="144"/>
    <s v="Standard Class"/>
    <s v="RW-19630"/>
    <s v="Rob Williams"/>
    <x v="2"/>
    <x v="0"/>
    <s v="Detroit"/>
    <x v="14"/>
    <n v="48234"/>
    <s v="Central"/>
    <s v="OFF-FA-10003495"/>
    <x v="0"/>
    <x v="6"/>
    <x v="84"/>
    <n v="6.08"/>
    <n v="1"/>
    <n v="0"/>
    <n v="3.04"/>
  </r>
  <r>
    <n v="681"/>
    <s v="US-2023-140858"/>
    <x v="141"/>
    <x v="143"/>
    <s v="Standard Class"/>
    <s v="CA-12775"/>
    <s v="Cynthia Arntzen"/>
    <x v="0"/>
    <x v="0"/>
    <s v="Philadelphia"/>
    <x v="2"/>
    <n v="19140"/>
    <s v="East"/>
    <s v="OFF-PA-10000304"/>
    <x v="0"/>
    <x v="0"/>
    <x v="545"/>
    <n v="41.472000000000008"/>
    <n v="8"/>
    <n v="0.2"/>
    <n v="14.5152"/>
  </r>
  <r>
    <n v="682"/>
    <s v="US-2023-140858"/>
    <x v="141"/>
    <x v="143"/>
    <s v="Standard Class"/>
    <s v="CA-12775"/>
    <s v="Cynthia Arntzen"/>
    <x v="0"/>
    <x v="0"/>
    <s v="Philadelphia"/>
    <x v="2"/>
    <n v="19140"/>
    <s v="East"/>
    <s v="OFF-PA-10003395"/>
    <x v="0"/>
    <x v="0"/>
    <x v="546"/>
    <n v="335.52"/>
    <n v="4"/>
    <n v="0.2"/>
    <n v="117.43199999999999"/>
  </r>
  <r>
    <n v="683"/>
    <s v="US-2023-165974"/>
    <x v="142"/>
    <x v="145"/>
    <s v="Standard Class"/>
    <s v="DL-12865"/>
    <s v="Dan Lawera"/>
    <x v="0"/>
    <x v="0"/>
    <s v="Cincinnati"/>
    <x v="9"/>
    <n v="45231"/>
    <s v="East"/>
    <s v="OFF-AR-10003405"/>
    <x v="0"/>
    <x v="4"/>
    <x v="547"/>
    <n v="32.76"/>
    <n v="7"/>
    <n v="0.2"/>
    <n v="3.6854999999999958"/>
  </r>
  <r>
    <n v="684"/>
    <s v="US-2023-111773"/>
    <x v="142"/>
    <x v="146"/>
    <s v="Standard Class"/>
    <s v="JK-15625"/>
    <s v="Jim Karlsson"/>
    <x v="0"/>
    <x v="0"/>
    <s v="New York City"/>
    <x v="21"/>
    <n v="10024"/>
    <s v="East"/>
    <s v="OFF-BI-10000174"/>
    <x v="0"/>
    <x v="1"/>
    <x v="548"/>
    <n v="13.919999999999998"/>
    <n v="3"/>
    <n v="0.2"/>
    <n v="4.8720000000000008"/>
  </r>
  <r>
    <n v="685"/>
    <s v="US-2023-121566"/>
    <x v="143"/>
    <x v="145"/>
    <s v="Standard Class"/>
    <s v="CS-11860"/>
    <s v="Cari Schnelling"/>
    <x v="0"/>
    <x v="0"/>
    <s v="New York City"/>
    <x v="21"/>
    <n v="10011"/>
    <s v="East"/>
    <s v="OFF-AR-10001026"/>
    <x v="0"/>
    <x v="4"/>
    <x v="549"/>
    <n v="6.6000000000000005"/>
    <n v="3"/>
    <n v="0"/>
    <n v="2.9040000000000008"/>
  </r>
  <r>
    <n v="686"/>
    <s v="US-2023-109218"/>
    <x v="143"/>
    <x v="146"/>
    <s v="Second Class"/>
    <s v="AR-10825"/>
    <s v="Anthony Rawles"/>
    <x v="2"/>
    <x v="0"/>
    <s v="Los Angeles"/>
    <x v="5"/>
    <n v="90004"/>
    <s v="West"/>
    <s v="OFF-AR-10001374"/>
    <x v="0"/>
    <x v="4"/>
    <x v="140"/>
    <n v="32.400000000000006"/>
    <n v="5"/>
    <n v="0"/>
    <n v="10.367999999999999"/>
  </r>
  <r>
    <n v="687"/>
    <s v="US-2023-123064"/>
    <x v="143"/>
    <x v="143"/>
    <s v="First Class"/>
    <s v="RA-19915"/>
    <s v="Russell Applegate"/>
    <x v="0"/>
    <x v="0"/>
    <s v="Chicago"/>
    <x v="1"/>
    <n v="60653"/>
    <s v="Central"/>
    <s v="OFF-AR-10004582"/>
    <x v="0"/>
    <x v="4"/>
    <x v="550"/>
    <n v="5.2480000000000002"/>
    <n v="4"/>
    <n v="0.2"/>
    <n v="1.6399999999999995"/>
  </r>
  <r>
    <n v="688"/>
    <s v="US-2023-146640"/>
    <x v="143"/>
    <x v="147"/>
    <s v="Standard Class"/>
    <s v="HA-14905"/>
    <s v="Helen Abelman"/>
    <x v="0"/>
    <x v="0"/>
    <s v="New York City"/>
    <x v="21"/>
    <n v="10024"/>
    <s v="East"/>
    <s v="OFF-BI-10002867"/>
    <x v="0"/>
    <x v="1"/>
    <x v="551"/>
    <n v="334.76800000000003"/>
    <n v="7"/>
    <n v="0.2"/>
    <n v="108.79959999999997"/>
  </r>
  <r>
    <n v="689"/>
    <s v="US-2023-121566"/>
    <x v="143"/>
    <x v="145"/>
    <s v="Standard Class"/>
    <s v="CS-11860"/>
    <s v="Cari Schnelling"/>
    <x v="0"/>
    <x v="0"/>
    <s v="New York City"/>
    <x v="21"/>
    <n v="10011"/>
    <s v="East"/>
    <s v="OFF-BI-10004528"/>
    <x v="0"/>
    <x v="1"/>
    <x v="552"/>
    <n v="2.6880000000000002"/>
    <n v="1"/>
    <n v="0.2"/>
    <n v="0.83999999999999975"/>
  </r>
  <r>
    <n v="690"/>
    <s v="US-2023-116757"/>
    <x v="143"/>
    <x v="144"/>
    <s v="Standard Class"/>
    <s v="MS-17980"/>
    <s v="Michael Stewart"/>
    <x v="2"/>
    <x v="0"/>
    <s v="Houston"/>
    <x v="0"/>
    <n v="77095"/>
    <s v="Central"/>
    <s v="OFF-FA-10002815"/>
    <x v="0"/>
    <x v="6"/>
    <x v="84"/>
    <n v="21.312000000000005"/>
    <n v="6"/>
    <n v="0.2"/>
    <n v="7.1928000000000001"/>
  </r>
  <r>
    <n v="691"/>
    <s v="US-2023-152254"/>
    <x v="143"/>
    <x v="148"/>
    <s v="Same Day"/>
    <s v="BD-11620"/>
    <s v="Brian DeCherney"/>
    <x v="0"/>
    <x v="0"/>
    <s v="Wilmington"/>
    <x v="26"/>
    <n v="28403"/>
    <s v="South"/>
    <s v="OFF-PA-10001144"/>
    <x v="0"/>
    <x v="0"/>
    <x v="553"/>
    <n v="310.68799999999999"/>
    <n v="7"/>
    <n v="0.2"/>
    <n v="108.74079999999998"/>
  </r>
  <r>
    <n v="692"/>
    <s v="US-2023-116757"/>
    <x v="143"/>
    <x v="144"/>
    <s v="Standard Class"/>
    <s v="MS-17980"/>
    <s v="Michael Stewart"/>
    <x v="2"/>
    <x v="0"/>
    <s v="Houston"/>
    <x v="0"/>
    <n v="77095"/>
    <s v="Central"/>
    <s v="OFF-PA-10002005"/>
    <x v="0"/>
    <x v="0"/>
    <x v="11"/>
    <n v="25.920000000000005"/>
    <n v="5"/>
    <n v="0.2"/>
    <n v="9.0719999999999992"/>
  </r>
  <r>
    <n v="693"/>
    <s v="US-2023-160773"/>
    <x v="144"/>
    <x v="147"/>
    <s v="Standard Class"/>
    <s v="LW-16825"/>
    <s v="Laurel Workman"/>
    <x v="2"/>
    <x v="0"/>
    <s v="Deltona"/>
    <x v="16"/>
    <n v="32725"/>
    <s v="South"/>
    <s v="OFF-BI-10000546"/>
    <x v="0"/>
    <x v="1"/>
    <x v="554"/>
    <n v="5.1840000000000011"/>
    <n v="6"/>
    <n v="0.7"/>
    <n v="-3.6288"/>
  </r>
  <r>
    <n v="694"/>
    <s v="US-2023-153150"/>
    <x v="144"/>
    <x v="145"/>
    <s v="Second Class"/>
    <s v="Dl-13600"/>
    <s v="Dorris liebe"/>
    <x v="2"/>
    <x v="0"/>
    <s v="Seattle"/>
    <x v="23"/>
    <n v="98105"/>
    <s v="West"/>
    <s v="OFF-BI-10003355"/>
    <x v="0"/>
    <x v="1"/>
    <x v="555"/>
    <n v="19.920000000000002"/>
    <n v="5"/>
    <n v="0.2"/>
    <n v="6.9719999999999995"/>
  </r>
  <r>
    <n v="695"/>
    <s v="US-2023-160773"/>
    <x v="144"/>
    <x v="147"/>
    <s v="Standard Class"/>
    <s v="LW-16825"/>
    <s v="Laurel Workman"/>
    <x v="2"/>
    <x v="0"/>
    <s v="Deltona"/>
    <x v="16"/>
    <n v="32725"/>
    <s v="South"/>
    <s v="TEC-PH-10004586"/>
    <x v="2"/>
    <x v="7"/>
    <x v="556"/>
    <n v="575.91999999999996"/>
    <n v="2"/>
    <n v="0.2"/>
    <n v="71.989999999999981"/>
  </r>
  <r>
    <n v="696"/>
    <s v="US-2023-107594"/>
    <x v="145"/>
    <x v="145"/>
    <s v="Standard Class"/>
    <s v="EH-13945"/>
    <s v="Eric Hoffmann"/>
    <x v="0"/>
    <x v="0"/>
    <s v="Plainfield"/>
    <x v="24"/>
    <n v="7060"/>
    <s v="East"/>
    <s v="OFF-AR-10000716"/>
    <x v="0"/>
    <x v="4"/>
    <x v="389"/>
    <n v="5.58"/>
    <n v="1"/>
    <n v="0"/>
    <n v="2.1762000000000001"/>
  </r>
  <r>
    <n v="697"/>
    <s v="US-2023-107594"/>
    <x v="145"/>
    <x v="145"/>
    <s v="Standard Class"/>
    <s v="EH-13945"/>
    <s v="Eric Hoffmann"/>
    <x v="0"/>
    <x v="0"/>
    <s v="Plainfield"/>
    <x v="24"/>
    <n v="7060"/>
    <s v="East"/>
    <s v="TEC-PH-10002923"/>
    <x v="2"/>
    <x v="7"/>
    <x v="557"/>
    <n v="73.98"/>
    <n v="2"/>
    <n v="0"/>
    <n v="19.974600000000002"/>
  </r>
  <r>
    <n v="698"/>
    <s v="US-2023-120096"/>
    <x v="146"/>
    <x v="149"/>
    <s v="First Class"/>
    <s v="KE-16420"/>
    <s v="Katrina Edelman"/>
    <x v="2"/>
    <x v="0"/>
    <s v="Aurora"/>
    <x v="27"/>
    <n v="80013"/>
    <s v="West"/>
    <s v="OFF-AP-10000692"/>
    <x v="0"/>
    <x v="12"/>
    <x v="38"/>
    <n v="32.432000000000002"/>
    <n v="2"/>
    <n v="0.2"/>
    <n v="3.2432000000000016"/>
  </r>
  <r>
    <n v="699"/>
    <s v="US-2023-138709"/>
    <x v="146"/>
    <x v="150"/>
    <s v="Standard Class"/>
    <s v="MS-17770"/>
    <s v="Maxwell Schwartz"/>
    <x v="0"/>
    <x v="0"/>
    <s v="Richmond"/>
    <x v="6"/>
    <n v="23223"/>
    <s v="South"/>
    <s v="OFF-BI-10000145"/>
    <x v="0"/>
    <x v="1"/>
    <x v="258"/>
    <n v="15.600000000000001"/>
    <n v="5"/>
    <n v="0"/>
    <n v="7.6440000000000001"/>
  </r>
  <r>
    <n v="700"/>
    <s v="US-2023-120096"/>
    <x v="146"/>
    <x v="149"/>
    <s v="First Class"/>
    <s v="KE-16420"/>
    <s v="Katrina Edelman"/>
    <x v="2"/>
    <x v="0"/>
    <s v="Aurora"/>
    <x v="27"/>
    <n v="80013"/>
    <s v="West"/>
    <s v="OFF-PA-10001977"/>
    <x v="0"/>
    <x v="0"/>
    <x v="289"/>
    <n v="177.536"/>
    <n v="4"/>
    <n v="0.2"/>
    <n v="62.137599999999992"/>
  </r>
  <r>
    <n v="701"/>
    <s v="US-2023-138709"/>
    <x v="146"/>
    <x v="150"/>
    <s v="Standard Class"/>
    <s v="MS-17770"/>
    <s v="Maxwell Schwartz"/>
    <x v="0"/>
    <x v="0"/>
    <s v="Richmond"/>
    <x v="6"/>
    <n v="23223"/>
    <s v="South"/>
    <s v="OFF-PA-10004734"/>
    <x v="0"/>
    <x v="0"/>
    <x v="558"/>
    <n v="21.84"/>
    <n v="3"/>
    <n v="0"/>
    <n v="10.92"/>
  </r>
  <r>
    <n v="702"/>
    <s v="US-2023-103317"/>
    <x v="147"/>
    <x v="151"/>
    <s v="First Class"/>
    <s v="DM-13525"/>
    <s v="Don Miller"/>
    <x v="2"/>
    <x v="0"/>
    <s v="Palm Coast"/>
    <x v="16"/>
    <n v="32137"/>
    <s v="South"/>
    <s v="FUR-FU-10001591"/>
    <x v="1"/>
    <x v="8"/>
    <x v="559"/>
    <n v="19.52"/>
    <n v="2"/>
    <n v="0.2"/>
    <n v="5.3680000000000012"/>
  </r>
  <r>
    <n v="703"/>
    <s v="US-2023-103317"/>
    <x v="147"/>
    <x v="151"/>
    <s v="First Class"/>
    <s v="DM-13525"/>
    <s v="Don Miller"/>
    <x v="2"/>
    <x v="0"/>
    <s v="Palm Coast"/>
    <x v="16"/>
    <n v="32137"/>
    <s v="South"/>
    <s v="FUR-FU-10003192"/>
    <x v="1"/>
    <x v="8"/>
    <x v="260"/>
    <n v="213.21600000000001"/>
    <n v="3"/>
    <n v="0.2"/>
    <n v="15.991199999999992"/>
  </r>
  <r>
    <n v="704"/>
    <s v="US-2023-152849"/>
    <x v="147"/>
    <x v="152"/>
    <s v="Standard Class"/>
    <s v="DW-13195"/>
    <s v="David Wiener"/>
    <x v="2"/>
    <x v="0"/>
    <s v="Knoxville"/>
    <x v="15"/>
    <n v="37918"/>
    <s v="South"/>
    <s v="OFF-AR-10002833"/>
    <x v="0"/>
    <x v="4"/>
    <x v="492"/>
    <n v="4.3680000000000003"/>
    <n v="3"/>
    <n v="0.2"/>
    <n v="0.3822000000000001"/>
  </r>
  <r>
    <n v="705"/>
    <s v="US-2023-107139"/>
    <x v="147"/>
    <x v="153"/>
    <s v="Standard Class"/>
    <s v="DP-13390"/>
    <s v="Dennis Pardue"/>
    <x v="1"/>
    <x v="0"/>
    <s v="Los Angeles"/>
    <x v="5"/>
    <n v="90004"/>
    <s v="West"/>
    <s v="OFF-BI-10001670"/>
    <x v="0"/>
    <x v="1"/>
    <x v="560"/>
    <n v="180.96000000000004"/>
    <n v="6"/>
    <n v="0.2"/>
    <n v="67.86"/>
  </r>
  <r>
    <n v="706"/>
    <s v="US-2023-103317"/>
    <x v="147"/>
    <x v="151"/>
    <s v="First Class"/>
    <s v="DM-13525"/>
    <s v="Don Miller"/>
    <x v="2"/>
    <x v="0"/>
    <s v="Palm Coast"/>
    <x v="16"/>
    <n v="32137"/>
    <s v="South"/>
    <s v="OFF-BI-10001787"/>
    <x v="0"/>
    <x v="1"/>
    <x v="561"/>
    <n v="9.8100000000000023"/>
    <n v="5"/>
    <n v="0.7"/>
    <n v="-6.8669999999999973"/>
  </r>
  <r>
    <n v="707"/>
    <s v="US-2023-157784"/>
    <x v="147"/>
    <x v="151"/>
    <s v="First Class"/>
    <s v="MC-17845"/>
    <s v="Michael Chen"/>
    <x v="0"/>
    <x v="0"/>
    <s v="Jackson"/>
    <x v="31"/>
    <n v="39212"/>
    <s v="South"/>
    <s v="OFF-LA-10001934"/>
    <x v="0"/>
    <x v="2"/>
    <x v="562"/>
    <n v="14.62"/>
    <n v="2"/>
    <n v="0"/>
    <n v="6.8713999999999995"/>
  </r>
  <r>
    <n v="708"/>
    <s v="US-2023-157784"/>
    <x v="147"/>
    <x v="151"/>
    <s v="First Class"/>
    <s v="MC-17845"/>
    <s v="Michael Chen"/>
    <x v="0"/>
    <x v="0"/>
    <s v="Jackson"/>
    <x v="31"/>
    <n v="39212"/>
    <s v="South"/>
    <s v="OFF-PA-10000304"/>
    <x v="0"/>
    <x v="0"/>
    <x v="545"/>
    <n v="19.440000000000001"/>
    <n v="3"/>
    <n v="0"/>
    <n v="9.3312000000000008"/>
  </r>
  <r>
    <n v="709"/>
    <s v="US-2023-160444"/>
    <x v="147"/>
    <x v="147"/>
    <s v="Same Day"/>
    <s v="DC-12850"/>
    <s v="Dan Campbell"/>
    <x v="0"/>
    <x v="0"/>
    <s v="Houston"/>
    <x v="0"/>
    <n v="77036"/>
    <s v="Central"/>
    <s v="OFF-ST-10000563"/>
    <x v="0"/>
    <x v="3"/>
    <x v="563"/>
    <n v="281.42400000000004"/>
    <n v="11"/>
    <n v="0.2"/>
    <n v="-35.178000000000004"/>
  </r>
  <r>
    <n v="710"/>
    <s v="US-2023-160444"/>
    <x v="147"/>
    <x v="147"/>
    <s v="Same Day"/>
    <s v="DC-12850"/>
    <s v="Dan Campbell"/>
    <x v="0"/>
    <x v="0"/>
    <s v="Houston"/>
    <x v="0"/>
    <n v="77036"/>
    <s v="Central"/>
    <s v="OFF-ST-10001522"/>
    <x v="0"/>
    <x v="3"/>
    <x v="564"/>
    <n v="220.77600000000001"/>
    <n v="3"/>
    <n v="0.2"/>
    <n v="-44.155200000000022"/>
  </r>
  <r>
    <n v="711"/>
    <s v="US-2023-157784"/>
    <x v="147"/>
    <x v="151"/>
    <s v="First Class"/>
    <s v="MC-17845"/>
    <s v="Michael Chen"/>
    <x v="0"/>
    <x v="0"/>
    <s v="Jackson"/>
    <x v="31"/>
    <n v="39212"/>
    <s v="South"/>
    <s v="TEC-AC-10003911"/>
    <x v="2"/>
    <x v="9"/>
    <x v="565"/>
    <n v="479.97"/>
    <n v="3"/>
    <n v="0"/>
    <n v="163.18979999999999"/>
  </r>
  <r>
    <n v="712"/>
    <s v="US-2023-147543"/>
    <x v="148"/>
    <x v="152"/>
    <s v="Standard Class"/>
    <s v="BC-11125"/>
    <s v="Becky Castell"/>
    <x v="1"/>
    <x v="0"/>
    <s v="El Cajon"/>
    <x v="5"/>
    <n v="92020"/>
    <s v="West"/>
    <s v="FUR-CH-10000155"/>
    <x v="1"/>
    <x v="5"/>
    <x v="566"/>
    <n v="478.48"/>
    <n v="2"/>
    <n v="0.2"/>
    <n v="47.848000000000013"/>
  </r>
  <r>
    <n v="713"/>
    <s v="US-2023-134278"/>
    <x v="148"/>
    <x v="151"/>
    <s v="First Class"/>
    <s v="EP-13915"/>
    <s v="Emily Phan"/>
    <x v="0"/>
    <x v="0"/>
    <s v="New York City"/>
    <x v="21"/>
    <n v="10011"/>
    <s v="East"/>
    <s v="TEC-CO-10001046"/>
    <x v="2"/>
    <x v="16"/>
    <x v="567"/>
    <n v="559.99200000000008"/>
    <n v="1"/>
    <n v="0.2"/>
    <n v="174.99749999999997"/>
  </r>
  <r>
    <n v="714"/>
    <s v="US-2023-138758"/>
    <x v="149"/>
    <x v="153"/>
    <s v="Standard Class"/>
    <s v="JL-15835"/>
    <s v="John Lee"/>
    <x v="0"/>
    <x v="0"/>
    <s v="Philadelphia"/>
    <x v="2"/>
    <n v="19120"/>
    <s v="East"/>
    <s v="FUR-CH-10002880"/>
    <x v="1"/>
    <x v="5"/>
    <x v="568"/>
    <n v="172.18599999999998"/>
    <n v="2"/>
    <n v="0.3"/>
    <n v="-46.736200000000011"/>
  </r>
  <r>
    <n v="715"/>
    <s v="US-2023-138758"/>
    <x v="149"/>
    <x v="153"/>
    <s v="Standard Class"/>
    <s v="JL-15835"/>
    <s v="John Lee"/>
    <x v="0"/>
    <x v="0"/>
    <s v="Philadelphia"/>
    <x v="2"/>
    <n v="19120"/>
    <s v="East"/>
    <s v="FUR-FU-10003039"/>
    <x v="1"/>
    <x v="8"/>
    <x v="569"/>
    <n v="69.00800000000001"/>
    <n v="2"/>
    <n v="0.2"/>
    <n v="12.0764"/>
  </r>
  <r>
    <n v="716"/>
    <s v="US-2023-150301"/>
    <x v="150"/>
    <x v="154"/>
    <s v="First Class"/>
    <s v="MH-18025"/>
    <s v="Michelle Huthwaite"/>
    <x v="0"/>
    <x v="0"/>
    <s v="Buffalo"/>
    <x v="21"/>
    <n v="14215"/>
    <s v="East"/>
    <s v="FUR-CH-10002647"/>
    <x v="1"/>
    <x v="5"/>
    <x v="483"/>
    <n v="63.882000000000005"/>
    <n v="1"/>
    <n v="0.1"/>
    <n v="10.647000000000004"/>
  </r>
  <r>
    <n v="717"/>
    <s v="US-2023-100090"/>
    <x v="150"/>
    <x v="152"/>
    <s v="Standard Class"/>
    <s v="EB-13705"/>
    <s v="Ed Braxton"/>
    <x v="2"/>
    <x v="0"/>
    <s v="San Francisco"/>
    <x v="5"/>
    <n v="94122"/>
    <s v="West"/>
    <s v="FUR-TA-10003715"/>
    <x v="1"/>
    <x v="13"/>
    <x v="99"/>
    <n v="502.48800000000006"/>
    <n v="3"/>
    <n v="0.2"/>
    <n v="-87.935400000000044"/>
  </r>
  <r>
    <n v="718"/>
    <s v="US-2023-100090"/>
    <x v="150"/>
    <x v="152"/>
    <s v="Standard Class"/>
    <s v="EB-13705"/>
    <s v="Ed Braxton"/>
    <x v="2"/>
    <x v="0"/>
    <s v="San Francisco"/>
    <x v="5"/>
    <n v="94122"/>
    <s v="West"/>
    <s v="OFF-BI-10001597"/>
    <x v="0"/>
    <x v="1"/>
    <x v="212"/>
    <n v="196.70400000000001"/>
    <n v="6"/>
    <n v="0.2"/>
    <n v="68.846399999999974"/>
  </r>
  <r>
    <n v="719"/>
    <s v="US-2023-113271"/>
    <x v="151"/>
    <x v="155"/>
    <s v="Standard Class"/>
    <s v="DS-13030"/>
    <s v="Darrin Sayre"/>
    <x v="1"/>
    <x v="0"/>
    <s v="San Francisco"/>
    <x v="5"/>
    <n v="94122"/>
    <s v="West"/>
    <s v="FUR-BO-10004218"/>
    <x v="1"/>
    <x v="10"/>
    <x v="196"/>
    <n v="119.83299999999998"/>
    <n v="1"/>
    <n v="0.15"/>
    <n v="7.0489999999999995"/>
  </r>
  <r>
    <n v="720"/>
    <s v="US-2023-113271"/>
    <x v="151"/>
    <x v="155"/>
    <s v="Standard Class"/>
    <s v="DS-13030"/>
    <s v="Darrin Sayre"/>
    <x v="1"/>
    <x v="0"/>
    <s v="San Francisco"/>
    <x v="5"/>
    <n v="94122"/>
    <s v="West"/>
    <s v="OFF-AR-10003251"/>
    <x v="0"/>
    <x v="4"/>
    <x v="537"/>
    <n v="5.56"/>
    <n v="2"/>
    <n v="0"/>
    <n v="2.2239999999999998"/>
  </r>
  <r>
    <n v="721"/>
    <s v="US-2023-113271"/>
    <x v="151"/>
    <x v="155"/>
    <s v="Standard Class"/>
    <s v="DS-13030"/>
    <s v="Darrin Sayre"/>
    <x v="1"/>
    <x v="0"/>
    <s v="San Francisco"/>
    <x v="5"/>
    <n v="94122"/>
    <s v="West"/>
    <s v="OFF-BI-10002609"/>
    <x v="0"/>
    <x v="1"/>
    <x v="570"/>
    <n v="14.303999999999998"/>
    <n v="6"/>
    <n v="0.2"/>
    <n v="4.6487999999999987"/>
  </r>
  <r>
    <n v="722"/>
    <s v="US-2023-114125"/>
    <x v="151"/>
    <x v="156"/>
    <s v="Standard Class"/>
    <s v="GH-14410"/>
    <s v="Gary Hansen"/>
    <x v="1"/>
    <x v="0"/>
    <s v="Los Angeles"/>
    <x v="5"/>
    <n v="90049"/>
    <s v="West"/>
    <s v="OFF-BI-10003291"/>
    <x v="0"/>
    <x v="1"/>
    <x v="100"/>
    <n v="41.904000000000003"/>
    <n v="6"/>
    <n v="0.2"/>
    <n v="14.142599999999996"/>
  </r>
  <r>
    <n v="723"/>
    <s v="US-2023-114125"/>
    <x v="151"/>
    <x v="156"/>
    <s v="Standard Class"/>
    <s v="GH-14410"/>
    <s v="Gary Hansen"/>
    <x v="1"/>
    <x v="0"/>
    <s v="Los Angeles"/>
    <x v="5"/>
    <n v="90049"/>
    <s v="West"/>
    <s v="OFF-LA-10004559"/>
    <x v="0"/>
    <x v="2"/>
    <x v="571"/>
    <n v="2.88"/>
    <n v="1"/>
    <n v="0"/>
    <n v="1.4112"/>
  </r>
  <r>
    <n v="724"/>
    <s v="US-2023-165379"/>
    <x v="151"/>
    <x v="157"/>
    <s v="Standard Class"/>
    <s v="BM-11650"/>
    <s v="Brian Moss"/>
    <x v="2"/>
    <x v="0"/>
    <s v="Dallas"/>
    <x v="0"/>
    <n v="75217"/>
    <s v="Central"/>
    <s v="OFF-PA-10002245"/>
    <x v="0"/>
    <x v="0"/>
    <x v="572"/>
    <n v="14.352000000000002"/>
    <n v="3"/>
    <n v="0.2"/>
    <n v="4.4849999999999994"/>
  </r>
  <r>
    <n v="725"/>
    <s v="US-2023-113271"/>
    <x v="151"/>
    <x v="155"/>
    <s v="Standard Class"/>
    <s v="DS-13030"/>
    <s v="Darrin Sayre"/>
    <x v="1"/>
    <x v="0"/>
    <s v="San Francisco"/>
    <x v="5"/>
    <n v="94122"/>
    <s v="West"/>
    <s v="OFF-PA-10002365"/>
    <x v="0"/>
    <x v="0"/>
    <x v="191"/>
    <n v="32.400000000000006"/>
    <n v="5"/>
    <n v="0"/>
    <n v="15.552000000000001"/>
  </r>
  <r>
    <n v="726"/>
    <s v="US-2023-165379"/>
    <x v="151"/>
    <x v="157"/>
    <s v="Standard Class"/>
    <s v="BM-11650"/>
    <s v="Brian Moss"/>
    <x v="2"/>
    <x v="0"/>
    <s v="Dallas"/>
    <x v="0"/>
    <n v="75217"/>
    <s v="Central"/>
    <s v="OFF-PA-10003072"/>
    <x v="0"/>
    <x v="0"/>
    <x v="71"/>
    <n v="10.368000000000002"/>
    <n v="2"/>
    <n v="0.2"/>
    <n v="3.6288"/>
  </r>
  <r>
    <n v="727"/>
    <s v="US-2023-114125"/>
    <x v="151"/>
    <x v="156"/>
    <s v="Standard Class"/>
    <s v="GH-14410"/>
    <s v="Gary Hansen"/>
    <x v="1"/>
    <x v="0"/>
    <s v="Los Angeles"/>
    <x v="5"/>
    <n v="90049"/>
    <s v="West"/>
    <s v="OFF-ST-10001505"/>
    <x v="0"/>
    <x v="3"/>
    <x v="573"/>
    <n v="23.92"/>
    <n v="4"/>
    <n v="0"/>
    <n v="4.066399999999998"/>
  </r>
  <r>
    <n v="728"/>
    <s v="US-2023-163552"/>
    <x v="152"/>
    <x v="157"/>
    <s v="Standard Class"/>
    <s v="LA-16780"/>
    <s v="Laura Armstrong"/>
    <x v="2"/>
    <x v="0"/>
    <s v="Hackensack"/>
    <x v="24"/>
    <n v="7601"/>
    <s v="East"/>
    <s v="FUR-CH-10003379"/>
    <x v="1"/>
    <x v="5"/>
    <x v="165"/>
    <n v="854.94"/>
    <n v="3"/>
    <n v="0"/>
    <n v="213.73500000000001"/>
  </r>
  <r>
    <n v="729"/>
    <s v="US-2023-163552"/>
    <x v="152"/>
    <x v="157"/>
    <s v="Standard Class"/>
    <s v="LA-16780"/>
    <s v="Laura Armstrong"/>
    <x v="2"/>
    <x v="0"/>
    <s v="Hackensack"/>
    <x v="24"/>
    <n v="7601"/>
    <s v="East"/>
    <s v="FUR-FU-10000629"/>
    <x v="1"/>
    <x v="8"/>
    <x v="574"/>
    <n v="124.10999999999999"/>
    <n v="9"/>
    <n v="0"/>
    <n v="52.126200000000004"/>
  </r>
  <r>
    <n v="730"/>
    <s v="US-2023-133305"/>
    <x v="152"/>
    <x v="157"/>
    <s v="Standard Class"/>
    <s v="MH-17455"/>
    <s v="Mark Hamilton"/>
    <x v="0"/>
    <x v="0"/>
    <s v="New York City"/>
    <x v="21"/>
    <n v="10011"/>
    <s v="East"/>
    <s v="OFF-BI-10002954"/>
    <x v="0"/>
    <x v="1"/>
    <x v="575"/>
    <n v="18.28"/>
    <n v="5"/>
    <n v="0.2"/>
    <n v="6.3979999999999997"/>
  </r>
  <r>
    <n v="731"/>
    <s v="US-2023-163552"/>
    <x v="152"/>
    <x v="157"/>
    <s v="Standard Class"/>
    <s v="LA-16780"/>
    <s v="Laura Armstrong"/>
    <x v="2"/>
    <x v="0"/>
    <s v="Hackensack"/>
    <x v="24"/>
    <n v="7601"/>
    <s v="East"/>
    <s v="OFF-LA-10001175"/>
    <x v="0"/>
    <x v="2"/>
    <x v="576"/>
    <n v="14.399999999999999"/>
    <n v="5"/>
    <n v="0"/>
    <n v="7.056"/>
  </r>
  <r>
    <n v="732"/>
    <s v="US-2023-163552"/>
    <x v="152"/>
    <x v="157"/>
    <s v="Standard Class"/>
    <s v="LA-16780"/>
    <s v="Laura Armstrong"/>
    <x v="2"/>
    <x v="0"/>
    <s v="Hackensack"/>
    <x v="24"/>
    <n v="7601"/>
    <s v="East"/>
    <s v="OFF-PA-10000474"/>
    <x v="0"/>
    <x v="0"/>
    <x v="374"/>
    <n v="177.2"/>
    <n v="5"/>
    <n v="0"/>
    <n v="83.283999999999992"/>
  </r>
  <r>
    <n v="733"/>
    <s v="US-2023-123225"/>
    <x v="152"/>
    <x v="155"/>
    <s v="First Class"/>
    <s v="MN-17935"/>
    <s v="Michael Nguyen"/>
    <x v="0"/>
    <x v="0"/>
    <s v="El Paso"/>
    <x v="0"/>
    <n v="79907"/>
    <s v="Central"/>
    <s v="OFF-PA-10000552"/>
    <x v="0"/>
    <x v="0"/>
    <x v="577"/>
    <n v="10.368000000000002"/>
    <n v="2"/>
    <n v="0.2"/>
    <n v="3.6288"/>
  </r>
  <r>
    <n v="734"/>
    <s v="US-2023-133305"/>
    <x v="152"/>
    <x v="157"/>
    <s v="Standard Class"/>
    <s v="MH-17455"/>
    <s v="Mark Hamilton"/>
    <x v="0"/>
    <x v="0"/>
    <s v="New York City"/>
    <x v="21"/>
    <n v="10011"/>
    <s v="East"/>
    <s v="OFF-PA-10001970"/>
    <x v="0"/>
    <x v="0"/>
    <x v="578"/>
    <n v="49.12"/>
    <n v="4"/>
    <n v="0"/>
    <n v="23.086399999999998"/>
  </r>
  <r>
    <n v="735"/>
    <s v="US-2023-123225"/>
    <x v="152"/>
    <x v="155"/>
    <s v="First Class"/>
    <s v="MN-17935"/>
    <s v="Michael Nguyen"/>
    <x v="0"/>
    <x v="0"/>
    <s v="El Paso"/>
    <x v="0"/>
    <n v="79907"/>
    <s v="Central"/>
    <s v="TEC-PH-10000895"/>
    <x v="2"/>
    <x v="7"/>
    <x v="579"/>
    <n v="575.96800000000007"/>
    <n v="4"/>
    <n v="0.2"/>
    <n v="43.197600000000023"/>
  </r>
  <r>
    <n v="736"/>
    <s v="US-2023-163552"/>
    <x v="152"/>
    <x v="157"/>
    <s v="Standard Class"/>
    <s v="LA-16780"/>
    <s v="Laura Armstrong"/>
    <x v="2"/>
    <x v="0"/>
    <s v="Hackensack"/>
    <x v="24"/>
    <n v="7601"/>
    <s v="East"/>
    <s v="TEC-PH-10003885"/>
    <x v="2"/>
    <x v="7"/>
    <x v="580"/>
    <n v="197.96999999999997"/>
    <n v="3"/>
    <n v="0"/>
    <n v="57.41129999999999"/>
  </r>
  <r>
    <n v="737"/>
    <s v="US-2023-166555"/>
    <x v="152"/>
    <x v="155"/>
    <s v="First Class"/>
    <s v="JK-15205"/>
    <s v="Jamie Kunitz"/>
    <x v="0"/>
    <x v="0"/>
    <s v="Niagara Falls"/>
    <x v="21"/>
    <n v="14304"/>
    <s v="East"/>
    <s v="TEC-PH-10004912"/>
    <x v="2"/>
    <x v="7"/>
    <x v="581"/>
    <n v="164.85000000000002"/>
    <n v="3"/>
    <n v="0"/>
    <n v="47.806499999999993"/>
  </r>
  <r>
    <n v="738"/>
    <s v="US-2023-131310"/>
    <x v="153"/>
    <x v="158"/>
    <s v="Standard Class"/>
    <s v="CL-12565"/>
    <s v="Clay Ludtke"/>
    <x v="0"/>
    <x v="0"/>
    <s v="Seattle"/>
    <x v="23"/>
    <n v="98115"/>
    <s v="West"/>
    <s v="FUR-CH-10001797"/>
    <x v="1"/>
    <x v="5"/>
    <x v="582"/>
    <n v="123.136"/>
    <n v="4"/>
    <n v="0.2"/>
    <n v="13.852799999999981"/>
  </r>
  <r>
    <n v="739"/>
    <s v="US-2023-161508"/>
    <x v="153"/>
    <x v="159"/>
    <s v="Standard Class"/>
    <s v="PV-18985"/>
    <s v="Paul Van Hugh"/>
    <x v="1"/>
    <x v="0"/>
    <s v="League City"/>
    <x v="0"/>
    <n v="77573"/>
    <s v="Central"/>
    <s v="FUR-CH-10002126"/>
    <x v="1"/>
    <x v="5"/>
    <x v="583"/>
    <n v="512.35799999999995"/>
    <n v="3"/>
    <n v="0.3"/>
    <n v="-14.638799999999947"/>
  </r>
  <r>
    <n v="740"/>
    <s v="US-2023-129924"/>
    <x v="153"/>
    <x v="160"/>
    <s v="Standard Class"/>
    <s v="AC-10420"/>
    <s v="Alyssa Crouse"/>
    <x v="2"/>
    <x v="0"/>
    <s v="San Francisco"/>
    <x v="5"/>
    <n v="94122"/>
    <s v="West"/>
    <s v="FUR-TA-10004575"/>
    <x v="1"/>
    <x v="13"/>
    <x v="584"/>
    <n v="698.35200000000009"/>
    <n v="3"/>
    <n v="0.2"/>
    <n v="-17.458800000000053"/>
  </r>
  <r>
    <n v="741"/>
    <s v="US-2023-161508"/>
    <x v="153"/>
    <x v="159"/>
    <s v="Standard Class"/>
    <s v="PV-18985"/>
    <s v="Paul Van Hugh"/>
    <x v="1"/>
    <x v="0"/>
    <s v="League City"/>
    <x v="0"/>
    <n v="77573"/>
    <s v="Central"/>
    <s v="OFF-AR-10003158"/>
    <x v="0"/>
    <x v="4"/>
    <x v="585"/>
    <n v="22.288"/>
    <n v="7"/>
    <n v="0.2"/>
    <n v="3.9003999999999985"/>
  </r>
  <r>
    <n v="742"/>
    <s v="US-2023-131310"/>
    <x v="153"/>
    <x v="158"/>
    <s v="Standard Class"/>
    <s v="CL-12565"/>
    <s v="Clay Ludtke"/>
    <x v="0"/>
    <x v="0"/>
    <s v="Seattle"/>
    <x v="23"/>
    <n v="98115"/>
    <s v="West"/>
    <s v="OFF-BI-10003094"/>
    <x v="0"/>
    <x v="1"/>
    <x v="544"/>
    <n v="11.264000000000001"/>
    <n v="4"/>
    <n v="0.2"/>
    <n v="3.8015999999999992"/>
  </r>
  <r>
    <n v="743"/>
    <s v="US-2023-129924"/>
    <x v="153"/>
    <x v="160"/>
    <s v="Standard Class"/>
    <s v="AC-10420"/>
    <s v="Alyssa Crouse"/>
    <x v="2"/>
    <x v="0"/>
    <s v="San Francisco"/>
    <x v="5"/>
    <n v="94122"/>
    <s v="West"/>
    <s v="OFF-BI-10003314"/>
    <x v="0"/>
    <x v="1"/>
    <x v="586"/>
    <n v="7.7120000000000006"/>
    <n v="2"/>
    <n v="0.2"/>
    <n v="2.7956000000000003"/>
  </r>
  <r>
    <n v="744"/>
    <s v="US-2023-161508"/>
    <x v="153"/>
    <x v="159"/>
    <s v="Standard Class"/>
    <s v="PV-18985"/>
    <s v="Paul Van Hugh"/>
    <x v="1"/>
    <x v="0"/>
    <s v="League City"/>
    <x v="0"/>
    <n v="77573"/>
    <s v="Central"/>
    <s v="OFF-FA-10001561"/>
    <x v="0"/>
    <x v="6"/>
    <x v="160"/>
    <n v="3.4880000000000004"/>
    <n v="2"/>
    <n v="0.2"/>
    <n v="0.56679999999999997"/>
  </r>
  <r>
    <n v="745"/>
    <s v="US-2023-124807"/>
    <x v="153"/>
    <x v="157"/>
    <s v="Second Class"/>
    <s v="ME-17725"/>
    <s v="Max Engle"/>
    <x v="0"/>
    <x v="0"/>
    <s v="Chicago"/>
    <x v="1"/>
    <n v="60610"/>
    <s v="Central"/>
    <s v="OFF-PA-10001526"/>
    <x v="0"/>
    <x v="0"/>
    <x v="408"/>
    <n v="35.856000000000002"/>
    <n v="9"/>
    <n v="0.2"/>
    <n v="12.997800000000003"/>
  </r>
  <r>
    <n v="746"/>
    <s v="US-2023-161508"/>
    <x v="153"/>
    <x v="159"/>
    <s v="Standard Class"/>
    <s v="PV-18985"/>
    <s v="Paul Van Hugh"/>
    <x v="1"/>
    <x v="0"/>
    <s v="League City"/>
    <x v="0"/>
    <n v="77573"/>
    <s v="Central"/>
    <s v="OFF-PA-10001804"/>
    <x v="0"/>
    <x v="0"/>
    <x v="65"/>
    <n v="16.032"/>
    <n v="3"/>
    <n v="0.2"/>
    <n v="5.6111999999999993"/>
  </r>
  <r>
    <n v="747"/>
    <s v="US-2023-110184"/>
    <x v="153"/>
    <x v="159"/>
    <s v="Standard Class"/>
    <s v="BF-11170"/>
    <s v="Ben Ferrer"/>
    <x v="1"/>
    <x v="0"/>
    <s v="Los Angeles"/>
    <x v="5"/>
    <n v="90036"/>
    <s v="West"/>
    <s v="OFF-ST-10000107"/>
    <x v="0"/>
    <x v="3"/>
    <x v="385"/>
    <n v="249.75"/>
    <n v="9"/>
    <n v="0"/>
    <n v="44.954999999999977"/>
  </r>
  <r>
    <n v="748"/>
    <s v="US-2023-124807"/>
    <x v="153"/>
    <x v="157"/>
    <s v="Second Class"/>
    <s v="ME-17725"/>
    <s v="Max Engle"/>
    <x v="0"/>
    <x v="0"/>
    <s v="Chicago"/>
    <x v="1"/>
    <n v="60610"/>
    <s v="Central"/>
    <s v="TEC-AC-10002857"/>
    <x v="2"/>
    <x v="9"/>
    <x v="587"/>
    <n v="23.840000000000003"/>
    <n v="4"/>
    <n v="0.2"/>
    <n v="3.2779999999999987"/>
  </r>
  <r>
    <n v="749"/>
    <s v="US-2023-110184"/>
    <x v="153"/>
    <x v="159"/>
    <s v="Standard Class"/>
    <s v="BF-11170"/>
    <s v="Ben Ferrer"/>
    <x v="1"/>
    <x v="0"/>
    <s v="Los Angeles"/>
    <x v="5"/>
    <n v="90036"/>
    <s v="West"/>
    <s v="TEC-PH-10000439"/>
    <x v="2"/>
    <x v="7"/>
    <x v="588"/>
    <n v="255.93600000000004"/>
    <n v="8"/>
    <n v="0.2"/>
    <n v="28.792799999999971"/>
  </r>
  <r>
    <n v="750"/>
    <s v="US-2023-165862"/>
    <x v="154"/>
    <x v="160"/>
    <s v="Standard Class"/>
    <s v="GK-14620"/>
    <s v="Grace Kelly"/>
    <x v="2"/>
    <x v="0"/>
    <s v="Los Angeles"/>
    <x v="5"/>
    <n v="90049"/>
    <s v="West"/>
    <s v="FUR-TA-10002855"/>
    <x v="1"/>
    <x v="13"/>
    <x v="589"/>
    <n v="351.21600000000001"/>
    <n v="3"/>
    <n v="0.2"/>
    <n v="4.3901999999999788"/>
  </r>
  <r>
    <n v="751"/>
    <s v="US-2023-164182"/>
    <x v="155"/>
    <x v="158"/>
    <s v="Standard Class"/>
    <s v="ST-20530"/>
    <s v="Shui Tom"/>
    <x v="0"/>
    <x v="0"/>
    <s v="Philadelphia"/>
    <x v="2"/>
    <n v="19140"/>
    <s v="East"/>
    <s v="FUR-FU-10001057"/>
    <x v="1"/>
    <x v="8"/>
    <x v="590"/>
    <n v="31.983999999999998"/>
    <n v="2"/>
    <n v="0.2"/>
    <n v="1.1993999999999998"/>
  </r>
  <r>
    <n v="752"/>
    <s v="US-2023-124464"/>
    <x v="155"/>
    <x v="161"/>
    <s v="Standard Class"/>
    <s v="SS-20515"/>
    <s v="Shirley Schmidt"/>
    <x v="1"/>
    <x v="0"/>
    <s v="Newark"/>
    <x v="7"/>
    <n v="19711"/>
    <s v="East"/>
    <s v="OFF-AP-10000576"/>
    <x v="0"/>
    <x v="12"/>
    <x v="591"/>
    <n v="39.479999999999997"/>
    <n v="1"/>
    <n v="0"/>
    <n v="11.054400000000001"/>
  </r>
  <r>
    <n v="753"/>
    <s v="US-2023-164182"/>
    <x v="155"/>
    <x v="158"/>
    <s v="Standard Class"/>
    <s v="ST-20530"/>
    <s v="Shui Tom"/>
    <x v="0"/>
    <x v="0"/>
    <s v="Philadelphia"/>
    <x v="2"/>
    <n v="19140"/>
    <s v="East"/>
    <s v="OFF-AR-10001044"/>
    <x v="0"/>
    <x v="4"/>
    <x v="155"/>
    <n v="41.584000000000003"/>
    <n v="2"/>
    <n v="0.2"/>
    <n v="4.6781999999999968"/>
  </r>
  <r>
    <n v="754"/>
    <s v="US-2023-109904"/>
    <x v="155"/>
    <x v="160"/>
    <s v="Second Class"/>
    <s v="BF-10975"/>
    <s v="Barbara Fisher"/>
    <x v="2"/>
    <x v="0"/>
    <s v="New York City"/>
    <x v="21"/>
    <n v="10009"/>
    <s v="East"/>
    <s v="OFF-AR-10004999"/>
    <x v="0"/>
    <x v="4"/>
    <x v="592"/>
    <n v="17.940000000000001"/>
    <n v="3"/>
    <n v="0"/>
    <n v="4.4850000000000003"/>
  </r>
  <r>
    <n v="755"/>
    <s v="US-2023-103905"/>
    <x v="155"/>
    <x v="161"/>
    <s v="Standard Class"/>
    <s v="AW-10930"/>
    <s v="Arthur Wiediger"/>
    <x v="1"/>
    <x v="0"/>
    <s v="Aurora"/>
    <x v="1"/>
    <n v="60505"/>
    <s v="Central"/>
    <s v="OFF-BI-10001098"/>
    <x v="0"/>
    <x v="1"/>
    <x v="593"/>
    <n v="29.931999999999992"/>
    <n v="7"/>
    <n v="0.8"/>
    <n v="-46.394600000000011"/>
  </r>
  <r>
    <n v="756"/>
    <s v="US-2023-150532"/>
    <x v="155"/>
    <x v="162"/>
    <s v="Standard Class"/>
    <s v="PB-19150"/>
    <s v="Philip Brown"/>
    <x v="0"/>
    <x v="0"/>
    <s v="Phoenix"/>
    <x v="12"/>
    <n v="85023"/>
    <s v="West"/>
    <s v="OFF-ST-10000760"/>
    <x v="0"/>
    <x v="3"/>
    <x v="55"/>
    <n v="55.92"/>
    <n v="5"/>
    <n v="0.2"/>
    <n v="6.2910000000000004"/>
  </r>
  <r>
    <n v="757"/>
    <s v="US-2023-103905"/>
    <x v="155"/>
    <x v="161"/>
    <s v="Standard Class"/>
    <s v="AW-10930"/>
    <s v="Arthur Wiediger"/>
    <x v="1"/>
    <x v="0"/>
    <s v="Aurora"/>
    <x v="1"/>
    <n v="60505"/>
    <s v="Central"/>
    <s v="TEC-PH-10001552"/>
    <x v="2"/>
    <x v="7"/>
    <x v="448"/>
    <n v="38.272000000000006"/>
    <n v="4"/>
    <n v="0.2"/>
    <n v="3.8272000000000013"/>
  </r>
  <r>
    <n v="758"/>
    <s v="US-2023-164182"/>
    <x v="155"/>
    <x v="158"/>
    <s v="Standard Class"/>
    <s v="ST-20530"/>
    <s v="Shui Tom"/>
    <x v="0"/>
    <x v="0"/>
    <s v="Philadelphia"/>
    <x v="2"/>
    <n v="19140"/>
    <s v="East"/>
    <s v="TEC-PH-10002070"/>
    <x v="2"/>
    <x v="7"/>
    <x v="594"/>
    <n v="13.493999999999998"/>
    <n v="1"/>
    <n v="0.4"/>
    <n v="-2.2490000000000023"/>
  </r>
  <r>
    <n v="759"/>
    <s v="US-2023-164182"/>
    <x v="155"/>
    <x v="158"/>
    <s v="Standard Class"/>
    <s v="ST-20530"/>
    <s v="Shui Tom"/>
    <x v="0"/>
    <x v="0"/>
    <s v="Philadelphia"/>
    <x v="2"/>
    <n v="19140"/>
    <s v="East"/>
    <s v="TEC-PH-10002583"/>
    <x v="2"/>
    <x v="7"/>
    <x v="595"/>
    <n v="23.987999999999996"/>
    <n v="2"/>
    <n v="0.4"/>
    <n v="-13.993000000000004"/>
  </r>
  <r>
    <n v="760"/>
    <s v="US-2023-115980"/>
    <x v="156"/>
    <x v="163"/>
    <s v="Standard Class"/>
    <s v="VW-21775"/>
    <s v="Victoria Wilson"/>
    <x v="2"/>
    <x v="0"/>
    <s v="Sioux Falls"/>
    <x v="20"/>
    <n v="57103"/>
    <s v="Central"/>
    <s v="OFF-FA-10000304"/>
    <x v="0"/>
    <x v="6"/>
    <x v="596"/>
    <n v="6.5400000000000009"/>
    <n v="3"/>
    <n v="0"/>
    <n v="2.6814000000000004"/>
  </r>
  <r>
    <n v="761"/>
    <s v="US-2023-115980"/>
    <x v="156"/>
    <x v="163"/>
    <s v="Standard Class"/>
    <s v="VW-21775"/>
    <s v="Victoria Wilson"/>
    <x v="2"/>
    <x v="0"/>
    <s v="Sioux Falls"/>
    <x v="20"/>
    <n v="57103"/>
    <s v="Central"/>
    <s v="TEC-AC-10003709"/>
    <x v="2"/>
    <x v="9"/>
    <x v="597"/>
    <n v="2.9699999999999998"/>
    <n v="3"/>
    <n v="0"/>
    <n v="1.3068000000000004"/>
  </r>
  <r>
    <n v="762"/>
    <s v="US-2023-123295"/>
    <x v="157"/>
    <x v="158"/>
    <s v="Same Day"/>
    <s v="AH-10120"/>
    <s v="Adrian Hane"/>
    <x v="1"/>
    <x v="0"/>
    <s v="Tucson"/>
    <x v="12"/>
    <n v="85705"/>
    <s v="West"/>
    <s v="FUR-CH-10002372"/>
    <x v="1"/>
    <x v="5"/>
    <x v="598"/>
    <n v="259.13600000000002"/>
    <n v="4"/>
    <n v="0.2"/>
    <n v="-25.913599999999988"/>
  </r>
  <r>
    <n v="763"/>
    <s v="US-2023-138198"/>
    <x v="157"/>
    <x v="164"/>
    <s v="Standard Class"/>
    <s v="JL-15130"/>
    <s v="Jack Lebron"/>
    <x v="0"/>
    <x v="0"/>
    <s v="New Rochelle"/>
    <x v="21"/>
    <n v="10801"/>
    <s v="East"/>
    <s v="OFF-BI-10002103"/>
    <x v="0"/>
    <x v="1"/>
    <x v="599"/>
    <n v="13.904"/>
    <n v="2"/>
    <n v="0.2"/>
    <n v="4.5187999999999997"/>
  </r>
  <r>
    <n v="764"/>
    <s v="US-2023-150434"/>
    <x v="158"/>
    <x v="165"/>
    <s v="Standard Class"/>
    <s v="CA-12310"/>
    <s v="Christine Abelman"/>
    <x v="2"/>
    <x v="0"/>
    <s v="Bristol"/>
    <x v="39"/>
    <n v="6010"/>
    <s v="East"/>
    <s v="FUR-TA-10004152"/>
    <x v="1"/>
    <x v="13"/>
    <x v="600"/>
    <n v="70.559999999999988"/>
    <n v="1"/>
    <n v="0.3"/>
    <n v="-4.032"/>
  </r>
  <r>
    <n v="765"/>
    <s v="US-2023-168158"/>
    <x v="158"/>
    <x v="165"/>
    <s v="Standard Class"/>
    <s v="EM-14140"/>
    <s v="Eugene Moren"/>
    <x v="1"/>
    <x v="0"/>
    <s v="Great Falls"/>
    <x v="37"/>
    <n v="59405"/>
    <s v="West"/>
    <s v="OFF-BI-10001759"/>
    <x v="0"/>
    <x v="1"/>
    <x v="601"/>
    <n v="6.0960000000000001"/>
    <n v="2"/>
    <n v="0.2"/>
    <n v="2.2098"/>
  </r>
  <r>
    <n v="766"/>
    <s v="US-2023-150434"/>
    <x v="158"/>
    <x v="165"/>
    <s v="Standard Class"/>
    <s v="CA-12310"/>
    <s v="Christine Abelman"/>
    <x v="2"/>
    <x v="0"/>
    <s v="Bristol"/>
    <x v="39"/>
    <n v="6010"/>
    <s v="East"/>
    <s v="OFF-BI-10002160"/>
    <x v="0"/>
    <x v="1"/>
    <x v="602"/>
    <n v="3.81"/>
    <n v="1"/>
    <n v="0"/>
    <n v="1.8288"/>
  </r>
  <r>
    <n v="767"/>
    <s v="US-2023-150434"/>
    <x v="158"/>
    <x v="165"/>
    <s v="Standard Class"/>
    <s v="CA-12310"/>
    <s v="Christine Abelman"/>
    <x v="2"/>
    <x v="0"/>
    <s v="Bristol"/>
    <x v="39"/>
    <n v="6010"/>
    <s v="East"/>
    <s v="OFF-BI-10003694"/>
    <x v="0"/>
    <x v="1"/>
    <x v="603"/>
    <n v="20.88"/>
    <n v="2"/>
    <n v="0"/>
    <n v="9.6047999999999991"/>
  </r>
  <r>
    <n v="768"/>
    <s v="US-2023-150434"/>
    <x v="158"/>
    <x v="165"/>
    <s v="Standard Class"/>
    <s v="CA-12310"/>
    <s v="Christine Abelman"/>
    <x v="2"/>
    <x v="0"/>
    <s v="Bristol"/>
    <x v="39"/>
    <n v="6010"/>
    <s v="East"/>
    <s v="TEC-PH-10000895"/>
    <x v="2"/>
    <x v="7"/>
    <x v="579"/>
    <n v="359.98"/>
    <n v="2"/>
    <n v="0"/>
    <n v="93.594800000000021"/>
  </r>
  <r>
    <n v="769"/>
    <s v="US-2023-143903"/>
    <x v="159"/>
    <x v="165"/>
    <s v="Standard Class"/>
    <s v="KM-16375"/>
    <s v="Katherine Murray"/>
    <x v="1"/>
    <x v="0"/>
    <s v="Dallas"/>
    <x v="0"/>
    <n v="75217"/>
    <s v="Central"/>
    <s v="FUR-CH-10002024"/>
    <x v="1"/>
    <x v="5"/>
    <x v="604"/>
    <n v="981.37199999999996"/>
    <n v="2"/>
    <n v="0.3"/>
    <n v="-140.19599999999997"/>
  </r>
  <r>
    <n v="770"/>
    <s v="US-2023-141726"/>
    <x v="159"/>
    <x v="166"/>
    <s v="First Class"/>
    <s v="CC-12145"/>
    <s v="Charles Crestani"/>
    <x v="0"/>
    <x v="0"/>
    <s v="San Diego"/>
    <x v="5"/>
    <n v="92105"/>
    <s v="West"/>
    <s v="FUR-FU-10003577"/>
    <x v="1"/>
    <x v="8"/>
    <x v="605"/>
    <n v="43.019999999999996"/>
    <n v="3"/>
    <n v="0"/>
    <n v="15.4872"/>
  </r>
  <r>
    <n v="771"/>
    <s v="US-2023-143903"/>
    <x v="159"/>
    <x v="165"/>
    <s v="Standard Class"/>
    <s v="KM-16375"/>
    <s v="Katherine Murray"/>
    <x v="1"/>
    <x v="0"/>
    <s v="Dallas"/>
    <x v="0"/>
    <n v="75217"/>
    <s v="Central"/>
    <s v="FUR-FU-10003724"/>
    <x v="1"/>
    <x v="8"/>
    <x v="606"/>
    <n v="16.739999999999998"/>
    <n v="5"/>
    <n v="0.6"/>
    <n v="-14.228999999999997"/>
  </r>
  <r>
    <n v="772"/>
    <s v="US-2023-127866"/>
    <x v="159"/>
    <x v="164"/>
    <s v="First Class"/>
    <s v="JD-15895"/>
    <s v="Jonathan Doherty"/>
    <x v="2"/>
    <x v="0"/>
    <s v="Riverside"/>
    <x v="5"/>
    <n v="92503"/>
    <s v="West"/>
    <s v="OFF-AR-10003481"/>
    <x v="0"/>
    <x v="4"/>
    <x v="607"/>
    <n v="13.12"/>
    <n v="4"/>
    <n v="0"/>
    <n v="3.8047999999999984"/>
  </r>
  <r>
    <n v="773"/>
    <s v="US-2023-142965"/>
    <x v="159"/>
    <x v="161"/>
    <s v="Same Day"/>
    <s v="SW-20245"/>
    <s v="Scot Wooten"/>
    <x v="0"/>
    <x v="0"/>
    <s v="Springfield"/>
    <x v="9"/>
    <n v="45503"/>
    <s v="East"/>
    <s v="OFF-BI-10000977"/>
    <x v="0"/>
    <x v="1"/>
    <x v="418"/>
    <n v="27.360000000000003"/>
    <n v="3"/>
    <n v="0.7"/>
    <n v="-21.887999999999991"/>
  </r>
  <r>
    <n v="774"/>
    <s v="US-2023-141726"/>
    <x v="159"/>
    <x v="166"/>
    <s v="First Class"/>
    <s v="CC-12145"/>
    <s v="Charles Crestani"/>
    <x v="0"/>
    <x v="0"/>
    <s v="San Diego"/>
    <x v="5"/>
    <n v="92105"/>
    <s v="West"/>
    <s v="OFF-BI-10001982"/>
    <x v="0"/>
    <x v="1"/>
    <x v="608"/>
    <n v="8.7040000000000006"/>
    <n v="2"/>
    <n v="0.2"/>
    <n v="3.1551999999999998"/>
  </r>
  <r>
    <n v="775"/>
    <s v="US-2023-157546"/>
    <x v="159"/>
    <x v="166"/>
    <s v="First Class"/>
    <s v="RD-19720"/>
    <s v="Roger Demir"/>
    <x v="0"/>
    <x v="0"/>
    <s v="San Francisco"/>
    <x v="5"/>
    <n v="94122"/>
    <s v="West"/>
    <s v="OFF-BI-10002498"/>
    <x v="0"/>
    <x v="1"/>
    <x v="609"/>
    <n v="89.712000000000018"/>
    <n v="6"/>
    <n v="0.2"/>
    <n v="30.277799999999992"/>
  </r>
  <r>
    <n v="776"/>
    <s v="US-2023-141726"/>
    <x v="159"/>
    <x v="166"/>
    <s v="First Class"/>
    <s v="CC-12145"/>
    <s v="Charles Crestani"/>
    <x v="0"/>
    <x v="0"/>
    <s v="San Diego"/>
    <x v="5"/>
    <n v="92105"/>
    <s v="West"/>
    <s v="OFF-PA-10000418"/>
    <x v="0"/>
    <x v="0"/>
    <x v="610"/>
    <n v="104.85"/>
    <n v="1"/>
    <n v="0"/>
    <n v="50.327999999999996"/>
  </r>
  <r>
    <n v="777"/>
    <s v="US-2023-141726"/>
    <x v="159"/>
    <x v="166"/>
    <s v="First Class"/>
    <s v="CC-12145"/>
    <s v="Charles Crestani"/>
    <x v="0"/>
    <x v="0"/>
    <s v="San Diego"/>
    <x v="5"/>
    <n v="92105"/>
    <s v="West"/>
    <s v="OFF-PA-10002230"/>
    <x v="0"/>
    <x v="0"/>
    <x v="611"/>
    <n v="19.920000000000002"/>
    <n v="4"/>
    <n v="0"/>
    <n v="9.7608000000000015"/>
  </r>
  <r>
    <n v="778"/>
    <s v="US-2023-127866"/>
    <x v="159"/>
    <x v="164"/>
    <s v="First Class"/>
    <s v="JD-15895"/>
    <s v="Jonathan Doherty"/>
    <x v="2"/>
    <x v="0"/>
    <s v="Riverside"/>
    <x v="5"/>
    <n v="92503"/>
    <s v="West"/>
    <s v="OFF-PA-10003971"/>
    <x v="0"/>
    <x v="0"/>
    <x v="612"/>
    <n v="11.96"/>
    <n v="2"/>
    <n v="0"/>
    <n v="5.8604000000000003"/>
  </r>
  <r>
    <n v="779"/>
    <s v="US-2023-157546"/>
    <x v="159"/>
    <x v="166"/>
    <s v="First Class"/>
    <s v="RD-19720"/>
    <s v="Roger Demir"/>
    <x v="0"/>
    <x v="0"/>
    <s v="San Francisco"/>
    <x v="5"/>
    <n v="94122"/>
    <s v="West"/>
    <s v="OFF-PA-10004569"/>
    <x v="0"/>
    <x v="0"/>
    <x v="613"/>
    <n v="22.830000000000002"/>
    <n v="3"/>
    <n v="0"/>
    <n v="10.7301"/>
  </r>
  <r>
    <n v="780"/>
    <s v="US-2023-127866"/>
    <x v="159"/>
    <x v="164"/>
    <s v="First Class"/>
    <s v="JD-15895"/>
    <s v="Jonathan Doherty"/>
    <x v="2"/>
    <x v="0"/>
    <s v="Riverside"/>
    <x v="5"/>
    <n v="92503"/>
    <s v="West"/>
    <s v="OFF-ST-10001490"/>
    <x v="0"/>
    <x v="3"/>
    <x v="178"/>
    <n v="535.41"/>
    <n v="3"/>
    <n v="0"/>
    <n v="160.62299999999993"/>
  </r>
  <r>
    <n v="781"/>
    <s v="US-2023-142965"/>
    <x v="159"/>
    <x v="161"/>
    <s v="Same Day"/>
    <s v="SW-20245"/>
    <s v="Scot Wooten"/>
    <x v="0"/>
    <x v="0"/>
    <s v="Springfield"/>
    <x v="9"/>
    <n v="45503"/>
    <s v="East"/>
    <s v="OFF-ST-10002583"/>
    <x v="0"/>
    <x v="3"/>
    <x v="104"/>
    <n v="25.983999999999998"/>
    <n v="1"/>
    <n v="0.2"/>
    <n v="-5.1968000000000005"/>
  </r>
  <r>
    <n v="782"/>
    <s v="US-2023-143903"/>
    <x v="159"/>
    <x v="165"/>
    <s v="Standard Class"/>
    <s v="KM-16375"/>
    <s v="Katherine Murray"/>
    <x v="1"/>
    <x v="0"/>
    <s v="Dallas"/>
    <x v="0"/>
    <n v="75217"/>
    <s v="Central"/>
    <s v="OFF-ST-10003306"/>
    <x v="0"/>
    <x v="3"/>
    <x v="614"/>
    <n v="342.86400000000003"/>
    <n v="3"/>
    <n v="0.2"/>
    <n v="38.572199999999953"/>
  </r>
  <r>
    <n v="783"/>
    <s v="US-2023-127866"/>
    <x v="159"/>
    <x v="164"/>
    <s v="First Class"/>
    <s v="JD-15895"/>
    <s v="Jonathan Doherty"/>
    <x v="2"/>
    <x v="0"/>
    <s v="Riverside"/>
    <x v="5"/>
    <n v="92503"/>
    <s v="West"/>
    <s v="TEC-AC-10000023"/>
    <x v="2"/>
    <x v="9"/>
    <x v="615"/>
    <n v="41.94"/>
    <n v="2"/>
    <n v="0"/>
    <n v="15.098399999999998"/>
  </r>
  <r>
    <n v="784"/>
    <s v="US-2023-116932"/>
    <x v="160"/>
    <x v="167"/>
    <s v="Standard Class"/>
    <s v="ME-18010"/>
    <s v="Michelle Ellison"/>
    <x v="2"/>
    <x v="0"/>
    <s v="San Francisco"/>
    <x v="5"/>
    <n v="94122"/>
    <s v="West"/>
    <s v="FUR-CH-10001215"/>
    <x v="1"/>
    <x v="5"/>
    <x v="616"/>
    <n v="801.5680000000001"/>
    <n v="2"/>
    <n v="0.2"/>
    <n v="50.097999999999985"/>
  </r>
  <r>
    <n v="785"/>
    <s v="US-2023-129189"/>
    <x v="160"/>
    <x v="167"/>
    <s v="Standard Class"/>
    <s v="HM-14860"/>
    <s v="Harry Marie"/>
    <x v="2"/>
    <x v="0"/>
    <s v="Dallas"/>
    <x v="0"/>
    <n v="75217"/>
    <s v="Central"/>
    <s v="FUR-CH-10004997"/>
    <x v="1"/>
    <x v="5"/>
    <x v="617"/>
    <n v="657.93"/>
    <n v="5"/>
    <n v="0.3"/>
    <n v="-93.989999999999952"/>
  </r>
  <r>
    <n v="786"/>
    <s v="US-2023-116932"/>
    <x v="160"/>
    <x v="167"/>
    <s v="Standard Class"/>
    <s v="ME-18010"/>
    <s v="Michelle Ellison"/>
    <x v="2"/>
    <x v="0"/>
    <s v="San Francisco"/>
    <x v="5"/>
    <n v="94122"/>
    <s v="West"/>
    <s v="FUR-TA-10004175"/>
    <x v="1"/>
    <x v="13"/>
    <x v="182"/>
    <n v="272.84800000000001"/>
    <n v="1"/>
    <n v="0.2"/>
    <n v="27.284800000000004"/>
  </r>
  <r>
    <n v="787"/>
    <s v="US-2023-129189"/>
    <x v="160"/>
    <x v="167"/>
    <s v="Standard Class"/>
    <s v="HM-14860"/>
    <s v="Harry Marie"/>
    <x v="2"/>
    <x v="0"/>
    <s v="Dallas"/>
    <x v="0"/>
    <n v="75217"/>
    <s v="Central"/>
    <s v="OFF-AP-10000124"/>
    <x v="0"/>
    <x v="12"/>
    <x v="413"/>
    <n v="4.9919999999999991"/>
    <n v="3"/>
    <n v="0.8"/>
    <n v="-12.979200000000002"/>
  </r>
  <r>
    <n v="788"/>
    <s v="US-2023-116932"/>
    <x v="160"/>
    <x v="167"/>
    <s v="Standard Class"/>
    <s v="ME-18010"/>
    <s v="Michelle Ellison"/>
    <x v="2"/>
    <x v="0"/>
    <s v="San Francisco"/>
    <x v="5"/>
    <n v="94122"/>
    <s v="West"/>
    <s v="OFF-AR-10002067"/>
    <x v="0"/>
    <x v="4"/>
    <x v="618"/>
    <n v="99.2"/>
    <n v="5"/>
    <n v="0"/>
    <n v="25.792000000000002"/>
  </r>
  <r>
    <n v="789"/>
    <s v="US-2023-129189"/>
    <x v="160"/>
    <x v="167"/>
    <s v="Standard Class"/>
    <s v="HM-14860"/>
    <s v="Harry Marie"/>
    <x v="2"/>
    <x v="0"/>
    <s v="Dallas"/>
    <x v="0"/>
    <n v="75217"/>
    <s v="Central"/>
    <s v="OFF-BI-10000494"/>
    <x v="0"/>
    <x v="1"/>
    <x v="619"/>
    <n v="1.0439999999999998"/>
    <n v="1"/>
    <n v="0.8"/>
    <n v="-1.8270000000000004"/>
  </r>
  <r>
    <n v="790"/>
    <s v="US-2023-129189"/>
    <x v="160"/>
    <x v="167"/>
    <s v="Standard Class"/>
    <s v="HM-14860"/>
    <s v="Harry Marie"/>
    <x v="2"/>
    <x v="0"/>
    <s v="Dallas"/>
    <x v="0"/>
    <n v="75217"/>
    <s v="Central"/>
    <s v="OFF-EN-10003567"/>
    <x v="0"/>
    <x v="11"/>
    <x v="620"/>
    <n v="87.92"/>
    <n v="5"/>
    <n v="0.2"/>
    <n v="29.673000000000005"/>
  </r>
  <r>
    <n v="791"/>
    <s v="US-2023-109890"/>
    <x v="160"/>
    <x v="168"/>
    <s v="Standard Class"/>
    <s v="PG-18820"/>
    <s v="Patrick Gardner"/>
    <x v="0"/>
    <x v="0"/>
    <s v="Omaha"/>
    <x v="45"/>
    <n v="68104"/>
    <s v="Central"/>
    <s v="TEC-PH-10004100"/>
    <x v="2"/>
    <x v="7"/>
    <x v="234"/>
    <n v="35.979999999999997"/>
    <n v="2"/>
    <n v="0"/>
    <n v="10.074400000000001"/>
  </r>
  <r>
    <n v="792"/>
    <s v="US-2023-117464"/>
    <x v="161"/>
    <x v="165"/>
    <s v="Second Class"/>
    <s v="NP-18325"/>
    <s v="Naresj Patel"/>
    <x v="0"/>
    <x v="0"/>
    <s v="San Francisco"/>
    <x v="5"/>
    <n v="94122"/>
    <s v="West"/>
    <s v="FUR-CH-10000155"/>
    <x v="1"/>
    <x v="5"/>
    <x v="566"/>
    <n v="717.72"/>
    <n v="3"/>
    <n v="0.2"/>
    <n v="71.77200000000002"/>
  </r>
  <r>
    <n v="793"/>
    <s v="US-2023-117464"/>
    <x v="161"/>
    <x v="165"/>
    <s v="Second Class"/>
    <s v="NP-18325"/>
    <s v="Naresj Patel"/>
    <x v="0"/>
    <x v="0"/>
    <s v="San Francisco"/>
    <x v="5"/>
    <n v="94122"/>
    <s v="West"/>
    <s v="FUR-TA-10004767"/>
    <x v="1"/>
    <x v="13"/>
    <x v="621"/>
    <n v="170.35200000000003"/>
    <n v="3"/>
    <n v="0.2"/>
    <n v="19.164599999999979"/>
  </r>
  <r>
    <n v="794"/>
    <s v="US-2023-127691"/>
    <x v="161"/>
    <x v="168"/>
    <s v="Standard Class"/>
    <s v="EM-14065"/>
    <s v="Erin Mull"/>
    <x v="0"/>
    <x v="0"/>
    <s v="New York City"/>
    <x v="21"/>
    <n v="10024"/>
    <s v="East"/>
    <s v="OFF-AR-10002053"/>
    <x v="0"/>
    <x v="4"/>
    <x v="622"/>
    <n v="5.96"/>
    <n v="2"/>
    <n v="0"/>
    <n v="1.6688000000000001"/>
  </r>
  <r>
    <n v="795"/>
    <s v="US-2023-117464"/>
    <x v="161"/>
    <x v="165"/>
    <s v="Second Class"/>
    <s v="NP-18325"/>
    <s v="Naresj Patel"/>
    <x v="0"/>
    <x v="0"/>
    <s v="San Francisco"/>
    <x v="5"/>
    <n v="94122"/>
    <s v="West"/>
    <s v="OFF-AR-10003190"/>
    <x v="0"/>
    <x v="4"/>
    <x v="623"/>
    <n v="11.52"/>
    <n v="4"/>
    <n v="0"/>
    <n v="3.2256"/>
  </r>
  <r>
    <n v="796"/>
    <s v="US-2023-122679"/>
    <x v="161"/>
    <x v="169"/>
    <s v="Standard Class"/>
    <s v="AB-10255"/>
    <s v="Alejandro Ballentine"/>
    <x v="1"/>
    <x v="0"/>
    <s v="Los Angeles"/>
    <x v="5"/>
    <n v="90008"/>
    <s v="West"/>
    <s v="OFF-AR-10004757"/>
    <x v="0"/>
    <x v="4"/>
    <x v="275"/>
    <n v="19.68"/>
    <n v="6"/>
    <n v="0"/>
    <n v="6.4943999999999988"/>
  </r>
  <r>
    <n v="797"/>
    <s v="US-2023-117464"/>
    <x v="161"/>
    <x v="165"/>
    <s v="Second Class"/>
    <s v="NP-18325"/>
    <s v="Naresj Patel"/>
    <x v="0"/>
    <x v="0"/>
    <s v="San Francisco"/>
    <x v="5"/>
    <n v="94122"/>
    <s v="West"/>
    <s v="OFF-ST-10003058"/>
    <x v="0"/>
    <x v="3"/>
    <x v="624"/>
    <n v="236.5"/>
    <n v="10"/>
    <n v="0"/>
    <n v="68.584999999999994"/>
  </r>
  <r>
    <n v="798"/>
    <s v="US-2023-164644"/>
    <x v="161"/>
    <x v="165"/>
    <s v="Second Class"/>
    <s v="JL-15850"/>
    <s v="John Lucas"/>
    <x v="0"/>
    <x v="0"/>
    <s v="Houston"/>
    <x v="0"/>
    <n v="77095"/>
    <s v="Central"/>
    <s v="OFF-ST-10003123"/>
    <x v="0"/>
    <x v="3"/>
    <x v="56"/>
    <n v="26.632000000000001"/>
    <n v="1"/>
    <n v="0.2"/>
    <n v="1.331599999999999"/>
  </r>
  <r>
    <n v="799"/>
    <s v="US-2023-127691"/>
    <x v="161"/>
    <x v="168"/>
    <s v="Standard Class"/>
    <s v="EM-14065"/>
    <s v="Erin Mull"/>
    <x v="0"/>
    <x v="0"/>
    <s v="New York City"/>
    <x v="21"/>
    <n v="10024"/>
    <s v="East"/>
    <s v="TEC-AC-10002567"/>
    <x v="2"/>
    <x v="9"/>
    <x v="625"/>
    <n v="159.97999999999999"/>
    <n v="2"/>
    <n v="0"/>
    <n v="57.592799999999997"/>
  </r>
  <r>
    <n v="800"/>
    <s v="US-2023-119137"/>
    <x v="162"/>
    <x v="168"/>
    <s v="Standard Class"/>
    <s v="AG-10900"/>
    <s v="Arthur Gainer"/>
    <x v="0"/>
    <x v="0"/>
    <s v="Tucson"/>
    <x v="12"/>
    <n v="85705"/>
    <s v="West"/>
    <s v="OFF-AR-10000658"/>
    <x v="0"/>
    <x v="4"/>
    <x v="626"/>
    <n v="9.24"/>
    <n v="1"/>
    <n v="0.2"/>
    <n v="0.92399999999999993"/>
  </r>
  <r>
    <n v="801"/>
    <s v="US-2023-119137"/>
    <x v="162"/>
    <x v="168"/>
    <s v="Standard Class"/>
    <s v="AG-10900"/>
    <s v="Arthur Gainer"/>
    <x v="0"/>
    <x v="0"/>
    <s v="Tucson"/>
    <x v="12"/>
    <n v="85705"/>
    <s v="West"/>
    <s v="OFF-BI-10001982"/>
    <x v="0"/>
    <x v="1"/>
    <x v="608"/>
    <n v="8.1600000000000019"/>
    <n v="5"/>
    <n v="0.7"/>
    <n v="-5.7119999999999997"/>
  </r>
  <r>
    <n v="802"/>
    <s v="US-2023-145254"/>
    <x v="162"/>
    <x v="168"/>
    <s v="Standard Class"/>
    <s v="NC-18535"/>
    <s v="Nick Crebassa"/>
    <x v="2"/>
    <x v="0"/>
    <s v="San Francisco"/>
    <x v="5"/>
    <n v="94122"/>
    <s v="West"/>
    <s v="OFF-SU-10004664"/>
    <x v="0"/>
    <x v="14"/>
    <x v="627"/>
    <n v="40.700000000000003"/>
    <n v="5"/>
    <n v="0"/>
    <n v="11.802999999999999"/>
  </r>
  <r>
    <n v="803"/>
    <s v="US-2023-103058"/>
    <x v="162"/>
    <x v="165"/>
    <s v="First Class"/>
    <s v="AG-10270"/>
    <s v="Alejandro Grove"/>
    <x v="0"/>
    <x v="0"/>
    <s v="New York City"/>
    <x v="21"/>
    <n v="10011"/>
    <s v="East"/>
    <s v="TEC-AC-10001314"/>
    <x v="2"/>
    <x v="9"/>
    <x v="628"/>
    <n v="99.98"/>
    <n v="2"/>
    <n v="0"/>
    <n v="7.9983999999999895"/>
  </r>
  <r>
    <n v="804"/>
    <s v="US-2023-119137"/>
    <x v="162"/>
    <x v="168"/>
    <s v="Standard Class"/>
    <s v="AG-10900"/>
    <s v="Arthur Gainer"/>
    <x v="0"/>
    <x v="0"/>
    <s v="Tucson"/>
    <x v="12"/>
    <n v="85705"/>
    <s v="West"/>
    <s v="TEC-AC-10002076"/>
    <x v="2"/>
    <x v="9"/>
    <x v="629"/>
    <n v="479.04"/>
    <n v="10"/>
    <n v="0.2"/>
    <n v="-29.940000000000012"/>
  </r>
  <r>
    <n v="805"/>
    <s v="US-2023-145254"/>
    <x v="162"/>
    <x v="168"/>
    <s v="Standard Class"/>
    <s v="NC-18535"/>
    <s v="Nick Crebassa"/>
    <x v="2"/>
    <x v="0"/>
    <s v="San Francisco"/>
    <x v="5"/>
    <n v="94122"/>
    <s v="West"/>
    <s v="TEC-AC-10002167"/>
    <x v="2"/>
    <x v="9"/>
    <x v="630"/>
    <n v="45"/>
    <n v="3"/>
    <n v="0"/>
    <n v="4.9500000000000011"/>
  </r>
  <r>
    <n v="806"/>
    <s v="US-2023-119137"/>
    <x v="162"/>
    <x v="168"/>
    <s v="Standard Class"/>
    <s v="AG-10900"/>
    <s v="Arthur Gainer"/>
    <x v="0"/>
    <x v="0"/>
    <s v="Tucson"/>
    <x v="12"/>
    <n v="85705"/>
    <s v="West"/>
    <s v="TEC-AC-10003911"/>
    <x v="2"/>
    <x v="9"/>
    <x v="565"/>
    <n v="1023.9360000000001"/>
    <n v="8"/>
    <n v="0.2"/>
    <n v="179.1887999999999"/>
  </r>
  <r>
    <n v="807"/>
    <s v="US-2023-145254"/>
    <x v="162"/>
    <x v="168"/>
    <s v="Standard Class"/>
    <s v="NC-18535"/>
    <s v="Nick Crebassa"/>
    <x v="2"/>
    <x v="0"/>
    <s v="San Francisco"/>
    <x v="5"/>
    <n v="94122"/>
    <s v="West"/>
    <s v="TEC-PH-10000441"/>
    <x v="2"/>
    <x v="7"/>
    <x v="440"/>
    <n v="604.75199999999995"/>
    <n v="6"/>
    <n v="0.2"/>
    <n v="60.475200000000058"/>
  </r>
  <r>
    <n v="808"/>
    <s v="US-2023-145254"/>
    <x v="162"/>
    <x v="168"/>
    <s v="Standard Class"/>
    <s v="NC-18535"/>
    <s v="Nick Crebassa"/>
    <x v="2"/>
    <x v="0"/>
    <s v="San Francisco"/>
    <x v="5"/>
    <n v="94122"/>
    <s v="West"/>
    <s v="TEC-PH-10004531"/>
    <x v="2"/>
    <x v="7"/>
    <x v="347"/>
    <n v="302.37599999999998"/>
    <n v="3"/>
    <n v="0.2"/>
    <n v="37.796999999999997"/>
  </r>
  <r>
    <n v="809"/>
    <s v="US-2023-143917"/>
    <x v="163"/>
    <x v="168"/>
    <s v="Second Class"/>
    <s v="KL-16645"/>
    <s v="Ken Lonsdale"/>
    <x v="0"/>
    <x v="0"/>
    <s v="San Francisco"/>
    <x v="5"/>
    <n v="94122"/>
    <s v="West"/>
    <s v="FUR-FU-10004351"/>
    <x v="1"/>
    <x v="8"/>
    <x v="631"/>
    <n v="77.92"/>
    <n v="8"/>
    <n v="0"/>
    <n v="34.284800000000004"/>
  </r>
  <r>
    <n v="810"/>
    <s v="US-2023-146528"/>
    <x v="163"/>
    <x v="168"/>
    <s v="Second Class"/>
    <s v="VF-21715"/>
    <s v="Vicky Freymann"/>
    <x v="1"/>
    <x v="0"/>
    <s v="Los Angeles"/>
    <x v="5"/>
    <n v="90045"/>
    <s v="West"/>
    <s v="OFF-PA-10002195"/>
    <x v="0"/>
    <x v="0"/>
    <x v="190"/>
    <n v="6.48"/>
    <n v="1"/>
    <n v="0"/>
    <n v="3.1752000000000002"/>
  </r>
  <r>
    <n v="811"/>
    <s v="US-2023-143917"/>
    <x v="163"/>
    <x v="168"/>
    <s v="Second Class"/>
    <s v="KL-16645"/>
    <s v="Ken Lonsdale"/>
    <x v="0"/>
    <x v="0"/>
    <s v="San Francisco"/>
    <x v="5"/>
    <n v="94122"/>
    <s v="West"/>
    <s v="OFF-ST-10001228"/>
    <x v="0"/>
    <x v="3"/>
    <x v="632"/>
    <n v="53.72"/>
    <n v="4"/>
    <n v="0"/>
    <n v="15.041600000000003"/>
  </r>
  <r>
    <n v="812"/>
    <s v="US-2023-143917"/>
    <x v="163"/>
    <x v="168"/>
    <s v="Second Class"/>
    <s v="KL-16645"/>
    <s v="Ken Lonsdale"/>
    <x v="0"/>
    <x v="0"/>
    <s v="San Francisco"/>
    <x v="5"/>
    <n v="94122"/>
    <s v="West"/>
    <s v="OFF-SU-10000151"/>
    <x v="0"/>
    <x v="14"/>
    <x v="633"/>
    <n v="8187.65"/>
    <n v="5"/>
    <n v="0"/>
    <n v="327.50599999999963"/>
  </r>
  <r>
    <n v="813"/>
    <s v="US-2023-146528"/>
    <x v="163"/>
    <x v="168"/>
    <s v="Second Class"/>
    <s v="VF-21715"/>
    <s v="Vicky Freymann"/>
    <x v="1"/>
    <x v="0"/>
    <s v="Los Angeles"/>
    <x v="5"/>
    <n v="90045"/>
    <s v="West"/>
    <s v="OFF-SU-10002522"/>
    <x v="0"/>
    <x v="14"/>
    <x v="538"/>
    <n v="15.52"/>
    <n v="4"/>
    <n v="0"/>
    <n v="4.5007999999999981"/>
  </r>
  <r>
    <n v="814"/>
    <s v="US-2023-116190"/>
    <x v="164"/>
    <x v="170"/>
    <s v="Standard Class"/>
    <s v="SG-20470"/>
    <s v="Sheri Gordon"/>
    <x v="0"/>
    <x v="0"/>
    <s v="Atlanta"/>
    <x v="4"/>
    <n v="30318"/>
    <s v="South"/>
    <s v="FUR-CH-10000553"/>
    <x v="1"/>
    <x v="5"/>
    <x v="634"/>
    <n v="67.88"/>
    <n v="2"/>
    <n v="0"/>
    <n v="18.327599999999997"/>
  </r>
  <r>
    <n v="815"/>
    <s v="US-2023-126760"/>
    <x v="164"/>
    <x v="171"/>
    <s v="Standard Class"/>
    <s v="KM-16720"/>
    <s v="Kunst Miller"/>
    <x v="0"/>
    <x v="0"/>
    <s v="North Las Vegas"/>
    <x v="19"/>
    <n v="89031"/>
    <s v="West"/>
    <s v="FUR-CH-10003312"/>
    <x v="1"/>
    <x v="5"/>
    <x v="635"/>
    <n v="674.35200000000009"/>
    <n v="3"/>
    <n v="0.2"/>
    <n v="-109.58220000000011"/>
  </r>
  <r>
    <n v="816"/>
    <s v="US-2023-116190"/>
    <x v="164"/>
    <x v="170"/>
    <s v="Standard Class"/>
    <s v="SG-20470"/>
    <s v="Sheri Gordon"/>
    <x v="0"/>
    <x v="0"/>
    <s v="Atlanta"/>
    <x v="4"/>
    <n v="30318"/>
    <s v="South"/>
    <s v="FUR-FU-10000719"/>
    <x v="1"/>
    <x v="8"/>
    <x v="636"/>
    <n v="25.71"/>
    <n v="3"/>
    <n v="0"/>
    <n v="9.2556000000000012"/>
  </r>
  <r>
    <n v="817"/>
    <s v="US-2023-126760"/>
    <x v="164"/>
    <x v="171"/>
    <s v="Standard Class"/>
    <s v="KM-16720"/>
    <s v="Kunst Miller"/>
    <x v="0"/>
    <x v="0"/>
    <s v="North Las Vegas"/>
    <x v="19"/>
    <n v="89031"/>
    <s v="West"/>
    <s v="FUR-FU-10004018"/>
    <x v="1"/>
    <x v="8"/>
    <x v="637"/>
    <n v="134.01"/>
    <n v="9"/>
    <n v="0"/>
    <n v="36.182700000000004"/>
  </r>
  <r>
    <n v="818"/>
    <s v="US-2023-169019"/>
    <x v="164"/>
    <x v="172"/>
    <s v="Standard Class"/>
    <s v="LF-17185"/>
    <s v="Luke Foster"/>
    <x v="0"/>
    <x v="0"/>
    <s v="San Antonio"/>
    <x v="0"/>
    <n v="78207"/>
    <s v="Central"/>
    <s v="FUR-FU-10004666"/>
    <x v="1"/>
    <x v="8"/>
    <x v="638"/>
    <n v="17.496000000000002"/>
    <n v="3"/>
    <n v="0.6"/>
    <n v="-10.060199999999998"/>
  </r>
  <r>
    <n v="819"/>
    <s v="US-2023-169019"/>
    <x v="164"/>
    <x v="172"/>
    <s v="Standard Class"/>
    <s v="LF-17185"/>
    <s v="Luke Foster"/>
    <x v="0"/>
    <x v="0"/>
    <s v="San Antonio"/>
    <x v="0"/>
    <n v="78207"/>
    <s v="Central"/>
    <s v="OFF-AP-10003281"/>
    <x v="0"/>
    <x v="12"/>
    <x v="639"/>
    <n v="4.8359999999999985"/>
    <n v="2"/>
    <n v="0.8"/>
    <n v="-12.090000000000003"/>
  </r>
  <r>
    <n v="820"/>
    <s v="US-2023-169019"/>
    <x v="164"/>
    <x v="172"/>
    <s v="Standard Class"/>
    <s v="LF-17185"/>
    <s v="Luke Foster"/>
    <x v="0"/>
    <x v="0"/>
    <s v="San Antonio"/>
    <x v="0"/>
    <n v="78207"/>
    <s v="Central"/>
    <s v="OFF-BI-10001524"/>
    <x v="0"/>
    <x v="1"/>
    <x v="640"/>
    <n v="16.783999999999995"/>
    <n v="4"/>
    <n v="0.8"/>
    <n v="-26.854400000000012"/>
  </r>
  <r>
    <n v="821"/>
    <s v="US-2023-169019"/>
    <x v="164"/>
    <x v="172"/>
    <s v="Standard Class"/>
    <s v="LF-17185"/>
    <s v="Luke Foster"/>
    <x v="0"/>
    <x v="0"/>
    <s v="San Antonio"/>
    <x v="0"/>
    <n v="78207"/>
    <s v="Central"/>
    <s v="OFF-BI-10001679"/>
    <x v="0"/>
    <x v="1"/>
    <x v="641"/>
    <n v="8.879999999999999"/>
    <n v="5"/>
    <n v="0.8"/>
    <n v="-13.32"/>
  </r>
  <r>
    <n v="822"/>
    <s v="US-2023-169019"/>
    <x v="164"/>
    <x v="172"/>
    <s v="Standard Class"/>
    <s v="LF-17185"/>
    <s v="Luke Foster"/>
    <x v="0"/>
    <x v="0"/>
    <s v="San Antonio"/>
    <x v="0"/>
    <n v="78207"/>
    <s v="Central"/>
    <s v="OFF-BI-10004995"/>
    <x v="0"/>
    <x v="1"/>
    <x v="505"/>
    <n v="2177.5839999999994"/>
    <n v="8"/>
    <n v="0.8"/>
    <n v="-3701.8928000000014"/>
  </r>
  <r>
    <n v="823"/>
    <s v="US-2023-116190"/>
    <x v="164"/>
    <x v="170"/>
    <s v="Standard Class"/>
    <s v="SG-20470"/>
    <s v="Sheri Gordon"/>
    <x v="0"/>
    <x v="0"/>
    <s v="Atlanta"/>
    <x v="4"/>
    <n v="30318"/>
    <s v="South"/>
    <s v="OFF-LA-10002762"/>
    <x v="0"/>
    <x v="2"/>
    <x v="642"/>
    <n v="162.88999999999999"/>
    <n v="13"/>
    <n v="0"/>
    <n v="76.558299999999988"/>
  </r>
  <r>
    <n v="824"/>
    <s v="US-2023-155894"/>
    <x v="164"/>
    <x v="172"/>
    <s v="Second Class"/>
    <s v="CL-11890"/>
    <s v="Carl Ludwig"/>
    <x v="0"/>
    <x v="0"/>
    <s v="Chicago"/>
    <x v="1"/>
    <n v="60623"/>
    <s v="Central"/>
    <s v="OFF-ST-10004804"/>
    <x v="0"/>
    <x v="3"/>
    <x v="643"/>
    <n v="123.55199999999999"/>
    <n v="3"/>
    <n v="0.2"/>
    <n v="-29.343599999999995"/>
  </r>
  <r>
    <n v="825"/>
    <s v="US-2023-159121"/>
    <x v="164"/>
    <x v="170"/>
    <s v="Standard Class"/>
    <s v="JO-15145"/>
    <s v="Jack O'Briant"/>
    <x v="2"/>
    <x v="0"/>
    <s v="Draper"/>
    <x v="29"/>
    <n v="84020"/>
    <s v="West"/>
    <s v="TEC-AC-10002006"/>
    <x v="2"/>
    <x v="9"/>
    <x v="644"/>
    <n v="111.93"/>
    <n v="7"/>
    <n v="0"/>
    <n v="34.698299999999996"/>
  </r>
  <r>
    <n v="826"/>
    <s v="US-2023-169019"/>
    <x v="164"/>
    <x v="172"/>
    <s v="Standard Class"/>
    <s v="LF-17185"/>
    <s v="Luke Foster"/>
    <x v="0"/>
    <x v="0"/>
    <s v="San Antonio"/>
    <x v="0"/>
    <n v="78207"/>
    <s v="Central"/>
    <s v="TEC-AC-10002076"/>
    <x v="2"/>
    <x v="9"/>
    <x v="629"/>
    <n v="431.13600000000002"/>
    <n v="9"/>
    <n v="0.2"/>
    <n v="-26.946000000000012"/>
  </r>
  <r>
    <n v="827"/>
    <s v="US-2023-126760"/>
    <x v="164"/>
    <x v="171"/>
    <s v="Standard Class"/>
    <s v="KM-16720"/>
    <s v="Kunst Miller"/>
    <x v="0"/>
    <x v="0"/>
    <s v="North Las Vegas"/>
    <x v="19"/>
    <n v="89031"/>
    <s v="West"/>
    <s v="TEC-AC-10004814"/>
    <x v="2"/>
    <x v="9"/>
    <x v="645"/>
    <n v="170.97"/>
    <n v="3"/>
    <n v="0"/>
    <n v="70.097700000000003"/>
  </r>
  <r>
    <n v="828"/>
    <s v="US-2023-126760"/>
    <x v="164"/>
    <x v="171"/>
    <s v="Standard Class"/>
    <s v="KM-16720"/>
    <s v="Kunst Miller"/>
    <x v="0"/>
    <x v="0"/>
    <s v="North Las Vegas"/>
    <x v="19"/>
    <n v="89031"/>
    <s v="West"/>
    <s v="TEC-PH-10001363"/>
    <x v="2"/>
    <x v="7"/>
    <x v="646"/>
    <n v="911.98400000000004"/>
    <n v="2"/>
    <n v="0.2"/>
    <n v="113.99799999999991"/>
  </r>
  <r>
    <n v="829"/>
    <s v="US-2023-150126"/>
    <x v="165"/>
    <x v="171"/>
    <s v="Standard Class"/>
    <s v="AS-10045"/>
    <s v="Aaron Smayling"/>
    <x v="2"/>
    <x v="0"/>
    <s v="New York City"/>
    <x v="21"/>
    <n v="10035"/>
    <s v="East"/>
    <s v="OFF-PA-10002709"/>
    <x v="0"/>
    <x v="0"/>
    <x v="647"/>
    <n v="65.78"/>
    <n v="11"/>
    <n v="0"/>
    <n v="32.232199999999999"/>
  </r>
  <r>
    <n v="830"/>
    <s v="US-2023-169642"/>
    <x v="165"/>
    <x v="172"/>
    <s v="Second Class"/>
    <s v="BB-10990"/>
    <s v="Barry Blumstein"/>
    <x v="2"/>
    <x v="0"/>
    <s v="Los Angeles"/>
    <x v="5"/>
    <n v="90036"/>
    <s v="West"/>
    <s v="OFF-ST-10002574"/>
    <x v="0"/>
    <x v="3"/>
    <x v="338"/>
    <n v="276.27999999999997"/>
    <n v="2"/>
    <n v="0"/>
    <n v="0"/>
  </r>
  <r>
    <n v="831"/>
    <s v="US-2023-124709"/>
    <x v="165"/>
    <x v="173"/>
    <s v="Second Class"/>
    <s v="GW-14605"/>
    <s v="Giulietta Weimer"/>
    <x v="0"/>
    <x v="0"/>
    <s v="San Francisco"/>
    <x v="5"/>
    <n v="94122"/>
    <s v="West"/>
    <s v="TEC-AC-10002842"/>
    <x v="2"/>
    <x v="9"/>
    <x v="648"/>
    <n v="238"/>
    <n v="2"/>
    <n v="0"/>
    <n v="38.080000000000013"/>
  </r>
  <r>
    <n v="832"/>
    <s v="US-2023-131541"/>
    <x v="166"/>
    <x v="169"/>
    <s v="Same Day"/>
    <s v="CK-12205"/>
    <s v="Chloris Kastensmidt"/>
    <x v="0"/>
    <x v="0"/>
    <s v="Apopka"/>
    <x v="16"/>
    <n v="32712"/>
    <s v="South"/>
    <s v="FUR-FU-10003623"/>
    <x v="1"/>
    <x v="8"/>
    <x v="649"/>
    <n v="129.88800000000001"/>
    <n v="6"/>
    <n v="0.2"/>
    <n v="12.988799999999991"/>
  </r>
  <r>
    <n v="833"/>
    <s v="US-2023-131541"/>
    <x v="166"/>
    <x v="169"/>
    <s v="Same Day"/>
    <s v="CK-12205"/>
    <s v="Chloris Kastensmidt"/>
    <x v="0"/>
    <x v="0"/>
    <s v="Apopka"/>
    <x v="16"/>
    <n v="32712"/>
    <s v="South"/>
    <s v="OFF-EN-10000781"/>
    <x v="0"/>
    <x v="11"/>
    <x v="480"/>
    <n v="48.944000000000003"/>
    <n v="7"/>
    <n v="0.2"/>
    <n v="16.518599999999999"/>
  </r>
  <r>
    <n v="834"/>
    <s v="US-2023-131541"/>
    <x v="166"/>
    <x v="169"/>
    <s v="Same Day"/>
    <s v="CK-12205"/>
    <s v="Chloris Kastensmidt"/>
    <x v="0"/>
    <x v="0"/>
    <s v="Apopka"/>
    <x v="16"/>
    <n v="32712"/>
    <s v="South"/>
    <s v="OFF-FA-10000621"/>
    <x v="0"/>
    <x v="6"/>
    <x v="650"/>
    <n v="14.320000000000002"/>
    <n v="5"/>
    <n v="0.2"/>
    <n v="5.1910000000000007"/>
  </r>
  <r>
    <n v="835"/>
    <s v="US-2023-111192"/>
    <x v="167"/>
    <x v="174"/>
    <s v="Standard Class"/>
    <s v="TS-21430"/>
    <s v="Tom Stivers"/>
    <x v="2"/>
    <x v="0"/>
    <s v="Seattle"/>
    <x v="23"/>
    <n v="98103"/>
    <s v="West"/>
    <s v="FUR-BO-10002916"/>
    <x v="1"/>
    <x v="10"/>
    <x v="651"/>
    <n v="1367.84"/>
    <n v="8"/>
    <n v="0"/>
    <n v="259.88959999999997"/>
  </r>
  <r>
    <n v="836"/>
    <s v="US-2023-117345"/>
    <x v="168"/>
    <x v="174"/>
    <s v="Standard Class"/>
    <s v="BF-10975"/>
    <s v="Barbara Fisher"/>
    <x v="2"/>
    <x v="0"/>
    <s v="Charlotte"/>
    <x v="26"/>
    <n v="28205"/>
    <s v="South"/>
    <s v="FUR-FU-10000629"/>
    <x v="1"/>
    <x v="8"/>
    <x v="574"/>
    <n v="44.128"/>
    <n v="4"/>
    <n v="0.2"/>
    <n v="12.135200000000001"/>
  </r>
  <r>
    <n v="837"/>
    <s v="US-2023-117345"/>
    <x v="168"/>
    <x v="174"/>
    <s v="Standard Class"/>
    <s v="BF-10975"/>
    <s v="Barbara Fisher"/>
    <x v="2"/>
    <x v="0"/>
    <s v="Charlotte"/>
    <x v="26"/>
    <n v="28205"/>
    <s v="South"/>
    <s v="OFF-AP-10001005"/>
    <x v="0"/>
    <x v="12"/>
    <x v="450"/>
    <n v="62.920000000000009"/>
    <n v="1"/>
    <n v="0.2"/>
    <n v="10.224499999999994"/>
  </r>
  <r>
    <n v="838"/>
    <s v="US-2023-152296"/>
    <x v="168"/>
    <x v="175"/>
    <s v="First Class"/>
    <s v="IL-15100"/>
    <s v="Ivan Liston"/>
    <x v="0"/>
    <x v="0"/>
    <s v="San Francisco"/>
    <x v="5"/>
    <n v="94122"/>
    <s v="West"/>
    <s v="OFF-BI-10004506"/>
    <x v="0"/>
    <x v="1"/>
    <x v="652"/>
    <n v="19.752000000000002"/>
    <n v="3"/>
    <n v="0.2"/>
    <n v="6.9131999999999998"/>
  </r>
  <r>
    <n v="839"/>
    <s v="US-2023-162684"/>
    <x v="168"/>
    <x v="176"/>
    <s v="Standard Class"/>
    <s v="AS-10630"/>
    <s v="Ann Steele"/>
    <x v="1"/>
    <x v="0"/>
    <s v="Philadelphia"/>
    <x v="2"/>
    <n v="19120"/>
    <s v="East"/>
    <s v="OFF-FA-10000992"/>
    <x v="0"/>
    <x v="6"/>
    <x v="653"/>
    <n v="5.68"/>
    <n v="2"/>
    <n v="0.2"/>
    <n v="1.9169999999999998"/>
  </r>
  <r>
    <n v="840"/>
    <s v="US-2023-117345"/>
    <x v="168"/>
    <x v="174"/>
    <s v="Standard Class"/>
    <s v="BF-10975"/>
    <s v="Barbara Fisher"/>
    <x v="2"/>
    <x v="0"/>
    <s v="Charlotte"/>
    <x v="26"/>
    <n v="28205"/>
    <s v="South"/>
    <s v="OFF-LA-10000240"/>
    <x v="0"/>
    <x v="2"/>
    <x v="654"/>
    <n v="17.544"/>
    <n v="3"/>
    <n v="0.2"/>
    <n v="5.9210999999999983"/>
  </r>
  <r>
    <n v="841"/>
    <s v="US-2023-117345"/>
    <x v="168"/>
    <x v="174"/>
    <s v="Standard Class"/>
    <s v="BF-10975"/>
    <s v="Barbara Fisher"/>
    <x v="2"/>
    <x v="0"/>
    <s v="Charlotte"/>
    <x v="26"/>
    <n v="28205"/>
    <s v="South"/>
    <s v="OFF-PA-10002377"/>
    <x v="0"/>
    <x v="0"/>
    <x v="655"/>
    <n v="78.304000000000002"/>
    <n v="2"/>
    <n v="0.2"/>
    <n v="29.363999999999997"/>
  </r>
  <r>
    <n v="842"/>
    <s v="US-2023-106299"/>
    <x v="169"/>
    <x v="177"/>
    <s v="Standard Class"/>
    <s v="NZ-18565"/>
    <s v="Nick Zandusky"/>
    <x v="1"/>
    <x v="0"/>
    <s v="Springfield"/>
    <x v="25"/>
    <n v="65807"/>
    <s v="Central"/>
    <s v="OFF-BI-10001758"/>
    <x v="0"/>
    <x v="1"/>
    <x v="69"/>
    <n v="26.7"/>
    <n v="5"/>
    <n v="0"/>
    <n v="12.548999999999999"/>
  </r>
  <r>
    <n v="843"/>
    <s v="US-2023-106299"/>
    <x v="169"/>
    <x v="177"/>
    <s v="Standard Class"/>
    <s v="NZ-18565"/>
    <s v="Nick Zandusky"/>
    <x v="1"/>
    <x v="0"/>
    <s v="Springfield"/>
    <x v="25"/>
    <n v="65807"/>
    <s v="Central"/>
    <s v="OFF-ST-10002011"/>
    <x v="0"/>
    <x v="3"/>
    <x v="656"/>
    <n v="838.38"/>
    <n v="2"/>
    <n v="0"/>
    <n v="226.36260000000004"/>
  </r>
  <r>
    <n v="844"/>
    <s v="US-2023-106299"/>
    <x v="169"/>
    <x v="177"/>
    <s v="Standard Class"/>
    <s v="NZ-18565"/>
    <s v="Nick Zandusky"/>
    <x v="1"/>
    <x v="0"/>
    <s v="Springfield"/>
    <x v="25"/>
    <n v="65807"/>
    <s v="Central"/>
    <s v="TEC-AC-10003237"/>
    <x v="2"/>
    <x v="9"/>
    <x v="657"/>
    <n v="21.2"/>
    <n v="2"/>
    <n v="0"/>
    <n v="9.1160000000000014"/>
  </r>
  <r>
    <n v="845"/>
    <s v="US-2023-133690"/>
    <x v="170"/>
    <x v="174"/>
    <s v="First Class"/>
    <s v="BS-11755"/>
    <s v="Bruce Stewart"/>
    <x v="0"/>
    <x v="0"/>
    <s v="Denver"/>
    <x v="27"/>
    <n v="80219"/>
    <s v="West"/>
    <s v="FUR-TA-10004289"/>
    <x v="1"/>
    <x v="13"/>
    <x v="658"/>
    <n v="218.75"/>
    <n v="2"/>
    <n v="0.5"/>
    <n v="-161.875"/>
  </r>
  <r>
    <n v="846"/>
    <s v="US-2023-133690"/>
    <x v="170"/>
    <x v="174"/>
    <s v="First Class"/>
    <s v="BS-11755"/>
    <s v="Bruce Stewart"/>
    <x v="0"/>
    <x v="0"/>
    <s v="Denver"/>
    <x v="27"/>
    <n v="80219"/>
    <s v="West"/>
    <s v="OFF-AP-10003622"/>
    <x v="0"/>
    <x v="12"/>
    <x v="659"/>
    <n v="2.6"/>
    <n v="1"/>
    <n v="0.2"/>
    <n v="0.29249999999999987"/>
  </r>
  <r>
    <n v="847"/>
    <s v="US-2023-125612"/>
    <x v="170"/>
    <x v="177"/>
    <s v="Standard Class"/>
    <s v="BK-11260"/>
    <s v="Berenike Kampe"/>
    <x v="0"/>
    <x v="0"/>
    <s v="New York City"/>
    <x v="21"/>
    <n v="10035"/>
    <s v="East"/>
    <s v="OFF-PA-10001019"/>
    <x v="0"/>
    <x v="0"/>
    <x v="660"/>
    <n v="39.96"/>
    <n v="2"/>
    <n v="0"/>
    <n v="18.781199999999998"/>
  </r>
  <r>
    <n v="848"/>
    <s v="US-2023-128986"/>
    <x v="170"/>
    <x v="174"/>
    <s v="Second Class"/>
    <s v="GH-14410"/>
    <s v="Gary Hansen"/>
    <x v="1"/>
    <x v="0"/>
    <s v="Glendale"/>
    <x v="12"/>
    <n v="85301"/>
    <s v="West"/>
    <s v="OFF-PA-10001289"/>
    <x v="0"/>
    <x v="0"/>
    <x v="661"/>
    <n v="93.024000000000001"/>
    <n v="3"/>
    <n v="0.2"/>
    <n v="33.721199999999996"/>
  </r>
  <r>
    <n v="849"/>
    <s v="US-2023-125612"/>
    <x v="170"/>
    <x v="177"/>
    <s v="Standard Class"/>
    <s v="BK-11260"/>
    <s v="Berenike Kampe"/>
    <x v="0"/>
    <x v="0"/>
    <s v="New York City"/>
    <x v="21"/>
    <n v="10035"/>
    <s v="East"/>
    <s v="OFF-ST-10003221"/>
    <x v="0"/>
    <x v="3"/>
    <x v="171"/>
    <n v="21.36"/>
    <n v="2"/>
    <n v="0"/>
    <n v="5.7672000000000008"/>
  </r>
  <r>
    <n v="850"/>
    <s v="US-2023-125612"/>
    <x v="170"/>
    <x v="177"/>
    <s v="Standard Class"/>
    <s v="BK-11260"/>
    <s v="Berenike Kampe"/>
    <x v="0"/>
    <x v="0"/>
    <s v="New York City"/>
    <x v="21"/>
    <n v="10035"/>
    <s v="East"/>
    <s v="OFF-SU-10002537"/>
    <x v="0"/>
    <x v="14"/>
    <x v="662"/>
    <n v="102.30000000000001"/>
    <n v="10"/>
    <n v="0"/>
    <n v="26.598000000000006"/>
  </r>
  <r>
    <n v="851"/>
    <s v="US-2023-134215"/>
    <x v="171"/>
    <x v="177"/>
    <s v="Standard Class"/>
    <s v="ML-17395"/>
    <s v="Marina Lichtenstein"/>
    <x v="2"/>
    <x v="0"/>
    <s v="Bangor"/>
    <x v="46"/>
    <n v="4401"/>
    <s v="East"/>
    <s v="OFF-AP-10001271"/>
    <x v="0"/>
    <x v="12"/>
    <x v="663"/>
    <n v="101.96"/>
    <n v="2"/>
    <n v="0"/>
    <n v="27.529200000000003"/>
  </r>
  <r>
    <n v="852"/>
    <s v="US-2023-126361"/>
    <x v="171"/>
    <x v="178"/>
    <s v="Second Class"/>
    <s v="VD-21670"/>
    <s v="Valerie Dominguez"/>
    <x v="0"/>
    <x v="0"/>
    <s v="Pleasant Grove"/>
    <x v="29"/>
    <n v="84062"/>
    <s v="West"/>
    <s v="OFF-AP-10003590"/>
    <x v="0"/>
    <x v="12"/>
    <x v="664"/>
    <n v="1089.75"/>
    <n v="3"/>
    <n v="0"/>
    <n v="305.13000000000011"/>
  </r>
  <r>
    <n v="853"/>
    <s v="US-2023-126361"/>
    <x v="171"/>
    <x v="178"/>
    <s v="Second Class"/>
    <s v="VD-21670"/>
    <s v="Valerie Dominguez"/>
    <x v="0"/>
    <x v="0"/>
    <s v="Pleasant Grove"/>
    <x v="29"/>
    <n v="84062"/>
    <s v="West"/>
    <s v="OFF-AR-10000896"/>
    <x v="0"/>
    <x v="4"/>
    <x v="665"/>
    <n v="16.399999999999999"/>
    <n v="5"/>
    <n v="0"/>
    <n v="4.2639999999999993"/>
  </r>
  <r>
    <n v="854"/>
    <s v="US-2023-126361"/>
    <x v="171"/>
    <x v="178"/>
    <s v="Second Class"/>
    <s v="VD-21670"/>
    <s v="Valerie Dominguez"/>
    <x v="0"/>
    <x v="0"/>
    <s v="Pleasant Grove"/>
    <x v="29"/>
    <n v="84062"/>
    <s v="West"/>
    <s v="OFF-BI-10002852"/>
    <x v="0"/>
    <x v="1"/>
    <x v="276"/>
    <n v="13.184000000000001"/>
    <n v="1"/>
    <n v="0.2"/>
    <n v="4.7792000000000003"/>
  </r>
  <r>
    <n v="855"/>
    <s v="US-2023-126361"/>
    <x v="171"/>
    <x v="178"/>
    <s v="Second Class"/>
    <s v="VD-21670"/>
    <s v="Valerie Dominguez"/>
    <x v="0"/>
    <x v="0"/>
    <s v="Pleasant Grove"/>
    <x v="29"/>
    <n v="84062"/>
    <s v="West"/>
    <s v="OFF-PA-10000806"/>
    <x v="0"/>
    <x v="0"/>
    <x v="666"/>
    <n v="447.84"/>
    <n v="8"/>
    <n v="0"/>
    <n v="219.44159999999999"/>
  </r>
  <r>
    <n v="856"/>
    <s v="US-2023-134215"/>
    <x v="171"/>
    <x v="177"/>
    <s v="Standard Class"/>
    <s v="ML-17395"/>
    <s v="Marina Lichtenstein"/>
    <x v="2"/>
    <x v="0"/>
    <s v="Bangor"/>
    <x v="46"/>
    <n v="4401"/>
    <s v="East"/>
    <s v="OFF-PA-10004353"/>
    <x v="0"/>
    <x v="0"/>
    <x v="391"/>
    <n v="259.74"/>
    <n v="13"/>
    <n v="0"/>
    <n v="124.6752"/>
  </r>
  <r>
    <n v="857"/>
    <s v="US-2023-126361"/>
    <x v="171"/>
    <x v="178"/>
    <s v="Second Class"/>
    <s v="VD-21670"/>
    <s v="Valerie Dominguez"/>
    <x v="0"/>
    <x v="0"/>
    <s v="Pleasant Grove"/>
    <x v="29"/>
    <n v="84062"/>
    <s v="West"/>
    <s v="OFF-ST-10002289"/>
    <x v="0"/>
    <x v="3"/>
    <x v="667"/>
    <n v="158.9"/>
    <n v="5"/>
    <n v="0"/>
    <n v="7.9449999999999932"/>
  </r>
  <r>
    <n v="858"/>
    <s v="US-2023-134215"/>
    <x v="171"/>
    <x v="177"/>
    <s v="Standard Class"/>
    <s v="ML-17395"/>
    <s v="Marina Lichtenstein"/>
    <x v="2"/>
    <x v="0"/>
    <s v="Bangor"/>
    <x v="46"/>
    <n v="4401"/>
    <s v="East"/>
    <s v="TEC-AC-10002473"/>
    <x v="2"/>
    <x v="9"/>
    <x v="668"/>
    <n v="255.42"/>
    <n v="9"/>
    <n v="0"/>
    <n v="104.7222"/>
  </r>
  <r>
    <n v="859"/>
    <s v="US-2023-126361"/>
    <x v="171"/>
    <x v="178"/>
    <s v="Second Class"/>
    <s v="VD-21670"/>
    <s v="Valerie Dominguez"/>
    <x v="0"/>
    <x v="0"/>
    <s v="Pleasant Grove"/>
    <x v="29"/>
    <n v="84062"/>
    <s v="West"/>
    <s v="TEC-PH-10002310"/>
    <x v="2"/>
    <x v="7"/>
    <x v="669"/>
    <n v="399.96000000000004"/>
    <n v="5"/>
    <n v="0.2"/>
    <n v="34.996499999999969"/>
  </r>
  <r>
    <n v="860"/>
    <s v="US-2023-117968"/>
    <x v="172"/>
    <x v="179"/>
    <s v="Second Class"/>
    <s v="RS-19420"/>
    <s v="Ricardo Sperren"/>
    <x v="2"/>
    <x v="0"/>
    <s v="Meriden"/>
    <x v="39"/>
    <n v="6450"/>
    <s v="East"/>
    <s v="FUR-CH-10002335"/>
    <x v="1"/>
    <x v="5"/>
    <x v="670"/>
    <n v="1133.3499999999999"/>
    <n v="5"/>
    <n v="0"/>
    <n v="294.67100000000005"/>
  </r>
  <r>
    <n v="861"/>
    <s v="US-2023-118962"/>
    <x v="172"/>
    <x v="178"/>
    <s v="Standard Class"/>
    <s v="CS-12130"/>
    <s v="Chad Sievert"/>
    <x v="0"/>
    <x v="0"/>
    <s v="Los Angeles"/>
    <x v="5"/>
    <n v="90004"/>
    <s v="West"/>
    <s v="FUR-CH-10003817"/>
    <x v="1"/>
    <x v="5"/>
    <x v="671"/>
    <n v="340.14400000000006"/>
    <n v="7"/>
    <n v="0.2"/>
    <n v="21.259"/>
  </r>
  <r>
    <n v="862"/>
    <s v="US-2023-124723"/>
    <x v="172"/>
    <x v="180"/>
    <s v="Standard Class"/>
    <s v="GZ-14470"/>
    <s v="Gary Zandusky"/>
    <x v="0"/>
    <x v="0"/>
    <s v="Texas City"/>
    <x v="0"/>
    <n v="77590"/>
    <s v="Central"/>
    <s v="FUR-TA-10001307"/>
    <x v="1"/>
    <x v="13"/>
    <x v="672"/>
    <n v="489.22999999999996"/>
    <n v="2"/>
    <n v="0.3"/>
    <n v="41.933999999999997"/>
  </r>
  <r>
    <n v="863"/>
    <s v="US-2023-117968"/>
    <x v="172"/>
    <x v="179"/>
    <s v="Second Class"/>
    <s v="RS-19420"/>
    <s v="Ricardo Sperren"/>
    <x v="2"/>
    <x v="0"/>
    <s v="Meriden"/>
    <x v="39"/>
    <n v="6450"/>
    <s v="East"/>
    <s v="OFF-AP-10002765"/>
    <x v="0"/>
    <x v="12"/>
    <x v="250"/>
    <n v="79.47"/>
    <n v="3"/>
    <n v="0"/>
    <n v="22.251600000000003"/>
  </r>
  <r>
    <n v="864"/>
    <s v="US-2023-117968"/>
    <x v="172"/>
    <x v="179"/>
    <s v="Second Class"/>
    <s v="RS-19420"/>
    <s v="Ricardo Sperren"/>
    <x v="2"/>
    <x v="0"/>
    <s v="Meriden"/>
    <x v="39"/>
    <n v="6450"/>
    <s v="East"/>
    <s v="OFF-AR-10004165"/>
    <x v="0"/>
    <x v="4"/>
    <x v="673"/>
    <n v="4.5599999999999996"/>
    <n v="2"/>
    <n v="0"/>
    <n v="2.0064000000000002"/>
  </r>
  <r>
    <n v="865"/>
    <s v="US-2023-110065"/>
    <x v="172"/>
    <x v="181"/>
    <s v="Standard Class"/>
    <s v="SP-20650"/>
    <s v="Stephanie Phelps"/>
    <x v="2"/>
    <x v="0"/>
    <s v="New York City"/>
    <x v="21"/>
    <n v="10009"/>
    <s v="East"/>
    <s v="OFF-AR-10004165"/>
    <x v="0"/>
    <x v="4"/>
    <x v="673"/>
    <n v="15.959999999999999"/>
    <n v="7"/>
    <n v="0"/>
    <n v="7.0224000000000011"/>
  </r>
  <r>
    <n v="866"/>
    <s v="US-2023-150490"/>
    <x v="172"/>
    <x v="181"/>
    <s v="Standard Class"/>
    <s v="SS-20590"/>
    <s v="Sonia Sunley"/>
    <x v="0"/>
    <x v="0"/>
    <s v="San Francisco"/>
    <x v="5"/>
    <n v="94122"/>
    <s v="West"/>
    <s v="OFF-AR-10004602"/>
    <x v="0"/>
    <x v="4"/>
    <x v="674"/>
    <n v="45.98"/>
    <n v="2"/>
    <n v="0"/>
    <n v="12.874400000000001"/>
  </r>
  <r>
    <n v="867"/>
    <s v="US-2023-118962"/>
    <x v="172"/>
    <x v="178"/>
    <s v="Standard Class"/>
    <s v="CS-12130"/>
    <s v="Chad Sievert"/>
    <x v="0"/>
    <x v="0"/>
    <s v="Los Angeles"/>
    <x v="5"/>
    <n v="90004"/>
    <s v="West"/>
    <s v="OFF-PA-10000659"/>
    <x v="0"/>
    <x v="0"/>
    <x v="675"/>
    <n v="20.94"/>
    <n v="3"/>
    <n v="0"/>
    <n v="9.841800000000001"/>
  </r>
  <r>
    <n v="868"/>
    <s v="US-2023-118962"/>
    <x v="172"/>
    <x v="178"/>
    <s v="Standard Class"/>
    <s v="CS-12130"/>
    <s v="Chad Sievert"/>
    <x v="0"/>
    <x v="0"/>
    <s v="Los Angeles"/>
    <x v="5"/>
    <n v="90004"/>
    <s v="West"/>
    <s v="OFF-PA-10001144"/>
    <x v="0"/>
    <x v="0"/>
    <x v="553"/>
    <n v="110.96"/>
    <n v="2"/>
    <n v="0"/>
    <n v="53.260799999999996"/>
  </r>
  <r>
    <n v="869"/>
    <s v="US-2023-150490"/>
    <x v="172"/>
    <x v="181"/>
    <s v="Standard Class"/>
    <s v="SS-20590"/>
    <s v="Sonia Sunley"/>
    <x v="0"/>
    <x v="0"/>
    <s v="San Francisco"/>
    <x v="5"/>
    <n v="94122"/>
    <s v="West"/>
    <s v="OFF-ST-10000321"/>
    <x v="0"/>
    <x v="3"/>
    <x v="115"/>
    <n v="15.78"/>
    <n v="2"/>
    <n v="0"/>
    <n v="0.63119999999999798"/>
  </r>
  <r>
    <n v="870"/>
    <s v="US-2023-150490"/>
    <x v="172"/>
    <x v="181"/>
    <s v="Standard Class"/>
    <s v="SS-20590"/>
    <s v="Sonia Sunley"/>
    <x v="0"/>
    <x v="0"/>
    <s v="San Francisco"/>
    <x v="5"/>
    <n v="94122"/>
    <s v="West"/>
    <s v="TEC-AC-10004510"/>
    <x v="2"/>
    <x v="9"/>
    <x v="676"/>
    <n v="16.36"/>
    <n v="1"/>
    <n v="0"/>
    <n v="1.6359999999999992"/>
  </r>
  <r>
    <n v="871"/>
    <s v="US-2023-110065"/>
    <x v="172"/>
    <x v="181"/>
    <s v="Standard Class"/>
    <s v="SP-20650"/>
    <s v="Stephanie Phelps"/>
    <x v="2"/>
    <x v="0"/>
    <s v="New York City"/>
    <x v="21"/>
    <n v="10009"/>
    <s v="East"/>
    <s v="TEC-PH-10002468"/>
    <x v="2"/>
    <x v="7"/>
    <x v="677"/>
    <n v="135.99"/>
    <n v="1"/>
    <n v="0"/>
    <n v="36.717300000000009"/>
  </r>
  <r>
    <n v="872"/>
    <s v="US-2023-115357"/>
    <x v="173"/>
    <x v="181"/>
    <s v="Second Class"/>
    <s v="RF-19735"/>
    <s v="Roland Fjeld"/>
    <x v="0"/>
    <x v="0"/>
    <s v="Columbia"/>
    <x v="8"/>
    <n v="29203"/>
    <s v="South"/>
    <s v="TEC-AC-10000023"/>
    <x v="2"/>
    <x v="9"/>
    <x v="615"/>
    <n v="62.91"/>
    <n v="3"/>
    <n v="0"/>
    <n v="22.647599999999997"/>
  </r>
  <r>
    <n v="873"/>
    <s v="US-2023-137575"/>
    <x v="173"/>
    <x v="181"/>
    <s v="Standard Class"/>
    <s v="TB-21625"/>
    <s v="Trudy Brown"/>
    <x v="0"/>
    <x v="0"/>
    <s v="New York City"/>
    <x v="21"/>
    <n v="10035"/>
    <s v="East"/>
    <s v="TEC-AC-10004571"/>
    <x v="2"/>
    <x v="9"/>
    <x v="678"/>
    <n v="199.98"/>
    <n v="2"/>
    <n v="0"/>
    <n v="83.991600000000005"/>
  </r>
  <r>
    <n v="874"/>
    <s v="US-2023-156790"/>
    <x v="174"/>
    <x v="182"/>
    <s v="Second Class"/>
    <s v="VG-21790"/>
    <s v="Vivek Gonzalez"/>
    <x v="0"/>
    <x v="0"/>
    <s v="Jacksonville"/>
    <x v="16"/>
    <n v="32216"/>
    <s v="South"/>
    <s v="FUR-BO-10000468"/>
    <x v="1"/>
    <x v="10"/>
    <x v="679"/>
    <n v="155.45600000000002"/>
    <n v="4"/>
    <n v="0.2"/>
    <n v="-7.7727999999999895"/>
  </r>
  <r>
    <n v="875"/>
    <s v="US-2023-151708"/>
    <x v="174"/>
    <x v="183"/>
    <s v="Standard Class"/>
    <s v="MB-17305"/>
    <s v="Maria Bertelson"/>
    <x v="0"/>
    <x v="0"/>
    <s v="Glendale"/>
    <x v="12"/>
    <n v="85301"/>
    <s v="West"/>
    <s v="FUR-FU-10001602"/>
    <x v="1"/>
    <x v="8"/>
    <x v="680"/>
    <n v="121.376"/>
    <n v="4"/>
    <n v="0.2"/>
    <n v="-3.0344000000000122"/>
  </r>
  <r>
    <n v="876"/>
    <s v="US-2023-131450"/>
    <x v="174"/>
    <x v="184"/>
    <s v="Standard Class"/>
    <s v="LR-16915"/>
    <s v="Lena Radford"/>
    <x v="0"/>
    <x v="0"/>
    <s v="San Diego"/>
    <x v="5"/>
    <n v="92024"/>
    <s v="West"/>
    <s v="FUR-FU-10001979"/>
    <x v="1"/>
    <x v="8"/>
    <x v="164"/>
    <n v="327.76"/>
    <n v="8"/>
    <n v="0"/>
    <n v="91.772800000000018"/>
  </r>
  <r>
    <n v="877"/>
    <s v="US-2023-124478"/>
    <x v="174"/>
    <x v="180"/>
    <s v="Standard Class"/>
    <s v="MA-17560"/>
    <s v="Matt Abelman"/>
    <x v="1"/>
    <x v="0"/>
    <s v="Trenton"/>
    <x v="14"/>
    <n v="48183"/>
    <s v="Central"/>
    <s v="FUR-FU-10002088"/>
    <x v="1"/>
    <x v="8"/>
    <x v="681"/>
    <n v="53.88"/>
    <n v="6"/>
    <n v="0"/>
    <n v="22.629600000000003"/>
  </r>
  <r>
    <n v="878"/>
    <s v="US-2023-124478"/>
    <x v="174"/>
    <x v="180"/>
    <s v="Standard Class"/>
    <s v="MA-17560"/>
    <s v="Matt Abelman"/>
    <x v="1"/>
    <x v="0"/>
    <s v="Trenton"/>
    <x v="14"/>
    <n v="48183"/>
    <s v="Central"/>
    <s v="OFF-AP-10002495"/>
    <x v="0"/>
    <x v="12"/>
    <x v="682"/>
    <n v="167.535"/>
    <n v="3"/>
    <n v="0.1"/>
    <n v="37.229999999999983"/>
  </r>
  <r>
    <n v="879"/>
    <s v="US-2023-131450"/>
    <x v="174"/>
    <x v="184"/>
    <s v="Standard Class"/>
    <s v="LR-16915"/>
    <s v="Lena Radford"/>
    <x v="0"/>
    <x v="0"/>
    <s v="San Diego"/>
    <x v="5"/>
    <n v="92024"/>
    <s v="West"/>
    <s v="OFF-AP-10004708"/>
    <x v="0"/>
    <x v="12"/>
    <x v="683"/>
    <n v="76.12"/>
    <n v="2"/>
    <n v="0"/>
    <n v="22.074799999999996"/>
  </r>
  <r>
    <n v="880"/>
    <s v="US-2023-124478"/>
    <x v="174"/>
    <x v="180"/>
    <s v="Standard Class"/>
    <s v="MA-17560"/>
    <s v="Matt Abelman"/>
    <x v="1"/>
    <x v="0"/>
    <s v="Trenton"/>
    <x v="14"/>
    <n v="48183"/>
    <s v="Central"/>
    <s v="OFF-EN-10002500"/>
    <x v="0"/>
    <x v="11"/>
    <x v="684"/>
    <n v="38.339999999999996"/>
    <n v="3"/>
    <n v="0"/>
    <n v="17.253"/>
  </r>
  <r>
    <n v="881"/>
    <s v="US-2023-154669"/>
    <x v="174"/>
    <x v="181"/>
    <s v="Second Class"/>
    <s v="TM-21010"/>
    <s v="Tamara Manning"/>
    <x v="0"/>
    <x v="0"/>
    <s v="Vacaville"/>
    <x v="5"/>
    <n v="95687"/>
    <s v="West"/>
    <s v="OFF-ST-10000532"/>
    <x v="0"/>
    <x v="3"/>
    <x v="685"/>
    <n v="423.28"/>
    <n v="11"/>
    <n v="0"/>
    <n v="110.05279999999999"/>
  </r>
  <r>
    <n v="882"/>
    <s v="US-2023-151708"/>
    <x v="174"/>
    <x v="183"/>
    <s v="Standard Class"/>
    <s v="MB-17305"/>
    <s v="Maria Bertelson"/>
    <x v="0"/>
    <x v="0"/>
    <s v="Glendale"/>
    <x v="12"/>
    <n v="85301"/>
    <s v="West"/>
    <s v="TEC-AC-10001767"/>
    <x v="2"/>
    <x v="9"/>
    <x v="686"/>
    <n v="95.976000000000013"/>
    <n v="3"/>
    <n v="0.2"/>
    <n v="-10.797300000000011"/>
  </r>
  <r>
    <n v="883"/>
    <s v="US-2023-124478"/>
    <x v="174"/>
    <x v="180"/>
    <s v="Standard Class"/>
    <s v="MA-17560"/>
    <s v="Matt Abelman"/>
    <x v="1"/>
    <x v="0"/>
    <s v="Trenton"/>
    <x v="14"/>
    <n v="48183"/>
    <s v="Central"/>
    <s v="TEC-CO-10001571"/>
    <x v="2"/>
    <x v="16"/>
    <x v="687"/>
    <n v="549.99"/>
    <n v="1"/>
    <n v="0"/>
    <n v="274.995"/>
  </r>
  <r>
    <n v="884"/>
    <s v="US-2023-131450"/>
    <x v="174"/>
    <x v="184"/>
    <s v="Standard Class"/>
    <s v="LR-16915"/>
    <s v="Lena Radford"/>
    <x v="0"/>
    <x v="0"/>
    <s v="San Diego"/>
    <x v="5"/>
    <n v="92024"/>
    <s v="West"/>
    <s v="TEC-CO-10004115"/>
    <x v="2"/>
    <x v="16"/>
    <x v="688"/>
    <n v="1199.9760000000001"/>
    <n v="3"/>
    <n v="0.2"/>
    <n v="434.99130000000002"/>
  </r>
  <r>
    <n v="885"/>
    <s v="US-2023-124478"/>
    <x v="174"/>
    <x v="180"/>
    <s v="Standard Class"/>
    <s v="MA-17560"/>
    <s v="Matt Abelman"/>
    <x v="1"/>
    <x v="0"/>
    <s v="Trenton"/>
    <x v="14"/>
    <n v="48183"/>
    <s v="Central"/>
    <s v="TEC-PH-10001128"/>
    <x v="2"/>
    <x v="7"/>
    <x v="265"/>
    <n v="299.98"/>
    <n v="2"/>
    <n v="0"/>
    <n v="83.994400000000013"/>
  </r>
  <r>
    <n v="886"/>
    <s v="US-2023-131450"/>
    <x v="174"/>
    <x v="184"/>
    <s v="Standard Class"/>
    <s v="LR-16915"/>
    <s v="Lena Radford"/>
    <x v="0"/>
    <x v="0"/>
    <s v="San Diego"/>
    <x v="5"/>
    <n v="92024"/>
    <s v="West"/>
    <s v="TEC-PH-10002398"/>
    <x v="2"/>
    <x v="7"/>
    <x v="689"/>
    <n v="445.96000000000004"/>
    <n v="5"/>
    <n v="0.2"/>
    <n v="55.744999999999948"/>
  </r>
  <r>
    <n v="887"/>
    <s v="CA-2023-129322"/>
    <x v="174"/>
    <x v="182"/>
    <s v="Second Class"/>
    <s v="DB-13405"/>
    <s v="Denny Blanton"/>
    <x v="0"/>
    <x v="1"/>
    <s v="Toronto"/>
    <x v="17"/>
    <s v="M5H"/>
    <s v="East"/>
    <s v="OFF-AP-10004336"/>
    <x v="0"/>
    <x v="12"/>
    <x v="690"/>
    <n v="113.92"/>
    <n v="2"/>
    <n v="0"/>
    <n v="33.04"/>
  </r>
  <r>
    <n v="888"/>
    <s v="CA-2023-129322"/>
    <x v="174"/>
    <x v="182"/>
    <s v="Second Class"/>
    <s v="DB-13405"/>
    <s v="Denny Blanton"/>
    <x v="0"/>
    <x v="1"/>
    <s v="Toronto"/>
    <x v="17"/>
    <s v="M5H"/>
    <s v="East"/>
    <s v="OFF-AR-10004587"/>
    <x v="0"/>
    <x v="4"/>
    <x v="691"/>
    <n v="39.659999999999997"/>
    <n v="2"/>
    <n v="0"/>
    <n v="11.9"/>
  </r>
  <r>
    <n v="889"/>
    <s v="CA-2023-129322"/>
    <x v="174"/>
    <x v="182"/>
    <s v="Second Class"/>
    <s v="DB-13405"/>
    <s v="Denny Blanton"/>
    <x v="0"/>
    <x v="1"/>
    <s v="Toronto"/>
    <x v="17"/>
    <s v="M5H"/>
    <s v="East"/>
    <s v="OFF-BI-10001718"/>
    <x v="0"/>
    <x v="1"/>
    <x v="692"/>
    <n v="447.86"/>
    <n v="7"/>
    <n v="0"/>
    <n v="210.49"/>
  </r>
  <r>
    <n v="890"/>
    <s v="US-2023-161249"/>
    <x v="175"/>
    <x v="185"/>
    <s v="Standard Class"/>
    <s v="RD-19720"/>
    <s v="Roger Demir"/>
    <x v="0"/>
    <x v="0"/>
    <s v="Phoenix"/>
    <x v="12"/>
    <n v="85023"/>
    <s v="West"/>
    <s v="OFF-BI-10001097"/>
    <x v="0"/>
    <x v="1"/>
    <x v="251"/>
    <n v="9.3450000000000024"/>
    <n v="5"/>
    <n v="0.7"/>
    <n v="-6.5414999999999992"/>
  </r>
  <r>
    <n v="891"/>
    <s v="US-2023-169726"/>
    <x v="175"/>
    <x v="185"/>
    <s v="Standard Class"/>
    <s v="JH-15985"/>
    <s v="Joseph Holt"/>
    <x v="0"/>
    <x v="0"/>
    <s v="Seattle"/>
    <x v="23"/>
    <n v="98103"/>
    <s v="West"/>
    <s v="OFF-BI-10004600"/>
    <x v="0"/>
    <x v="1"/>
    <x v="693"/>
    <n v="2060.7440000000001"/>
    <n v="7"/>
    <n v="0.2"/>
    <n v="643.98249999999996"/>
  </r>
  <r>
    <n v="892"/>
    <s v="US-2023-161249"/>
    <x v="175"/>
    <x v="185"/>
    <s v="Standard Class"/>
    <s v="RD-19720"/>
    <s v="Roger Demir"/>
    <x v="0"/>
    <x v="0"/>
    <s v="Phoenix"/>
    <x v="12"/>
    <n v="85023"/>
    <s v="West"/>
    <s v="OFF-FA-10004838"/>
    <x v="0"/>
    <x v="6"/>
    <x v="694"/>
    <n v="4.4640000000000004"/>
    <n v="3"/>
    <n v="0.2"/>
    <n v="-0.94859999999999989"/>
  </r>
  <r>
    <n v="893"/>
    <s v="US-2023-110527"/>
    <x v="175"/>
    <x v="186"/>
    <s v="Standard Class"/>
    <s v="ED-13885"/>
    <s v="Emily Ducich"/>
    <x v="1"/>
    <x v="0"/>
    <s v="San Diego"/>
    <x v="5"/>
    <n v="92037"/>
    <s v="West"/>
    <s v="OFF-LA-10000262"/>
    <x v="0"/>
    <x v="2"/>
    <x v="695"/>
    <n v="20.88"/>
    <n v="8"/>
    <n v="0"/>
    <n v="9.6047999999999991"/>
  </r>
  <r>
    <n v="894"/>
    <s v="US-2023-141901"/>
    <x v="175"/>
    <x v="183"/>
    <s v="Standard Class"/>
    <s v="GM-14500"/>
    <s v="Gene McClure"/>
    <x v="0"/>
    <x v="0"/>
    <s v="Fresno"/>
    <x v="5"/>
    <n v="93727"/>
    <s v="West"/>
    <s v="OFF-PA-10001667"/>
    <x v="0"/>
    <x v="0"/>
    <x v="696"/>
    <n v="5.98"/>
    <n v="1"/>
    <n v="0"/>
    <n v="2.6909999999999998"/>
  </r>
  <r>
    <n v="895"/>
    <s v="US-2023-167850"/>
    <x v="175"/>
    <x v="186"/>
    <s v="Standard Class"/>
    <s v="AG-10525"/>
    <s v="Andy Gerbode"/>
    <x v="2"/>
    <x v="0"/>
    <s v="Saint Petersburg"/>
    <x v="16"/>
    <n v="33710"/>
    <s v="South"/>
    <s v="OFF-PA-10001937"/>
    <x v="0"/>
    <x v="0"/>
    <x v="697"/>
    <n v="15.552000000000003"/>
    <n v="3"/>
    <n v="0.2"/>
    <n v="5.4432"/>
  </r>
  <r>
    <n v="896"/>
    <s v="US-2023-166471"/>
    <x v="175"/>
    <x v="185"/>
    <s v="Standard Class"/>
    <s v="MG-17650"/>
    <s v="Matthew Grinstein"/>
    <x v="1"/>
    <x v="0"/>
    <s v="Seattle"/>
    <x v="23"/>
    <n v="98103"/>
    <s v="West"/>
    <s v="TEC-PH-10000038"/>
    <x v="2"/>
    <x v="7"/>
    <x v="698"/>
    <n v="219.16800000000001"/>
    <n v="2"/>
    <n v="0.2"/>
    <n v="-43.833600000000018"/>
  </r>
  <r>
    <n v="897"/>
    <s v="US-2023-166471"/>
    <x v="175"/>
    <x v="185"/>
    <s v="Standard Class"/>
    <s v="MG-17650"/>
    <s v="Matthew Grinstein"/>
    <x v="1"/>
    <x v="0"/>
    <s v="Seattle"/>
    <x v="23"/>
    <n v="98103"/>
    <s v="West"/>
    <s v="TEC-PH-10001530"/>
    <x v="2"/>
    <x v="7"/>
    <x v="699"/>
    <n v="1091.1680000000001"/>
    <n v="4"/>
    <n v="0.2"/>
    <n v="68.197999999999979"/>
  </r>
  <r>
    <n v="898"/>
    <s v="US-2023-167850"/>
    <x v="175"/>
    <x v="186"/>
    <s v="Standard Class"/>
    <s v="AG-10525"/>
    <s v="Andy Gerbode"/>
    <x v="2"/>
    <x v="0"/>
    <s v="Saint Petersburg"/>
    <x v="16"/>
    <n v="33710"/>
    <s v="South"/>
    <s v="TEC-PH-10002398"/>
    <x v="2"/>
    <x v="7"/>
    <x v="689"/>
    <n v="178.38400000000001"/>
    <n v="2"/>
    <n v="0.2"/>
    <n v="22.297999999999973"/>
  </r>
  <r>
    <n v="899"/>
    <s v="US-2023-127012"/>
    <x v="176"/>
    <x v="184"/>
    <s v="Standard Class"/>
    <s v="GM-14680"/>
    <s v="Greg Matthias"/>
    <x v="0"/>
    <x v="0"/>
    <s v="Seattle"/>
    <x v="23"/>
    <n v="98105"/>
    <s v="West"/>
    <s v="FUR-FU-10003691"/>
    <x v="1"/>
    <x v="8"/>
    <x v="700"/>
    <n v="12.35"/>
    <n v="1"/>
    <n v="0"/>
    <n v="5.4340000000000002"/>
  </r>
  <r>
    <n v="900"/>
    <s v="US-2023-127012"/>
    <x v="176"/>
    <x v="184"/>
    <s v="Standard Class"/>
    <s v="GM-14680"/>
    <s v="Greg Matthias"/>
    <x v="0"/>
    <x v="0"/>
    <s v="Seattle"/>
    <x v="23"/>
    <n v="98105"/>
    <s v="West"/>
    <s v="OFF-AR-10003903"/>
    <x v="0"/>
    <x v="4"/>
    <x v="701"/>
    <n v="40.97"/>
    <n v="1"/>
    <n v="0"/>
    <n v="10.652200000000001"/>
  </r>
  <r>
    <n v="901"/>
    <s v="US-2023-127012"/>
    <x v="176"/>
    <x v="184"/>
    <s v="Standard Class"/>
    <s v="GM-14680"/>
    <s v="Greg Matthias"/>
    <x v="0"/>
    <x v="0"/>
    <s v="Seattle"/>
    <x v="23"/>
    <n v="98105"/>
    <s v="West"/>
    <s v="OFF-FA-10004854"/>
    <x v="0"/>
    <x v="6"/>
    <x v="702"/>
    <n v="22.96"/>
    <n v="2"/>
    <n v="0"/>
    <n v="10.7912"/>
  </r>
  <r>
    <n v="902"/>
    <s v="US-2023-154641"/>
    <x v="176"/>
    <x v="186"/>
    <s v="Standard Class"/>
    <s v="KL-16645"/>
    <s v="Ken Lonsdale"/>
    <x v="0"/>
    <x v="0"/>
    <s v="New York City"/>
    <x v="21"/>
    <n v="10035"/>
    <s v="East"/>
    <s v="OFF-ST-10004459"/>
    <x v="0"/>
    <x v="3"/>
    <x v="703"/>
    <n v="375.34"/>
    <n v="1"/>
    <n v="0"/>
    <n v="18.766999999999996"/>
  </r>
  <r>
    <n v="903"/>
    <s v="US-2023-109897"/>
    <x v="177"/>
    <x v="186"/>
    <s v="Standard Class"/>
    <s v="BW-11200"/>
    <s v="Ben Wallace"/>
    <x v="0"/>
    <x v="0"/>
    <s v="San Francisco"/>
    <x v="5"/>
    <n v="94122"/>
    <s v="West"/>
    <s v="FUR-FU-10002878"/>
    <x v="1"/>
    <x v="8"/>
    <x v="474"/>
    <n v="85.44"/>
    <n v="3"/>
    <n v="0"/>
    <n v="31.612800000000004"/>
  </r>
  <r>
    <n v="904"/>
    <s v="US-2023-156244"/>
    <x v="177"/>
    <x v="186"/>
    <s v="Standard Class"/>
    <s v="DH-13675"/>
    <s v="Duane Huffman"/>
    <x v="1"/>
    <x v="0"/>
    <s v="Miami"/>
    <x v="16"/>
    <n v="33180"/>
    <s v="South"/>
    <s v="OFF-AP-10002403"/>
    <x v="0"/>
    <x v="12"/>
    <x v="704"/>
    <n v="211.24799999999999"/>
    <n v="6"/>
    <n v="0.2"/>
    <n v="15.843599999999995"/>
  </r>
  <r>
    <n v="905"/>
    <s v="US-2023-156244"/>
    <x v="177"/>
    <x v="186"/>
    <s v="Standard Class"/>
    <s v="DH-13675"/>
    <s v="Duane Huffman"/>
    <x v="1"/>
    <x v="0"/>
    <s v="Miami"/>
    <x v="16"/>
    <n v="33180"/>
    <s v="South"/>
    <s v="OFF-AR-10004344"/>
    <x v="0"/>
    <x v="4"/>
    <x v="705"/>
    <n v="47.96"/>
    <n v="5"/>
    <n v="0.2"/>
    <n v="4.196499999999995"/>
  </r>
  <r>
    <n v="906"/>
    <s v="US-2023-153927"/>
    <x v="177"/>
    <x v="185"/>
    <s v="First Class"/>
    <s v="LL-16840"/>
    <s v="Lauren Leatherbury"/>
    <x v="0"/>
    <x v="0"/>
    <s v="Woodstock"/>
    <x v="4"/>
    <n v="30188"/>
    <s v="South"/>
    <s v="OFF-BI-10000138"/>
    <x v="0"/>
    <x v="1"/>
    <x v="706"/>
    <n v="14.04"/>
    <n v="3"/>
    <n v="0"/>
    <n v="6.7392000000000003"/>
  </r>
  <r>
    <n v="907"/>
    <s v="US-2023-109302"/>
    <x v="177"/>
    <x v="186"/>
    <s v="Standard Class"/>
    <s v="CS-12175"/>
    <s v="Charles Sheldon"/>
    <x v="2"/>
    <x v="0"/>
    <s v="Lakewood"/>
    <x v="24"/>
    <n v="8701"/>
    <s v="East"/>
    <s v="OFF-BI-10002854"/>
    <x v="0"/>
    <x v="1"/>
    <x v="707"/>
    <n v="196.21"/>
    <n v="7"/>
    <n v="0"/>
    <n v="98.105000000000004"/>
  </r>
  <r>
    <n v="908"/>
    <s v="US-2023-156244"/>
    <x v="177"/>
    <x v="186"/>
    <s v="Standard Class"/>
    <s v="DH-13675"/>
    <s v="Duane Huffman"/>
    <x v="1"/>
    <x v="0"/>
    <s v="Miami"/>
    <x v="16"/>
    <n v="33180"/>
    <s v="South"/>
    <s v="OFF-LA-10000443"/>
    <x v="0"/>
    <x v="2"/>
    <x v="204"/>
    <n v="2.952"/>
    <n v="1"/>
    <n v="0.2"/>
    <n v="0.99629999999999996"/>
  </r>
  <r>
    <n v="909"/>
    <s v="US-2023-156244"/>
    <x v="177"/>
    <x v="186"/>
    <s v="Standard Class"/>
    <s v="DH-13675"/>
    <s v="Duane Huffman"/>
    <x v="1"/>
    <x v="0"/>
    <s v="Miami"/>
    <x v="16"/>
    <n v="33180"/>
    <s v="South"/>
    <s v="OFF-PA-10000295"/>
    <x v="0"/>
    <x v="0"/>
    <x v="708"/>
    <n v="31.104000000000006"/>
    <n v="6"/>
    <n v="0.2"/>
    <n v="10.8864"/>
  </r>
  <r>
    <n v="910"/>
    <s v="US-2023-156244"/>
    <x v="177"/>
    <x v="186"/>
    <s v="Standard Class"/>
    <s v="DH-13675"/>
    <s v="Duane Huffman"/>
    <x v="1"/>
    <x v="0"/>
    <s v="Miami"/>
    <x v="16"/>
    <n v="33180"/>
    <s v="South"/>
    <s v="OFF-SU-10000432"/>
    <x v="0"/>
    <x v="14"/>
    <x v="709"/>
    <n v="5.5520000000000005"/>
    <n v="2"/>
    <n v="0.2"/>
    <n v="-1.0410000000000006"/>
  </r>
  <r>
    <n v="911"/>
    <s v="US-2023-153927"/>
    <x v="177"/>
    <x v="185"/>
    <s v="First Class"/>
    <s v="LL-16840"/>
    <s v="Lauren Leatherbury"/>
    <x v="0"/>
    <x v="0"/>
    <s v="Woodstock"/>
    <x v="4"/>
    <n v="30188"/>
    <s v="South"/>
    <s v="TEC-AC-10000023"/>
    <x v="2"/>
    <x v="9"/>
    <x v="615"/>
    <n v="272.61"/>
    <n v="13"/>
    <n v="0"/>
    <n v="98.139599999999987"/>
  </r>
  <r>
    <n v="912"/>
    <s v="US-2023-156244"/>
    <x v="177"/>
    <x v="186"/>
    <s v="Standard Class"/>
    <s v="DH-13675"/>
    <s v="Duane Huffman"/>
    <x v="1"/>
    <x v="0"/>
    <s v="Miami"/>
    <x v="16"/>
    <n v="33180"/>
    <s v="South"/>
    <s v="TEC-AC-10002473"/>
    <x v="2"/>
    <x v="9"/>
    <x v="668"/>
    <n v="158.928"/>
    <n v="7"/>
    <n v="0.2"/>
    <n v="41.718599999999995"/>
  </r>
  <r>
    <n v="913"/>
    <s v="US-2023-109897"/>
    <x v="177"/>
    <x v="186"/>
    <s v="Standard Class"/>
    <s v="BW-11200"/>
    <s v="Ben Wallace"/>
    <x v="0"/>
    <x v="0"/>
    <s v="San Francisco"/>
    <x v="5"/>
    <n v="94122"/>
    <s v="West"/>
    <s v="TEC-PH-10003691"/>
    <x v="2"/>
    <x v="7"/>
    <x v="710"/>
    <n v="806.33600000000001"/>
    <n v="8"/>
    <n v="0.2"/>
    <n v="50.396000000000015"/>
  </r>
  <r>
    <n v="914"/>
    <s v="US-2023-164406"/>
    <x v="178"/>
    <x v="187"/>
    <s v="Standard Class"/>
    <s v="BD-11605"/>
    <s v="Brian Dahlen"/>
    <x v="0"/>
    <x v="0"/>
    <s v="San Francisco"/>
    <x v="5"/>
    <n v="94122"/>
    <s v="West"/>
    <s v="FUR-CH-10003833"/>
    <x v="1"/>
    <x v="5"/>
    <x v="711"/>
    <n v="195.136"/>
    <n v="4"/>
    <n v="0.2"/>
    <n v="-12.196000000000005"/>
  </r>
  <r>
    <n v="915"/>
    <s v="US-2023-164406"/>
    <x v="178"/>
    <x v="187"/>
    <s v="Standard Class"/>
    <s v="BD-11605"/>
    <s v="Brian Dahlen"/>
    <x v="0"/>
    <x v="0"/>
    <s v="San Francisco"/>
    <x v="5"/>
    <n v="94122"/>
    <s v="West"/>
    <s v="OFF-AP-10003287"/>
    <x v="0"/>
    <x v="12"/>
    <x v="712"/>
    <n v="152.91"/>
    <n v="3"/>
    <n v="0"/>
    <n v="42.814799999999998"/>
  </r>
  <r>
    <n v="916"/>
    <s v="US-2023-109043"/>
    <x v="178"/>
    <x v="188"/>
    <s v="First Class"/>
    <s v="CS-12355"/>
    <s v="Christine Sundaresam"/>
    <x v="0"/>
    <x v="0"/>
    <s v="Hollywood"/>
    <x v="16"/>
    <n v="33021"/>
    <s v="South"/>
    <s v="OFF-AP-10004708"/>
    <x v="0"/>
    <x v="12"/>
    <x v="683"/>
    <n v="152.24"/>
    <n v="5"/>
    <n v="0.2"/>
    <n v="17.126999999999988"/>
  </r>
  <r>
    <n v="917"/>
    <s v="US-2023-141005"/>
    <x v="178"/>
    <x v="189"/>
    <s v="First Class"/>
    <s v="CS-12355"/>
    <s v="Christine Sundaresam"/>
    <x v="0"/>
    <x v="0"/>
    <s v="Fairfield"/>
    <x v="39"/>
    <n v="6824"/>
    <s v="East"/>
    <s v="OFF-BI-10001989"/>
    <x v="0"/>
    <x v="1"/>
    <x v="713"/>
    <n v="62.94"/>
    <n v="3"/>
    <n v="0"/>
    <n v="30.211199999999998"/>
  </r>
  <r>
    <n v="918"/>
    <s v="US-2023-164406"/>
    <x v="178"/>
    <x v="187"/>
    <s v="Standard Class"/>
    <s v="BD-11605"/>
    <s v="Brian Dahlen"/>
    <x v="0"/>
    <x v="0"/>
    <s v="San Francisco"/>
    <x v="5"/>
    <n v="94122"/>
    <s v="West"/>
    <s v="OFF-BI-10002309"/>
    <x v="0"/>
    <x v="1"/>
    <x v="714"/>
    <n v="17.856000000000002"/>
    <n v="4"/>
    <n v="0.2"/>
    <n v="6.2495999999999992"/>
  </r>
  <r>
    <n v="919"/>
    <s v="US-2023-138023"/>
    <x v="178"/>
    <x v="189"/>
    <s v="First Class"/>
    <s v="KH-16510"/>
    <s v="Keith Herrera"/>
    <x v="0"/>
    <x v="0"/>
    <s v="Dallas"/>
    <x v="0"/>
    <n v="75081"/>
    <s v="Central"/>
    <s v="OFF-BI-10003638"/>
    <x v="0"/>
    <x v="1"/>
    <x v="332"/>
    <n v="30.959999999999994"/>
    <n v="8"/>
    <n v="0.8"/>
    <n v="-52.632000000000019"/>
  </r>
  <r>
    <n v="920"/>
    <s v="US-2023-164406"/>
    <x v="178"/>
    <x v="187"/>
    <s v="Standard Class"/>
    <s v="BD-11605"/>
    <s v="Brian Dahlen"/>
    <x v="0"/>
    <x v="0"/>
    <s v="San Francisco"/>
    <x v="5"/>
    <n v="94122"/>
    <s v="West"/>
    <s v="OFF-BI-10003638"/>
    <x v="0"/>
    <x v="1"/>
    <x v="332"/>
    <n v="46.440000000000005"/>
    <n v="3"/>
    <n v="0.2"/>
    <n v="15.092999999999998"/>
  </r>
  <r>
    <n v="921"/>
    <s v="US-2023-164406"/>
    <x v="178"/>
    <x v="187"/>
    <s v="Standard Class"/>
    <s v="BD-11605"/>
    <s v="Brian Dahlen"/>
    <x v="0"/>
    <x v="0"/>
    <s v="San Francisco"/>
    <x v="5"/>
    <n v="94122"/>
    <s v="West"/>
    <s v="OFF-PA-10000167"/>
    <x v="0"/>
    <x v="0"/>
    <x v="510"/>
    <n v="92.94"/>
    <n v="3"/>
    <n v="0"/>
    <n v="41.822999999999993"/>
  </r>
  <r>
    <n v="922"/>
    <s v="US-2023-109043"/>
    <x v="178"/>
    <x v="188"/>
    <s v="First Class"/>
    <s v="CS-12355"/>
    <s v="Christine Sundaresam"/>
    <x v="0"/>
    <x v="0"/>
    <s v="Hollywood"/>
    <x v="16"/>
    <n v="33021"/>
    <s v="South"/>
    <s v="OFF-PA-10000312"/>
    <x v="0"/>
    <x v="0"/>
    <x v="715"/>
    <n v="91.360000000000014"/>
    <n v="5"/>
    <n v="0.2"/>
    <n v="29.691999999999993"/>
  </r>
  <r>
    <n v="923"/>
    <s v="US-2023-142839"/>
    <x v="179"/>
    <x v="190"/>
    <s v="Standard Class"/>
    <s v="TS-21610"/>
    <s v="Troy Staebel"/>
    <x v="0"/>
    <x v="0"/>
    <s v="Philadelphia"/>
    <x v="2"/>
    <n v="19143"/>
    <s v="East"/>
    <s v="FUR-TA-10001539"/>
    <x v="1"/>
    <x v="13"/>
    <x v="449"/>
    <n v="853.09199999999987"/>
    <n v="6"/>
    <n v="0.4"/>
    <n v="-227.49120000000016"/>
  </r>
  <r>
    <n v="924"/>
    <s v="US-2023-111500"/>
    <x v="180"/>
    <x v="191"/>
    <s v="Standard Class"/>
    <s v="DJ-13510"/>
    <s v="Don Jones"/>
    <x v="2"/>
    <x v="0"/>
    <s v="Little Rock"/>
    <x v="13"/>
    <n v="72209"/>
    <s v="South"/>
    <s v="OFF-BI-10000829"/>
    <x v="0"/>
    <x v="1"/>
    <x v="268"/>
    <n v="17.96"/>
    <n v="4"/>
    <n v="0"/>
    <n v="8.2615999999999996"/>
  </r>
  <r>
    <n v="925"/>
    <s v="US-2023-111500"/>
    <x v="180"/>
    <x v="191"/>
    <s v="Standard Class"/>
    <s v="DJ-13510"/>
    <s v="Don Jones"/>
    <x v="2"/>
    <x v="0"/>
    <s v="Little Rock"/>
    <x v="13"/>
    <n v="72209"/>
    <s v="South"/>
    <s v="OFF-FA-10002676"/>
    <x v="0"/>
    <x v="6"/>
    <x v="716"/>
    <n v="12.67"/>
    <n v="7"/>
    <n v="0"/>
    <n v="4.5611999999999995"/>
  </r>
  <r>
    <n v="926"/>
    <s v="US-2023-111500"/>
    <x v="180"/>
    <x v="191"/>
    <s v="Standard Class"/>
    <s v="DJ-13510"/>
    <s v="Don Jones"/>
    <x v="2"/>
    <x v="0"/>
    <s v="Little Rock"/>
    <x v="13"/>
    <n v="72209"/>
    <s v="South"/>
    <s v="OFF-PA-10000595"/>
    <x v="0"/>
    <x v="0"/>
    <x v="717"/>
    <n v="114.2"/>
    <n v="5"/>
    <n v="0"/>
    <n v="52.531999999999996"/>
  </r>
  <r>
    <n v="927"/>
    <s v="US-2023-129168"/>
    <x v="180"/>
    <x v="192"/>
    <s v="Standard Class"/>
    <s v="KB-16585"/>
    <s v="Ken Black"/>
    <x v="2"/>
    <x v="0"/>
    <s v="Houston"/>
    <x v="0"/>
    <n v="77095"/>
    <s v="Central"/>
    <s v="OFF-PA-10001639"/>
    <x v="0"/>
    <x v="0"/>
    <x v="718"/>
    <n v="15.552000000000003"/>
    <n v="3"/>
    <n v="0.2"/>
    <n v="5.4432"/>
  </r>
  <r>
    <n v="928"/>
    <s v="US-2023-111500"/>
    <x v="180"/>
    <x v="191"/>
    <s v="Standard Class"/>
    <s v="DJ-13510"/>
    <s v="Don Jones"/>
    <x v="2"/>
    <x v="0"/>
    <s v="Little Rock"/>
    <x v="13"/>
    <n v="72209"/>
    <s v="South"/>
    <s v="TEC-AC-10000844"/>
    <x v="2"/>
    <x v="9"/>
    <x v="719"/>
    <n v="339.96"/>
    <n v="4"/>
    <n v="0"/>
    <n v="122.38559999999998"/>
  </r>
  <r>
    <n v="929"/>
    <s v="US-2023-156559"/>
    <x v="181"/>
    <x v="193"/>
    <s v="Standard Class"/>
    <s v="LH-16900"/>
    <s v="Lena Hernandez"/>
    <x v="0"/>
    <x v="0"/>
    <s v="Jonesboro"/>
    <x v="13"/>
    <n v="72401"/>
    <s v="South"/>
    <s v="FUR-BO-10000711"/>
    <x v="1"/>
    <x v="10"/>
    <x v="500"/>
    <n v="638.82000000000005"/>
    <n v="9"/>
    <n v="0"/>
    <n v="172.48140000000001"/>
  </r>
  <r>
    <n v="930"/>
    <s v="US-2023-133158"/>
    <x v="181"/>
    <x v="191"/>
    <s v="Second Class"/>
    <s v="DW-13195"/>
    <s v="David Wiener"/>
    <x v="2"/>
    <x v="0"/>
    <s v="Los Angeles"/>
    <x v="5"/>
    <n v="90045"/>
    <s v="West"/>
    <s v="FUR-FU-10000723"/>
    <x v="1"/>
    <x v="8"/>
    <x v="396"/>
    <n v="289.24"/>
    <n v="7"/>
    <n v="0"/>
    <n v="26.031600000000012"/>
  </r>
  <r>
    <n v="931"/>
    <s v="US-2023-121727"/>
    <x v="181"/>
    <x v="194"/>
    <s v="Standard Class"/>
    <s v="JK-15625"/>
    <s v="Jim Karlsson"/>
    <x v="0"/>
    <x v="0"/>
    <s v="Columbus"/>
    <x v="9"/>
    <n v="43229"/>
    <s v="East"/>
    <s v="OFF-AR-10004930"/>
    <x v="0"/>
    <x v="4"/>
    <x v="720"/>
    <n v="10.72"/>
    <n v="2"/>
    <n v="0.2"/>
    <n v="1.7419999999999987"/>
  </r>
  <r>
    <n v="932"/>
    <s v="US-2023-133158"/>
    <x v="181"/>
    <x v="191"/>
    <s v="Second Class"/>
    <s v="DW-13195"/>
    <s v="David Wiener"/>
    <x v="2"/>
    <x v="0"/>
    <s v="Los Angeles"/>
    <x v="5"/>
    <n v="90045"/>
    <s v="West"/>
    <s v="OFF-BI-10000632"/>
    <x v="0"/>
    <x v="1"/>
    <x v="721"/>
    <n v="69.456000000000003"/>
    <n v="2"/>
    <n v="0.2"/>
    <n v="22.573199999999996"/>
  </r>
  <r>
    <n v="933"/>
    <s v="US-2023-164616"/>
    <x v="181"/>
    <x v="191"/>
    <s v="Second Class"/>
    <s v="MS-17770"/>
    <s v="Maxwell Schwartz"/>
    <x v="0"/>
    <x v="0"/>
    <s v="Columbus"/>
    <x v="9"/>
    <n v="43229"/>
    <s v="East"/>
    <s v="OFF-BI-10001718"/>
    <x v="0"/>
    <x v="1"/>
    <x v="692"/>
    <n v="76.77600000000001"/>
    <n v="4"/>
    <n v="0.7"/>
    <n v="-58.861599999999981"/>
  </r>
  <r>
    <n v="934"/>
    <s v="US-2023-143581"/>
    <x v="181"/>
    <x v="192"/>
    <s v="Standard Class"/>
    <s v="BS-11365"/>
    <s v="Bill Shonely"/>
    <x v="2"/>
    <x v="0"/>
    <s v="Columbus"/>
    <x v="4"/>
    <n v="31907"/>
    <s v="South"/>
    <s v="OFF-ST-10000991"/>
    <x v="0"/>
    <x v="3"/>
    <x v="80"/>
    <n v="344.90999999999997"/>
    <n v="3"/>
    <n v="0"/>
    <n v="10.347300000000004"/>
  </r>
  <r>
    <n v="935"/>
    <s v="US-2023-164616"/>
    <x v="181"/>
    <x v="191"/>
    <s v="Second Class"/>
    <s v="MS-17770"/>
    <s v="Maxwell Schwartz"/>
    <x v="0"/>
    <x v="0"/>
    <s v="Columbus"/>
    <x v="9"/>
    <n v="43229"/>
    <s v="East"/>
    <s v="OFF-SU-10004768"/>
    <x v="0"/>
    <x v="14"/>
    <x v="722"/>
    <n v="9.1840000000000011"/>
    <n v="2"/>
    <n v="0.2"/>
    <n v="1.1479999999999988"/>
  </r>
  <r>
    <n v="936"/>
    <s v="CA-2023-132339"/>
    <x v="181"/>
    <x v="192"/>
    <s v="Standard Class"/>
    <s v="JB-15400"/>
    <s v="Jennifer Braxton"/>
    <x v="2"/>
    <x v="1"/>
    <s v="Montreal"/>
    <x v="42"/>
    <s v="H1B"/>
    <s v="East"/>
    <s v="OFF-BI-10003925"/>
    <x v="0"/>
    <x v="1"/>
    <x v="420"/>
    <n v="19.440000000000001"/>
    <n v="3"/>
    <n v="0"/>
    <n v="9.33"/>
  </r>
  <r>
    <n v="937"/>
    <s v="CA-2023-115777"/>
    <x v="181"/>
    <x v="194"/>
    <s v="Standard Class"/>
    <s v="DO-13645"/>
    <s v="Doug O'Connell"/>
    <x v="0"/>
    <x v="1"/>
    <s v="Montreal"/>
    <x v="42"/>
    <s v="H1B"/>
    <s v="East"/>
    <s v="OFF-PA-10000552"/>
    <x v="0"/>
    <x v="0"/>
    <x v="577"/>
    <n v="387.99"/>
    <n v="1"/>
    <n v="0"/>
    <n v="182.36"/>
  </r>
  <r>
    <n v="938"/>
    <s v="US-2023-114321"/>
    <x v="182"/>
    <x v="195"/>
    <s v="Standard Class"/>
    <s v="NC-18535"/>
    <s v="Nick Crebassa"/>
    <x v="2"/>
    <x v="0"/>
    <s v="Hampton"/>
    <x v="6"/>
    <n v="23666"/>
    <s v="South"/>
    <s v="FUR-CH-10001797"/>
    <x v="1"/>
    <x v="5"/>
    <x v="582"/>
    <n v="500.23999999999995"/>
    <n v="13"/>
    <n v="0"/>
    <n v="145.06959999999992"/>
  </r>
  <r>
    <n v="939"/>
    <s v="US-2023-166716"/>
    <x v="182"/>
    <x v="195"/>
    <s v="Second Class"/>
    <s v="CR-12730"/>
    <s v="Craig Reiter"/>
    <x v="0"/>
    <x v="0"/>
    <s v="Chicago"/>
    <x v="1"/>
    <n v="60610"/>
    <s v="Central"/>
    <s v="FUR-CH-10004495"/>
    <x v="1"/>
    <x v="5"/>
    <x v="149"/>
    <n v="421.37200000000001"/>
    <n v="2"/>
    <n v="0.3"/>
    <n v="-6.0196000000000538"/>
  </r>
  <r>
    <n v="940"/>
    <s v="US-2023-114321"/>
    <x v="182"/>
    <x v="195"/>
    <s v="Standard Class"/>
    <s v="NC-18535"/>
    <s v="Nick Crebassa"/>
    <x v="2"/>
    <x v="0"/>
    <s v="Hampton"/>
    <x v="6"/>
    <n v="23666"/>
    <s v="South"/>
    <s v="OFF-BI-10001359"/>
    <x v="0"/>
    <x v="1"/>
    <x v="723"/>
    <n v="896.99"/>
    <n v="1"/>
    <n v="0"/>
    <n v="421.58529999999996"/>
  </r>
  <r>
    <n v="941"/>
    <s v="US-2023-114321"/>
    <x v="182"/>
    <x v="195"/>
    <s v="Standard Class"/>
    <s v="NC-18535"/>
    <s v="Nick Crebassa"/>
    <x v="2"/>
    <x v="0"/>
    <s v="Hampton"/>
    <x v="6"/>
    <n v="23666"/>
    <s v="South"/>
    <s v="OFF-PA-10000246"/>
    <x v="0"/>
    <x v="0"/>
    <x v="724"/>
    <n v="20.12"/>
    <n v="2"/>
    <n v="0"/>
    <n v="9.2552000000000003"/>
  </r>
  <r>
    <n v="942"/>
    <s v="US-2023-123253"/>
    <x v="183"/>
    <x v="195"/>
    <s v="Second Class"/>
    <s v="DE-13255"/>
    <s v="Deanra Eno"/>
    <x v="1"/>
    <x v="0"/>
    <s v="Lakewood"/>
    <x v="9"/>
    <n v="44107"/>
    <s v="East"/>
    <s v="OFF-AR-10002804"/>
    <x v="0"/>
    <x v="4"/>
    <x v="725"/>
    <n v="3.9119999999999999"/>
    <n v="1"/>
    <n v="0.2"/>
    <n v="1.0269000000000001"/>
  </r>
  <r>
    <n v="943"/>
    <s v="US-2023-166828"/>
    <x v="183"/>
    <x v="195"/>
    <s v="First Class"/>
    <s v="JF-15415"/>
    <s v="Jennifer Ferguson"/>
    <x v="0"/>
    <x v="0"/>
    <s v="Saint Charles"/>
    <x v="25"/>
    <n v="63301"/>
    <s v="Central"/>
    <s v="OFF-PA-10001846"/>
    <x v="0"/>
    <x v="0"/>
    <x v="726"/>
    <n v="11.56"/>
    <n v="2"/>
    <n v="0"/>
    <n v="5.6644000000000005"/>
  </r>
  <r>
    <n v="944"/>
    <s v="US-2023-130918"/>
    <x v="183"/>
    <x v="194"/>
    <s v="Second Class"/>
    <s v="JP-15520"/>
    <s v="Jeremy Pistek"/>
    <x v="0"/>
    <x v="0"/>
    <s v="North Miami"/>
    <x v="16"/>
    <n v="33161"/>
    <s v="South"/>
    <s v="OFF-SU-10003936"/>
    <x v="0"/>
    <x v="14"/>
    <x v="727"/>
    <n v="7.6320000000000014"/>
    <n v="3"/>
    <n v="0.2"/>
    <n v="-1.8126000000000002"/>
  </r>
  <r>
    <n v="945"/>
    <s v="US-2023-124737"/>
    <x v="184"/>
    <x v="196"/>
    <s v="Standard Class"/>
    <s v="AP-10915"/>
    <s v="Arthur Prichep"/>
    <x v="0"/>
    <x v="0"/>
    <s v="Denver"/>
    <x v="27"/>
    <n v="80219"/>
    <s v="West"/>
    <s v="FUR-FU-10003274"/>
    <x v="1"/>
    <x v="8"/>
    <x v="728"/>
    <n v="4.2240000000000002"/>
    <n v="3"/>
    <n v="0.2"/>
    <n v="1.2672000000000003"/>
  </r>
  <r>
    <n v="946"/>
    <s v="US-2023-154837"/>
    <x v="184"/>
    <x v="196"/>
    <s v="Second Class"/>
    <s v="RB-19645"/>
    <s v="Robert Barroso"/>
    <x v="2"/>
    <x v="0"/>
    <s v="Los Angeles"/>
    <x v="5"/>
    <n v="90032"/>
    <s v="West"/>
    <s v="OFF-BI-10001575"/>
    <x v="0"/>
    <x v="1"/>
    <x v="35"/>
    <n v="49.568000000000005"/>
    <n v="2"/>
    <n v="0.2"/>
    <n v="17.348799999999997"/>
  </r>
  <r>
    <n v="947"/>
    <s v="US-2023-124737"/>
    <x v="184"/>
    <x v="196"/>
    <s v="Standard Class"/>
    <s v="AP-10915"/>
    <s v="Arthur Prichep"/>
    <x v="0"/>
    <x v="0"/>
    <s v="Denver"/>
    <x v="27"/>
    <n v="80219"/>
    <s v="West"/>
    <s v="OFF-PA-10000019"/>
    <x v="0"/>
    <x v="0"/>
    <x v="729"/>
    <n v="31.104000000000006"/>
    <n v="6"/>
    <n v="0.2"/>
    <n v="10.8864"/>
  </r>
  <r>
    <n v="948"/>
    <s v="US-2023-124737"/>
    <x v="184"/>
    <x v="196"/>
    <s v="Standard Class"/>
    <s v="AP-10915"/>
    <s v="Arthur Prichep"/>
    <x v="0"/>
    <x v="0"/>
    <s v="Denver"/>
    <x v="27"/>
    <n v="80219"/>
    <s v="West"/>
    <s v="OFF-PA-10001125"/>
    <x v="0"/>
    <x v="0"/>
    <x v="730"/>
    <n v="223.05600000000001"/>
    <n v="9"/>
    <n v="0.2"/>
    <n v="69.704999999999984"/>
  </r>
  <r>
    <n v="949"/>
    <s v="US-2023-124737"/>
    <x v="184"/>
    <x v="196"/>
    <s v="Standard Class"/>
    <s v="AP-10915"/>
    <s v="Arthur Prichep"/>
    <x v="0"/>
    <x v="0"/>
    <s v="Denver"/>
    <x v="27"/>
    <n v="80219"/>
    <s v="West"/>
    <s v="OFF-PA-10001837"/>
    <x v="0"/>
    <x v="0"/>
    <x v="731"/>
    <n v="15.552000000000003"/>
    <n v="3"/>
    <n v="0.2"/>
    <n v="5.4432"/>
  </r>
  <r>
    <n v="950"/>
    <s v="US-2023-112795"/>
    <x v="184"/>
    <x v="197"/>
    <s v="Second Class"/>
    <s v="CR-12625"/>
    <s v="Corey Roper"/>
    <x v="1"/>
    <x v="0"/>
    <s v="Grand Rapids"/>
    <x v="14"/>
    <n v="49505"/>
    <s v="Central"/>
    <s v="OFF-PA-10001934"/>
    <x v="0"/>
    <x v="0"/>
    <x v="732"/>
    <n v="19.440000000000001"/>
    <n v="3"/>
    <n v="0"/>
    <n v="9.5256000000000007"/>
  </r>
  <r>
    <n v="951"/>
    <s v="US-2023-110639"/>
    <x v="184"/>
    <x v="192"/>
    <s v="Same Day"/>
    <s v="RH-19495"/>
    <s v="Rick Hansen"/>
    <x v="0"/>
    <x v="0"/>
    <s v="New York City"/>
    <x v="21"/>
    <n v="10009"/>
    <s v="East"/>
    <s v="OFF-PA-10003936"/>
    <x v="0"/>
    <x v="0"/>
    <x v="733"/>
    <n v="25.92"/>
    <n v="4"/>
    <n v="0"/>
    <n v="12.441600000000001"/>
  </r>
  <r>
    <n v="952"/>
    <s v="US-2023-110639"/>
    <x v="184"/>
    <x v="192"/>
    <s v="Same Day"/>
    <s v="RH-19495"/>
    <s v="Rick Hansen"/>
    <x v="0"/>
    <x v="0"/>
    <s v="New York City"/>
    <x v="21"/>
    <n v="10009"/>
    <s v="East"/>
    <s v="OFF-PA-10004530"/>
    <x v="0"/>
    <x v="0"/>
    <x v="734"/>
    <n v="45.92"/>
    <n v="4"/>
    <n v="0"/>
    <n v="22.500800000000002"/>
  </r>
  <r>
    <n v="953"/>
    <s v="US-2023-124737"/>
    <x v="184"/>
    <x v="196"/>
    <s v="Standard Class"/>
    <s v="AP-10915"/>
    <s v="Arthur Prichep"/>
    <x v="0"/>
    <x v="0"/>
    <s v="Denver"/>
    <x v="27"/>
    <n v="80219"/>
    <s v="West"/>
    <s v="OFF-SU-10004661"/>
    <x v="0"/>
    <x v="14"/>
    <x v="735"/>
    <n v="6.8000000000000007"/>
    <n v="1"/>
    <n v="0.2"/>
    <n v="0.50999999999999979"/>
  </r>
  <r>
    <n v="954"/>
    <s v="US-2023-124737"/>
    <x v="184"/>
    <x v="196"/>
    <s v="Standard Class"/>
    <s v="AP-10915"/>
    <s v="Arthur Prichep"/>
    <x v="0"/>
    <x v="0"/>
    <s v="Denver"/>
    <x v="27"/>
    <n v="80219"/>
    <s v="West"/>
    <s v="TEC-PH-10000149"/>
    <x v="2"/>
    <x v="7"/>
    <x v="736"/>
    <n v="143.64000000000001"/>
    <n v="9"/>
    <n v="0.2"/>
    <n v="10.772999999999989"/>
  </r>
  <r>
    <n v="955"/>
    <s v="US-2023-107916"/>
    <x v="185"/>
    <x v="193"/>
    <s v="First Class"/>
    <s v="JP-15460"/>
    <s v="Jennifer Patt"/>
    <x v="2"/>
    <x v="0"/>
    <s v="Oceanside"/>
    <x v="21"/>
    <n v="11572"/>
    <s v="East"/>
    <s v="FUR-FU-10004586"/>
    <x v="1"/>
    <x v="8"/>
    <x v="737"/>
    <n v="13.28"/>
    <n v="2"/>
    <n v="0"/>
    <n v="6.3743999999999996"/>
  </r>
  <r>
    <n v="956"/>
    <s v="US-2023-107916"/>
    <x v="185"/>
    <x v="193"/>
    <s v="First Class"/>
    <s v="JP-15460"/>
    <s v="Jennifer Patt"/>
    <x v="2"/>
    <x v="0"/>
    <s v="Oceanside"/>
    <x v="21"/>
    <n v="11572"/>
    <s v="East"/>
    <s v="OFF-BI-10001116"/>
    <x v="0"/>
    <x v="1"/>
    <x v="524"/>
    <n v="12.672000000000001"/>
    <n v="3"/>
    <n v="0.2"/>
    <n v="4.4352000000000009"/>
  </r>
  <r>
    <n v="957"/>
    <s v="US-2023-106719"/>
    <x v="185"/>
    <x v="194"/>
    <s v="Same Day"/>
    <s v="RB-19645"/>
    <s v="Robert Barroso"/>
    <x v="2"/>
    <x v="0"/>
    <s v="Billings"/>
    <x v="37"/>
    <n v="59102"/>
    <s v="West"/>
    <s v="OFF-BI-10002799"/>
    <x v="0"/>
    <x v="1"/>
    <x v="738"/>
    <n v="8.2880000000000003"/>
    <n v="2"/>
    <n v="0.2"/>
    <n v="2.6935999999999991"/>
  </r>
  <r>
    <n v="958"/>
    <s v="US-2023-120432"/>
    <x v="185"/>
    <x v="193"/>
    <s v="Second Class"/>
    <s v="DW-13585"/>
    <s v="Dorothy Wardle"/>
    <x v="2"/>
    <x v="0"/>
    <s v="Owensboro"/>
    <x v="3"/>
    <n v="42301"/>
    <s v="South"/>
    <s v="OFF-SU-10004661"/>
    <x v="0"/>
    <x v="14"/>
    <x v="735"/>
    <n v="25.5"/>
    <n v="3"/>
    <n v="0"/>
    <n v="6.63"/>
  </r>
  <r>
    <n v="959"/>
    <s v="US-2023-104178"/>
    <x v="186"/>
    <x v="198"/>
    <s v="Standard Class"/>
    <s v="JM-15265"/>
    <s v="Janet Molinari"/>
    <x v="2"/>
    <x v="0"/>
    <s v="Los Angeles"/>
    <x v="5"/>
    <n v="90036"/>
    <s v="West"/>
    <s v="FUR-FU-10000771"/>
    <x v="1"/>
    <x v="8"/>
    <x v="739"/>
    <n v="6.28"/>
    <n v="1"/>
    <n v="0"/>
    <n v="2.6376000000000004"/>
  </r>
  <r>
    <n v="960"/>
    <s v="US-2023-107398"/>
    <x v="186"/>
    <x v="199"/>
    <s v="Standard Class"/>
    <s v="BS-11590"/>
    <s v="Brendan Sweed"/>
    <x v="2"/>
    <x v="0"/>
    <s v="Columbus"/>
    <x v="9"/>
    <n v="43229"/>
    <s v="East"/>
    <s v="OFF-BI-10001982"/>
    <x v="0"/>
    <x v="1"/>
    <x v="608"/>
    <n v="6.5280000000000014"/>
    <n v="4"/>
    <n v="0.7"/>
    <n v="-4.5695999999999994"/>
  </r>
  <r>
    <n v="961"/>
    <s v="US-2023-107398"/>
    <x v="186"/>
    <x v="199"/>
    <s v="Standard Class"/>
    <s v="BS-11590"/>
    <s v="Brendan Sweed"/>
    <x v="2"/>
    <x v="0"/>
    <s v="Columbus"/>
    <x v="9"/>
    <n v="43229"/>
    <s v="East"/>
    <s v="OFF-BI-10002103"/>
    <x v="0"/>
    <x v="1"/>
    <x v="599"/>
    <n v="20.856000000000002"/>
    <n v="8"/>
    <n v="0.7"/>
    <n v="-16.684799999999996"/>
  </r>
  <r>
    <n v="962"/>
    <s v="US-2023-126200"/>
    <x v="186"/>
    <x v="198"/>
    <s v="Standard Class"/>
    <s v="JE-15715"/>
    <s v="Joe Elijah"/>
    <x v="0"/>
    <x v="0"/>
    <s v="Houston"/>
    <x v="0"/>
    <n v="77070"/>
    <s v="Central"/>
    <s v="OFF-BI-10002133"/>
    <x v="0"/>
    <x v="1"/>
    <x v="740"/>
    <n v="25.679999999999993"/>
    <n v="3"/>
    <n v="0.8"/>
    <n v="-39.804000000000002"/>
  </r>
  <r>
    <n v="963"/>
    <s v="US-2023-126200"/>
    <x v="186"/>
    <x v="198"/>
    <s v="Standard Class"/>
    <s v="JE-15715"/>
    <s v="Joe Elijah"/>
    <x v="0"/>
    <x v="0"/>
    <s v="Houston"/>
    <x v="0"/>
    <n v="77070"/>
    <s v="Central"/>
    <s v="OFF-BI-10002225"/>
    <x v="0"/>
    <x v="1"/>
    <x v="741"/>
    <n v="12.383999999999997"/>
    <n v="3"/>
    <n v="0.8"/>
    <n v="-19.814400000000003"/>
  </r>
  <r>
    <n v="964"/>
    <s v="US-2023-107398"/>
    <x v="186"/>
    <x v="199"/>
    <s v="Standard Class"/>
    <s v="BS-11590"/>
    <s v="Brendan Sweed"/>
    <x v="2"/>
    <x v="0"/>
    <s v="Columbus"/>
    <x v="9"/>
    <n v="43229"/>
    <s v="East"/>
    <s v="OFF-BI-10004141"/>
    <x v="0"/>
    <x v="1"/>
    <x v="742"/>
    <n v="2.8620000000000005"/>
    <n v="3"/>
    <n v="0.7"/>
    <n v="-2.2896000000000001"/>
  </r>
  <r>
    <n v="965"/>
    <s v="US-2023-115259"/>
    <x v="186"/>
    <x v="196"/>
    <s v="Second Class"/>
    <s v="RC-19960"/>
    <s v="Ryan Crowe"/>
    <x v="0"/>
    <x v="0"/>
    <s v="Columbus"/>
    <x v="9"/>
    <n v="43229"/>
    <s v="East"/>
    <s v="OFF-EN-10002504"/>
    <x v="0"/>
    <x v="11"/>
    <x v="41"/>
    <n v="130.464"/>
    <n v="6"/>
    <n v="0.2"/>
    <n v="44.031599999999997"/>
  </r>
  <r>
    <n v="966"/>
    <s v="US-2023-115259"/>
    <x v="186"/>
    <x v="196"/>
    <s v="Second Class"/>
    <s v="RC-19960"/>
    <s v="Ryan Crowe"/>
    <x v="0"/>
    <x v="0"/>
    <s v="Columbus"/>
    <x v="9"/>
    <n v="43229"/>
    <s v="East"/>
    <s v="OFF-EN-10002600"/>
    <x v="0"/>
    <x v="11"/>
    <x v="743"/>
    <n v="4.7200000000000006"/>
    <n v="2"/>
    <n v="0.2"/>
    <n v="1.6519999999999997"/>
  </r>
  <r>
    <n v="967"/>
    <s v="US-2023-115259"/>
    <x v="186"/>
    <x v="196"/>
    <s v="Second Class"/>
    <s v="RC-19960"/>
    <s v="Ryan Crowe"/>
    <x v="0"/>
    <x v="0"/>
    <s v="Columbus"/>
    <x v="9"/>
    <n v="43229"/>
    <s v="East"/>
    <s v="OFF-FA-10000621"/>
    <x v="0"/>
    <x v="6"/>
    <x v="650"/>
    <n v="40.096000000000004"/>
    <n v="14"/>
    <n v="0.2"/>
    <n v="14.534799999999997"/>
  </r>
  <r>
    <n v="968"/>
    <s v="US-2023-115259"/>
    <x v="186"/>
    <x v="196"/>
    <s v="Second Class"/>
    <s v="RC-19960"/>
    <s v="Ryan Crowe"/>
    <x v="0"/>
    <x v="0"/>
    <s v="Columbus"/>
    <x v="9"/>
    <n v="43229"/>
    <s v="East"/>
    <s v="OFF-PA-10004965"/>
    <x v="0"/>
    <x v="0"/>
    <x v="744"/>
    <n v="23.976000000000003"/>
    <n v="3"/>
    <n v="0.2"/>
    <n v="7.4924999999999988"/>
  </r>
  <r>
    <n v="969"/>
    <s v="US-2023-104178"/>
    <x v="186"/>
    <x v="198"/>
    <s v="Standard Class"/>
    <s v="JM-15265"/>
    <s v="Janet Molinari"/>
    <x v="2"/>
    <x v="0"/>
    <s v="Los Angeles"/>
    <x v="5"/>
    <n v="90036"/>
    <s v="West"/>
    <s v="OFF-PA-10004983"/>
    <x v="0"/>
    <x v="0"/>
    <x v="745"/>
    <n v="25.92"/>
    <n v="4"/>
    <n v="0"/>
    <n v="12.441600000000001"/>
  </r>
  <r>
    <n v="970"/>
    <s v="US-2023-104178"/>
    <x v="186"/>
    <x v="198"/>
    <s v="Standard Class"/>
    <s v="JM-15265"/>
    <s v="Janet Molinari"/>
    <x v="2"/>
    <x v="0"/>
    <s v="Los Angeles"/>
    <x v="5"/>
    <n v="90036"/>
    <s v="West"/>
    <s v="OFF-ST-10004258"/>
    <x v="0"/>
    <x v="3"/>
    <x v="746"/>
    <n v="48.84"/>
    <n v="4"/>
    <n v="0"/>
    <n v="13.186800000000005"/>
  </r>
  <r>
    <n v="971"/>
    <s v="US-2023-104178"/>
    <x v="186"/>
    <x v="198"/>
    <s v="Standard Class"/>
    <s v="JM-15265"/>
    <s v="Janet Molinari"/>
    <x v="2"/>
    <x v="0"/>
    <s v="Los Angeles"/>
    <x v="5"/>
    <n v="90036"/>
    <s v="West"/>
    <s v="TEC-AC-10002399"/>
    <x v="2"/>
    <x v="9"/>
    <x v="747"/>
    <n v="95.1"/>
    <n v="5"/>
    <n v="0"/>
    <n v="30.431999999999995"/>
  </r>
  <r>
    <n v="972"/>
    <s v="US-2023-103660"/>
    <x v="186"/>
    <x v="199"/>
    <s v="Standard Class"/>
    <s v="MW-18220"/>
    <s v="Mitch Webber"/>
    <x v="0"/>
    <x v="0"/>
    <s v="Seattle"/>
    <x v="23"/>
    <n v="98103"/>
    <s v="West"/>
    <s v="TEC-PH-10000895"/>
    <x v="2"/>
    <x v="7"/>
    <x v="579"/>
    <n v="1007.9440000000002"/>
    <n v="7"/>
    <n v="0.2"/>
    <n v="75.595799999999997"/>
  </r>
  <r>
    <n v="973"/>
    <s v="US-2023-103331"/>
    <x v="187"/>
    <x v="200"/>
    <s v="Standard Class"/>
    <s v="KB-16315"/>
    <s v="Karl Braun"/>
    <x v="0"/>
    <x v="0"/>
    <s v="Newark"/>
    <x v="7"/>
    <n v="19711"/>
    <s v="East"/>
    <s v="FUR-FU-10001731"/>
    <x v="1"/>
    <x v="8"/>
    <x v="540"/>
    <n v="10.68"/>
    <n v="4"/>
    <n v="0"/>
    <n v="4.0583999999999998"/>
  </r>
  <r>
    <n v="974"/>
    <s v="US-2023-115413"/>
    <x v="187"/>
    <x v="200"/>
    <s v="Standard Class"/>
    <s v="PP-18955"/>
    <s v="Paul Prost"/>
    <x v="1"/>
    <x v="0"/>
    <s v="Newark"/>
    <x v="7"/>
    <n v="19711"/>
    <s v="East"/>
    <s v="OFF-AR-10003770"/>
    <x v="0"/>
    <x v="4"/>
    <x v="748"/>
    <n v="8.64"/>
    <n v="3"/>
    <n v="0"/>
    <n v="2.5055999999999998"/>
  </r>
  <r>
    <n v="975"/>
    <s v="US-2023-103331"/>
    <x v="187"/>
    <x v="200"/>
    <s v="Standard Class"/>
    <s v="KB-16315"/>
    <s v="Karl Braun"/>
    <x v="0"/>
    <x v="0"/>
    <s v="Newark"/>
    <x v="7"/>
    <n v="19711"/>
    <s v="East"/>
    <s v="OFF-PA-10002160"/>
    <x v="0"/>
    <x v="0"/>
    <x v="749"/>
    <n v="17.34"/>
    <n v="3"/>
    <n v="0"/>
    <n v="8.4966000000000008"/>
  </r>
  <r>
    <n v="976"/>
    <s v="US-2023-103331"/>
    <x v="187"/>
    <x v="200"/>
    <s v="Standard Class"/>
    <s v="KB-16315"/>
    <s v="Karl Braun"/>
    <x v="0"/>
    <x v="0"/>
    <s v="Newark"/>
    <x v="7"/>
    <n v="19711"/>
    <s v="East"/>
    <s v="OFF-PA-10002659"/>
    <x v="0"/>
    <x v="0"/>
    <x v="750"/>
    <n v="3.38"/>
    <n v="1"/>
    <n v="0"/>
    <n v="1.5547999999999997"/>
  </r>
  <r>
    <n v="977"/>
    <s v="US-2023-123260"/>
    <x v="187"/>
    <x v="199"/>
    <s v="Standard Class"/>
    <s v="FM-14290"/>
    <s v="Frank Merwin"/>
    <x v="1"/>
    <x v="0"/>
    <s v="Los Angeles"/>
    <x v="5"/>
    <n v="90032"/>
    <s v="West"/>
    <s v="TEC-AC-10002323"/>
    <x v="2"/>
    <x v="9"/>
    <x v="233"/>
    <n v="176.8"/>
    <n v="8"/>
    <n v="0"/>
    <n v="22.984000000000009"/>
  </r>
  <r>
    <n v="978"/>
    <s v="US-2023-115413"/>
    <x v="187"/>
    <x v="200"/>
    <s v="Standard Class"/>
    <s v="PP-18955"/>
    <s v="Paul Prost"/>
    <x v="1"/>
    <x v="0"/>
    <s v="Newark"/>
    <x v="7"/>
    <n v="19711"/>
    <s v="East"/>
    <s v="TEC-AC-10002800"/>
    <x v="2"/>
    <x v="9"/>
    <x v="404"/>
    <n v="149.97"/>
    <n v="3"/>
    <n v="0"/>
    <n v="52.489499999999992"/>
  </r>
  <r>
    <n v="979"/>
    <s v="US-2023-124688"/>
    <x v="188"/>
    <x v="198"/>
    <s v="First Class"/>
    <s v="CC-12610"/>
    <s v="Corey Catlett"/>
    <x v="2"/>
    <x v="0"/>
    <s v="Springfield"/>
    <x v="6"/>
    <n v="22153"/>
    <s v="South"/>
    <s v="FUR-FU-10002456"/>
    <x v="1"/>
    <x v="8"/>
    <x v="751"/>
    <n v="29.12"/>
    <n v="4"/>
    <n v="0"/>
    <n v="12.521600000000003"/>
  </r>
  <r>
    <n v="980"/>
    <s v="US-2023-124688"/>
    <x v="188"/>
    <x v="198"/>
    <s v="First Class"/>
    <s v="CC-12610"/>
    <s v="Corey Catlett"/>
    <x v="2"/>
    <x v="0"/>
    <s v="Springfield"/>
    <x v="6"/>
    <n v="22153"/>
    <s v="South"/>
    <s v="FUR-TA-10003569"/>
    <x v="1"/>
    <x v="13"/>
    <x v="752"/>
    <n v="1202.94"/>
    <n v="3"/>
    <n v="0"/>
    <n v="300.73500000000001"/>
  </r>
  <r>
    <n v="981"/>
    <s v="US-2023-143336"/>
    <x v="188"/>
    <x v="200"/>
    <s v="Second Class"/>
    <s v="ZD-21925"/>
    <s v="Zuschuss Donatelli"/>
    <x v="0"/>
    <x v="0"/>
    <s v="San Francisco"/>
    <x v="5"/>
    <n v="94109"/>
    <s v="West"/>
    <s v="OFF-AR-10003056"/>
    <x v="0"/>
    <x v="4"/>
    <x v="522"/>
    <n v="8.56"/>
    <n v="2"/>
    <n v="0"/>
    <n v="2.4823999999999993"/>
  </r>
  <r>
    <n v="982"/>
    <s v="US-2023-143336"/>
    <x v="188"/>
    <x v="200"/>
    <s v="Second Class"/>
    <s v="ZD-21925"/>
    <s v="Zuschuss Donatelli"/>
    <x v="0"/>
    <x v="0"/>
    <s v="San Francisco"/>
    <x v="5"/>
    <n v="94109"/>
    <s v="West"/>
    <s v="OFF-BI-10002215"/>
    <x v="0"/>
    <x v="1"/>
    <x v="753"/>
    <n v="22.72"/>
    <n v="4"/>
    <n v="0.2"/>
    <n v="7.3839999999999986"/>
  </r>
  <r>
    <n v="983"/>
    <s v="US-2023-101266"/>
    <x v="188"/>
    <x v="199"/>
    <s v="Second Class"/>
    <s v="MM-17920"/>
    <s v="Michael Moore"/>
    <x v="0"/>
    <x v="0"/>
    <s v="Springfield"/>
    <x v="6"/>
    <n v="22153"/>
    <s v="South"/>
    <s v="OFF-PA-10002986"/>
    <x v="0"/>
    <x v="0"/>
    <x v="263"/>
    <n v="13.36"/>
    <n v="2"/>
    <n v="0"/>
    <n v="6.4127999999999998"/>
  </r>
  <r>
    <n v="984"/>
    <s v="US-2023-124688"/>
    <x v="188"/>
    <x v="198"/>
    <s v="First Class"/>
    <s v="CC-12610"/>
    <s v="Corey Catlett"/>
    <x v="2"/>
    <x v="0"/>
    <s v="Springfield"/>
    <x v="6"/>
    <n v="22153"/>
    <s v="South"/>
    <s v="TEC-PH-10000455"/>
    <x v="2"/>
    <x v="7"/>
    <x v="754"/>
    <n v="579.94999999999993"/>
    <n v="5"/>
    <n v="0"/>
    <n v="168.18549999999993"/>
  </r>
  <r>
    <n v="985"/>
    <s v="US-2023-143336"/>
    <x v="188"/>
    <x v="200"/>
    <s v="Second Class"/>
    <s v="ZD-21925"/>
    <s v="Zuschuss Donatelli"/>
    <x v="0"/>
    <x v="0"/>
    <s v="San Francisco"/>
    <x v="5"/>
    <n v="94109"/>
    <s v="West"/>
    <s v="TEC-PH-10001949"/>
    <x v="2"/>
    <x v="7"/>
    <x v="755"/>
    <n v="213.48000000000002"/>
    <n v="3"/>
    <n v="0.2"/>
    <n v="16.010999999999981"/>
  </r>
  <r>
    <n v="986"/>
    <s v="US-2023-169775"/>
    <x v="189"/>
    <x v="201"/>
    <s v="Second Class"/>
    <s v="RA-19945"/>
    <s v="Ryan Akin"/>
    <x v="0"/>
    <x v="0"/>
    <s v="Miami"/>
    <x v="16"/>
    <n v="33178"/>
    <s v="South"/>
    <s v="FUR-TA-10001857"/>
    <x v="1"/>
    <x v="13"/>
    <x v="756"/>
    <n v="174.05850000000001"/>
    <n v="3"/>
    <n v="0.45"/>
    <n v="-110.76450000000001"/>
  </r>
  <r>
    <n v="987"/>
    <s v="US-2023-169775"/>
    <x v="189"/>
    <x v="201"/>
    <s v="Second Class"/>
    <s v="RA-19945"/>
    <s v="Ryan Akin"/>
    <x v="0"/>
    <x v="0"/>
    <s v="Miami"/>
    <x v="16"/>
    <n v="33178"/>
    <s v="South"/>
    <s v="OFF-BI-10004390"/>
    <x v="0"/>
    <x v="1"/>
    <x v="255"/>
    <n v="505.1760000000001"/>
    <n v="4"/>
    <n v="0.7"/>
    <n v="-336.78399999999988"/>
  </r>
  <r>
    <n v="988"/>
    <s v="US-2023-169775"/>
    <x v="189"/>
    <x v="201"/>
    <s v="Second Class"/>
    <s v="RA-19945"/>
    <s v="Ryan Akin"/>
    <x v="0"/>
    <x v="0"/>
    <s v="Miami"/>
    <x v="16"/>
    <n v="33178"/>
    <s v="South"/>
    <s v="OFF-EN-10001749"/>
    <x v="0"/>
    <x v="11"/>
    <x v="757"/>
    <n v="29.808"/>
    <n v="2"/>
    <n v="0.2"/>
    <n v="10.805399999999997"/>
  </r>
  <r>
    <n v="989"/>
    <s v="US-2023-135699"/>
    <x v="189"/>
    <x v="198"/>
    <s v="Same Day"/>
    <s v="HH-15010"/>
    <s v="Hilary Holden"/>
    <x v="2"/>
    <x v="0"/>
    <s v="San Francisco"/>
    <x v="5"/>
    <n v="94110"/>
    <s v="West"/>
    <s v="OFF-PA-10003001"/>
    <x v="0"/>
    <x v="0"/>
    <x v="758"/>
    <n v="13.36"/>
    <n v="2"/>
    <n v="0"/>
    <n v="6.4127999999999998"/>
  </r>
  <r>
    <n v="990"/>
    <s v="US-2023-135699"/>
    <x v="189"/>
    <x v="198"/>
    <s v="Same Day"/>
    <s v="HH-15010"/>
    <s v="Hilary Holden"/>
    <x v="2"/>
    <x v="0"/>
    <s v="San Francisco"/>
    <x v="5"/>
    <n v="94110"/>
    <s v="West"/>
    <s v="OFF-PA-10004475"/>
    <x v="0"/>
    <x v="0"/>
    <x v="759"/>
    <n v="109.92"/>
    <n v="2"/>
    <n v="0"/>
    <n v="53.860799999999998"/>
  </r>
  <r>
    <n v="991"/>
    <s v="US-2023-146500"/>
    <x v="190"/>
    <x v="202"/>
    <s v="Standard Class"/>
    <s v="AT-10735"/>
    <s v="Annie Thurman"/>
    <x v="0"/>
    <x v="0"/>
    <s v="Bristol"/>
    <x v="39"/>
    <n v="6010"/>
    <s v="East"/>
    <s v="OFF-BI-10002432"/>
    <x v="0"/>
    <x v="1"/>
    <x v="760"/>
    <n v="25.299999999999997"/>
    <n v="5"/>
    <n v="0"/>
    <n v="11.890999999999998"/>
  </r>
  <r>
    <n v="992"/>
    <s v="US-2023-146500"/>
    <x v="190"/>
    <x v="202"/>
    <s v="Standard Class"/>
    <s v="AT-10735"/>
    <s v="Annie Thurman"/>
    <x v="0"/>
    <x v="0"/>
    <s v="Bristol"/>
    <x v="39"/>
    <n v="6010"/>
    <s v="East"/>
    <s v="OFF-ST-10000563"/>
    <x v="0"/>
    <x v="3"/>
    <x v="563"/>
    <n v="95.94"/>
    <n v="3"/>
    <n v="0"/>
    <n v="9.5940000000000012"/>
  </r>
  <r>
    <n v="993"/>
    <s v="US-2023-143385"/>
    <x v="191"/>
    <x v="203"/>
    <s v="Standard Class"/>
    <s v="SJ-20500"/>
    <s v="Shirley Jackson"/>
    <x v="0"/>
    <x v="0"/>
    <s v="Santa Fe"/>
    <x v="33"/>
    <n v="87505"/>
    <s v="West"/>
    <s v="TEC-AC-10001635"/>
    <x v="2"/>
    <x v="9"/>
    <x v="761"/>
    <n v="92.52"/>
    <n v="9"/>
    <n v="0"/>
    <n v="18.503999999999991"/>
  </r>
  <r>
    <n v="994"/>
    <s v="US-2023-126522"/>
    <x v="192"/>
    <x v="203"/>
    <s v="Second Class"/>
    <s v="LT-16765"/>
    <s v="Larry Tron"/>
    <x v="0"/>
    <x v="0"/>
    <s v="Escondido"/>
    <x v="5"/>
    <n v="92025"/>
    <s v="West"/>
    <s v="OFF-AR-10004042"/>
    <x v="0"/>
    <x v="4"/>
    <x v="762"/>
    <n v="53.94"/>
    <n v="3"/>
    <n v="0"/>
    <n v="15.642599999999995"/>
  </r>
  <r>
    <n v="995"/>
    <s v="US-2023-165428"/>
    <x v="192"/>
    <x v="202"/>
    <s v="First Class"/>
    <s v="JL-15130"/>
    <s v="Jack Lebron"/>
    <x v="0"/>
    <x v="0"/>
    <s v="Houston"/>
    <x v="0"/>
    <n v="77036"/>
    <s v="Central"/>
    <s v="OFF-BI-10002949"/>
    <x v="0"/>
    <x v="1"/>
    <x v="763"/>
    <n v="3.6479999999999992"/>
    <n v="3"/>
    <n v="0.8"/>
    <n v="-6.0192000000000032"/>
  </r>
  <r>
    <n v="996"/>
    <s v="US-2023-109855"/>
    <x v="192"/>
    <x v="203"/>
    <s v="Standard Class"/>
    <s v="LH-16900"/>
    <s v="Lena Hernandez"/>
    <x v="0"/>
    <x v="0"/>
    <s v="New York City"/>
    <x v="21"/>
    <n v="10009"/>
    <s v="East"/>
    <s v="OFF-BI-10004716"/>
    <x v="0"/>
    <x v="1"/>
    <x v="764"/>
    <n v="23.744"/>
    <n v="2"/>
    <n v="0.2"/>
    <n v="8.3103999999999996"/>
  </r>
  <r>
    <n v="997"/>
    <s v="US-2023-165428"/>
    <x v="192"/>
    <x v="202"/>
    <s v="First Class"/>
    <s v="JL-15130"/>
    <s v="Jack Lebron"/>
    <x v="0"/>
    <x v="0"/>
    <s v="Houston"/>
    <x v="0"/>
    <n v="77036"/>
    <s v="Central"/>
    <s v="OFF-PA-10004100"/>
    <x v="0"/>
    <x v="0"/>
    <x v="765"/>
    <n v="31.104000000000006"/>
    <n v="6"/>
    <n v="0.2"/>
    <n v="10.8864"/>
  </r>
  <r>
    <n v="998"/>
    <s v="US-2023-109855"/>
    <x v="192"/>
    <x v="203"/>
    <s v="Standard Class"/>
    <s v="LH-16900"/>
    <s v="Lena Hernandez"/>
    <x v="0"/>
    <x v="0"/>
    <s v="New York City"/>
    <x v="21"/>
    <n v="10009"/>
    <s v="East"/>
    <s v="TEC-AC-10002842"/>
    <x v="2"/>
    <x v="9"/>
    <x v="648"/>
    <n v="357"/>
    <n v="3"/>
    <n v="0"/>
    <n v="57.120000000000019"/>
  </r>
  <r>
    <n v="999"/>
    <s v="US-2023-157721"/>
    <x v="193"/>
    <x v="203"/>
    <s v="First Class"/>
    <s v="JM-16195"/>
    <s v="Justin MacKendrick"/>
    <x v="0"/>
    <x v="0"/>
    <s v="Watertown"/>
    <x v="21"/>
    <n v="13601"/>
    <s v="East"/>
    <s v="FUR-FU-10002116"/>
    <x v="1"/>
    <x v="8"/>
    <x v="766"/>
    <n v="70.709999999999994"/>
    <n v="1"/>
    <n v="0"/>
    <n v="4.9496999999999929"/>
  </r>
  <r>
    <n v="1000"/>
    <s v="US-2023-157721"/>
    <x v="193"/>
    <x v="203"/>
    <s v="First Class"/>
    <s v="JM-16195"/>
    <s v="Justin MacKendrick"/>
    <x v="0"/>
    <x v="0"/>
    <s v="Watertown"/>
    <x v="21"/>
    <n v="13601"/>
    <s v="East"/>
    <s v="OFF-AP-10001303"/>
    <x v="0"/>
    <x v="12"/>
    <x v="111"/>
    <n v="19.899999999999999"/>
    <n v="1"/>
    <n v="0"/>
    <n v="8.9549999999999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34C8A-0600-425F-B8FB-DF604FA53D7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REGION">
  <location ref="L4:M8" firstHeaderRow="1" firstDataRow="1" firstDataCol="1"/>
  <pivotFields count="21">
    <pivotField showAll="0"/>
    <pivotField showAll="0"/>
    <pivotField numFmtId="14"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umFmtId="14" showAll="0">
      <items count="205">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2"/>
        <item x="203"/>
        <item t="default"/>
      </items>
    </pivotField>
    <pivotField showAll="0"/>
    <pivotField showAll="0"/>
    <pivotField showAll="0"/>
    <pivotField showAll="0">
      <items count="4">
        <item x="0"/>
        <item x="2"/>
        <item x="1"/>
        <item t="default"/>
      </items>
    </pivotField>
    <pivotField showAll="0">
      <items count="3">
        <item x="1"/>
        <item x="0"/>
        <item t="default"/>
      </items>
    </pivotField>
    <pivotField showAll="0"/>
    <pivotField showAll="0">
      <items count="48">
        <item x="35"/>
        <item x="28"/>
        <item x="12"/>
        <item x="13"/>
        <item x="41"/>
        <item x="5"/>
        <item x="27"/>
        <item x="39"/>
        <item x="7"/>
        <item x="16"/>
        <item x="4"/>
        <item x="36"/>
        <item x="1"/>
        <item x="18"/>
        <item x="32"/>
        <item x="3"/>
        <item x="10"/>
        <item x="46"/>
        <item x="38"/>
        <item x="34"/>
        <item x="14"/>
        <item x="30"/>
        <item x="31"/>
        <item x="25"/>
        <item x="37"/>
        <item x="45"/>
        <item x="19"/>
        <item x="40"/>
        <item x="24"/>
        <item x="33"/>
        <item x="21"/>
        <item x="26"/>
        <item x="43"/>
        <item x="9"/>
        <item x="44"/>
        <item x="17"/>
        <item x="11"/>
        <item x="2"/>
        <item x="42"/>
        <item x="8"/>
        <item x="20"/>
        <item x="15"/>
        <item x="0"/>
        <item x="29"/>
        <item x="6"/>
        <item x="23"/>
        <item x="22"/>
        <item t="default"/>
      </items>
    </pivotField>
    <pivotField showAll="0"/>
    <pivotField axis="axisRow" showAll="0">
      <items count="5">
        <item x="0"/>
        <item x="1"/>
        <item x="2"/>
        <item x="3"/>
        <item t="default"/>
      </items>
    </pivotField>
    <pivotField showAll="0"/>
    <pivotField showAll="0">
      <items count="4">
        <item x="1"/>
        <item x="0"/>
        <item x="2"/>
        <item t="default"/>
      </items>
    </pivotField>
    <pivotField showAll="0">
      <items count="18">
        <item h="1" x="9"/>
        <item h="1" x="12"/>
        <item h="1" x="4"/>
        <item h="1" x="1"/>
        <item h="1" x="10"/>
        <item x="5"/>
        <item h="1" x="16"/>
        <item h="1" x="11"/>
        <item h="1" x="6"/>
        <item h="1" x="8"/>
        <item h="1" x="2"/>
        <item h="1" x="15"/>
        <item h="1" x="0"/>
        <item h="1" x="7"/>
        <item h="1" x="3"/>
        <item h="1" x="14"/>
        <item h="1" x="13"/>
        <item t="default"/>
      </items>
    </pivotField>
    <pivotField showAll="0"/>
    <pivotField dataField="1" showAll="0"/>
    <pivotField showAll="0"/>
    <pivotField showAll="0"/>
    <pivotField showAll="0"/>
  </pivotFields>
  <rowFields count="1">
    <field x="12"/>
  </rowFields>
  <rowItems count="4">
    <i>
      <x/>
    </i>
    <i>
      <x v="1"/>
    </i>
    <i>
      <x v="2"/>
    </i>
    <i>
      <x v="3"/>
    </i>
  </rowItems>
  <colItems count="1">
    <i/>
  </colItems>
  <dataFields count="1">
    <dataField name="TOTAL SALES" fld="17" baseField="12" baseItem="0"/>
  </dataFields>
  <formats count="12">
    <format dxfId="11">
      <pivotArea type="all" dataOnly="0" outline="0" fieldPosition="0"/>
    </format>
    <format dxfId="10">
      <pivotArea outline="0" collapsedLevelsAreSubtotals="1"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3"/>
          </reference>
        </references>
      </pivotArea>
    </chartFormat>
    <chartFormat chart="4" format="2">
      <pivotArea type="data" outline="0" fieldPosition="0">
        <references count="2">
          <reference field="4294967294" count="1" selected="0">
            <x v="0"/>
          </reference>
          <reference field="12" count="1" selected="0">
            <x v="2"/>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2" count="1" selected="0">
            <x v="0"/>
          </reference>
        </references>
      </pivotArea>
    </chartFormat>
    <chartFormat chart="14" format="12">
      <pivotArea type="data" outline="0" fieldPosition="0">
        <references count="2">
          <reference field="4294967294" count="1" selected="0">
            <x v="0"/>
          </reference>
          <reference field="12" count="1" selected="0">
            <x v="1"/>
          </reference>
        </references>
      </pivotArea>
    </chartFormat>
    <chartFormat chart="14" format="13">
      <pivotArea type="data" outline="0" fieldPosition="0">
        <references count="2">
          <reference field="4294967294" count="1" selected="0">
            <x v="0"/>
          </reference>
          <reference field="12" count="1" selected="0">
            <x v="2"/>
          </reference>
        </references>
      </pivotArea>
    </chartFormat>
    <chartFormat chart="14" format="14">
      <pivotArea type="data" outline="0" fieldPosition="0">
        <references count="2">
          <reference field="4294967294" count="1" selected="0">
            <x v="0"/>
          </reference>
          <reference field="12" count="1" selected="0">
            <x v="3"/>
          </reference>
        </references>
      </pivotArea>
    </chartFormat>
    <chartFormat chart="4" format="5">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3CE6D-369F-42C7-B047-EFA1FE6F3CE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TOP 10 PRODUCT">
  <location ref="J3:N13"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768">
        <item x="480"/>
        <item x="426"/>
        <item x="345"/>
        <item x="361"/>
        <item x="411"/>
        <item x="135"/>
        <item x="457"/>
        <item x="25"/>
        <item x="23"/>
        <item x="574"/>
        <item x="93"/>
        <item x="413"/>
        <item x="459"/>
        <item x="639"/>
        <item x="306"/>
        <item x="653"/>
        <item x="352"/>
        <item x="593"/>
        <item x="619"/>
        <item x="15"/>
        <item x="602"/>
        <item x="94"/>
        <item x="601"/>
        <item x="350"/>
        <item x="51"/>
        <item x="382"/>
        <item x="709"/>
        <item x="704"/>
        <item x="682"/>
        <item x="706"/>
        <item x="339"/>
        <item x="337"/>
        <item x="662"/>
        <item x="392"/>
        <item x="145"/>
        <item x="538"/>
        <item x="722"/>
        <item x="481"/>
        <item x="727"/>
        <item x="627"/>
        <item x="735"/>
        <item x="540"/>
        <item x="376"/>
        <item x="675"/>
        <item x="464"/>
        <item x="421"/>
        <item x="279"/>
        <item x="466"/>
        <item x="266"/>
        <item x="559"/>
        <item x="596"/>
        <item x="328"/>
        <item x="685"/>
        <item x="244"/>
        <item x="115"/>
        <item x="64"/>
        <item x="9"/>
        <item x="467"/>
        <item x="209"/>
        <item x="452"/>
        <item x="428"/>
        <item x="409"/>
        <item x="57"/>
        <item x="646"/>
        <item x="132"/>
        <item x="689"/>
        <item x="316"/>
        <item x="85"/>
        <item x="37"/>
        <item x="347"/>
        <item x="92"/>
        <item x="311"/>
        <item x="238"/>
        <item x="330"/>
        <item x="603"/>
        <item x="222"/>
        <item x="320"/>
        <item x="91"/>
        <item x="368"/>
        <item x="19"/>
        <item x="103"/>
        <item x="642"/>
        <item x="353"/>
        <item x="571"/>
        <item x="245"/>
        <item x="213"/>
        <item x="695"/>
        <item x="137"/>
        <item x="204"/>
        <item x="214"/>
        <item x="384"/>
        <item x="2"/>
        <item x="472"/>
        <item x="576"/>
        <item x="562"/>
        <item x="269"/>
        <item x="398"/>
        <item x="554"/>
        <item x="366"/>
        <item x="86"/>
        <item x="354"/>
        <item x="90"/>
        <item x="200"/>
        <item x="714"/>
        <item x="410"/>
        <item x="570"/>
        <item x="4"/>
        <item x="166"/>
        <item x="251"/>
        <item x="24"/>
        <item x="268"/>
        <item x="187"/>
        <item x="502"/>
        <item x="254"/>
        <item x="525"/>
        <item x="287"/>
        <item x="750"/>
        <item x="756"/>
        <item x="180"/>
        <item x="75"/>
        <item x="600"/>
        <item x="643"/>
        <item x="184"/>
        <item x="591"/>
        <item x="106"/>
        <item x="489"/>
        <item x="323"/>
        <item x="387"/>
        <item x="300"/>
        <item x="488"/>
        <item x="134"/>
        <item x="126"/>
        <item x="589"/>
        <item x="482"/>
        <item x="348"/>
        <item x="402"/>
        <item x="550"/>
        <item x="228"/>
        <item x="140"/>
        <item x="302"/>
        <item x="211"/>
        <item x="325"/>
        <item x="210"/>
        <item x="673"/>
        <item x="183"/>
        <item x="128"/>
        <item x="710"/>
        <item x="351"/>
        <item x="490"/>
        <item x="504"/>
        <item x="691"/>
        <item x="460"/>
        <item x="286"/>
        <item x="674"/>
        <item x="762"/>
        <item x="155"/>
        <item x="658"/>
        <item x="659"/>
        <item x="752"/>
        <item x="181"/>
        <item x="365"/>
        <item x="26"/>
        <item x="705"/>
        <item x="239"/>
        <item x="335"/>
        <item x="196"/>
        <item x="327"/>
        <item x="567"/>
        <item x="555"/>
        <item x="136"/>
        <item x="552"/>
        <item x="599"/>
        <item x="154"/>
        <item x="170"/>
        <item x="356"/>
        <item x="628"/>
        <item x="152"/>
        <item x="476"/>
        <item x="235"/>
        <item x="284"/>
        <item x="449"/>
        <item x="207"/>
        <item x="755"/>
        <item x="581"/>
        <item x="580"/>
        <item x="736"/>
        <item x="202"/>
        <item x="699"/>
        <item x="609"/>
        <item x="283"/>
        <item x="220"/>
        <item x="716"/>
        <item x="475"/>
        <item x="108"/>
        <item x="690"/>
        <item x="412"/>
        <item x="153"/>
        <item x="470"/>
        <item x="205"/>
        <item x="275"/>
        <item x="197"/>
        <item x="164"/>
        <item x="649"/>
        <item x="34"/>
        <item x="360"/>
        <item x="638"/>
        <item x="225"/>
        <item x="114"/>
        <item x="636"/>
        <item x="60"/>
        <item x="20"/>
        <item x="208"/>
        <item x="396"/>
        <item x="407"/>
        <item x="493"/>
        <item x="547"/>
        <item x="491"/>
        <item x="7"/>
        <item x="76"/>
        <item x="389"/>
        <item x="324"/>
        <item x="203"/>
        <item x="499"/>
        <item x="494"/>
        <item x="374"/>
        <item x="278"/>
        <item x="229"/>
        <item x="159"/>
        <item x="223"/>
        <item x="193"/>
        <item x="61"/>
        <item x="739"/>
        <item x="199"/>
        <item x="45"/>
        <item x="680"/>
        <item x="46"/>
        <item x="174"/>
        <item x="486"/>
        <item x="55"/>
        <item x="67"/>
        <item x="59"/>
        <item x="700"/>
        <item x="624"/>
        <item x="377"/>
        <item x="369"/>
        <item x="138"/>
        <item x="308"/>
        <item x="157"/>
        <item x="405"/>
        <item x="433"/>
        <item x="82"/>
        <item x="118"/>
        <item x="528"/>
        <item x="71"/>
        <item x="663"/>
        <item x="261"/>
        <item x="331"/>
        <item x="198"/>
        <item x="487"/>
        <item x="725"/>
        <item x="520"/>
        <item x="250"/>
        <item x="129"/>
        <item x="563"/>
        <item x="56"/>
        <item x="371"/>
        <item x="253"/>
        <item x="38"/>
        <item x="104"/>
        <item x="444"/>
        <item x="319"/>
        <item x="420"/>
        <item x="632"/>
        <item x="158"/>
        <item x="443"/>
        <item x="29"/>
        <item x="385"/>
        <item x="683"/>
        <item x="277"/>
        <item x="585"/>
        <item x="340"/>
        <item x="737"/>
        <item x="461"/>
        <item x="255"/>
        <item x="403"/>
        <item x="505"/>
        <item x="692"/>
        <item x="52"/>
        <item x="723"/>
        <item x="332"/>
        <item x="641"/>
        <item x="35"/>
        <item x="305"/>
        <item x="120"/>
        <item x="367"/>
        <item x="640"/>
        <item x="451"/>
        <item x="523"/>
        <item x="219"/>
        <item x="419"/>
        <item x="88"/>
        <item x="551"/>
        <item x="1"/>
        <item x="40"/>
        <item x="468"/>
        <item x="188"/>
        <item x="176"/>
        <item x="143"/>
        <item x="530"/>
        <item x="754"/>
        <item x="13"/>
        <item x="334"/>
        <item x="588"/>
        <item x="68"/>
        <item x="454"/>
        <item x="156"/>
        <item x="566"/>
        <item x="165"/>
        <item x="438"/>
        <item x="5"/>
        <item x="417"/>
        <item x="105"/>
        <item x="22"/>
        <item x="568"/>
        <item x="149"/>
        <item x="359"/>
        <item x="249"/>
        <item x="148"/>
        <item x="241"/>
        <item x="616"/>
        <item x="97"/>
        <item x="671"/>
        <item x="684"/>
        <item x="564"/>
        <item x="455"/>
        <item x="696"/>
        <item x="447"/>
        <item x="234"/>
        <item x="594"/>
        <item x="342"/>
        <item x="125"/>
        <item x="434"/>
        <item x="383"/>
        <item x="173"/>
        <item x="633"/>
        <item x="111"/>
        <item x="370"/>
        <item x="47"/>
        <item x="635"/>
        <item x="99"/>
        <item x="182"/>
        <item x="541"/>
        <item x="43"/>
        <item x="584"/>
        <item x="604"/>
        <item x="236"/>
        <item x="583"/>
        <item x="531"/>
        <item x="484"/>
        <item x="617"/>
        <item x="670"/>
        <item x="511"/>
        <item x="500"/>
        <item x="395"/>
        <item x="437"/>
        <item x="388"/>
        <item x="458"/>
        <item x="450"/>
        <item x="664"/>
        <item x="178"/>
        <item x="569"/>
        <item x="18"/>
        <item x="322"/>
        <item x="14"/>
        <item x="517"/>
        <item x="363"/>
        <item x="542"/>
        <item x="133"/>
        <item x="448"/>
        <item x="8"/>
        <item x="693"/>
        <item x="87"/>
        <item x="252"/>
        <item x="418"/>
        <item x="276"/>
        <item x="227"/>
        <item x="63"/>
        <item x="172"/>
        <item x="630"/>
        <item x="406"/>
        <item x="294"/>
        <item x="230"/>
        <item x="248"/>
        <item x="742"/>
        <item x="175"/>
        <item x="620"/>
        <item x="595"/>
        <item x="73"/>
        <item x="312"/>
        <item x="698"/>
        <item x="757"/>
        <item x="344"/>
        <item x="329"/>
        <item x="256"/>
        <item x="535"/>
        <item x="761"/>
        <item x="285"/>
        <item x="442"/>
        <item x="292"/>
        <item x="497"/>
        <item x="288"/>
        <item x="501"/>
        <item x="614"/>
        <item x="430"/>
        <item x="394"/>
        <item x="380"/>
        <item x="33"/>
        <item x="557"/>
        <item x="399"/>
        <item x="676"/>
        <item x="109"/>
        <item x="625"/>
        <item x="678"/>
        <item x="645"/>
        <item x="496"/>
        <item x="309"/>
        <item x="146"/>
        <item x="304"/>
        <item x="272"/>
        <item x="445"/>
        <item x="719"/>
        <item x="206"/>
        <item x="260"/>
        <item x="519"/>
        <item x="74"/>
        <item x="281"/>
        <item x="291"/>
        <item x="116"/>
        <item x="96"/>
        <item x="751"/>
        <item x="668"/>
        <item x="597"/>
        <item x="364"/>
        <item x="615"/>
        <item x="95"/>
        <item x="107"/>
        <item x="644"/>
        <item x="657"/>
        <item x="17"/>
        <item x="310"/>
        <item x="526"/>
        <item x="89"/>
        <item x="0"/>
        <item x="634"/>
        <item x="629"/>
        <item x="498"/>
        <item x="378"/>
        <item x="469"/>
        <item x="265"/>
        <item x="431"/>
        <item x="565"/>
        <item x="441"/>
        <item x="231"/>
        <item x="16"/>
        <item x="318"/>
        <item x="592"/>
        <item x="427"/>
        <item x="267"/>
        <item x="623"/>
        <item x="273"/>
        <item x="492"/>
        <item x="626"/>
        <item x="49"/>
        <item x="665"/>
        <item x="151"/>
        <item x="185"/>
        <item x="618"/>
        <item x="381"/>
        <item x="748"/>
        <item x="522"/>
        <item x="142"/>
        <item x="349"/>
        <item x="607"/>
        <item x="186"/>
        <item x="373"/>
        <item x="48"/>
        <item x="575"/>
        <item x="150"/>
        <item x="512"/>
        <item x="424"/>
        <item x="711"/>
        <item x="124"/>
        <item x="681"/>
        <item x="605"/>
        <item x="534"/>
        <item x="598"/>
        <item x="218"/>
        <item x="147"/>
        <item x="521"/>
        <item x="506"/>
        <item x="650"/>
        <item x="372"/>
        <item x="416"/>
        <item x="516"/>
        <item x="224"/>
        <item x="679"/>
        <item x="39"/>
        <item x="21"/>
        <item x="240"/>
        <item x="473"/>
        <item x="532"/>
        <item x="50"/>
        <item x="669"/>
        <item x="163"/>
        <item x="536"/>
        <item x="243"/>
        <item x="707"/>
        <item x="573"/>
        <item x="734"/>
        <item x="336"/>
        <item x="543"/>
        <item x="404"/>
        <item x="509"/>
        <item x="677"/>
        <item x="425"/>
        <item x="446"/>
        <item x="31"/>
        <item x="423"/>
        <item x="127"/>
        <item x="237"/>
        <item x="529"/>
        <item x="179"/>
        <item x="579"/>
        <item x="746"/>
        <item x="139"/>
        <item x="537"/>
        <item x="326"/>
        <item x="713"/>
        <item x="167"/>
        <item x="622"/>
        <item x="78"/>
        <item x="257"/>
        <item x="110"/>
        <item x="478"/>
        <item x="763"/>
        <item x="313"/>
        <item x="317"/>
        <item x="293"/>
        <item x="298"/>
        <item x="527"/>
        <item x="314"/>
        <item x="77"/>
        <item x="355"/>
        <item x="70"/>
        <item x="743"/>
        <item x="728"/>
        <item x="724"/>
        <item x="301"/>
        <item x="6"/>
        <item x="259"/>
        <item x="36"/>
        <item x="98"/>
        <item x="651"/>
        <item x="3"/>
        <item x="582"/>
        <item x="271"/>
        <item x="72"/>
        <item x="338"/>
        <item x="621"/>
        <item x="515"/>
        <item x="439"/>
        <item x="299"/>
        <item x="672"/>
        <item x="465"/>
        <item x="66"/>
        <item x="667"/>
        <item x="358"/>
        <item x="456"/>
        <item x="217"/>
        <item x="747"/>
        <item x="400"/>
        <item x="415"/>
        <item x="233"/>
        <item x="686"/>
        <item x="701"/>
        <item x="414"/>
        <item x="242"/>
        <item x="477"/>
        <item x="549"/>
        <item x="130"/>
        <item x="721"/>
        <item x="32"/>
        <item x="81"/>
        <item x="436"/>
        <item x="471"/>
        <item x="654"/>
        <item x="544"/>
        <item x="141"/>
        <item x="474"/>
        <item x="687"/>
        <item x="688"/>
        <item x="483"/>
        <item x="738"/>
        <item x="656"/>
        <item x="232"/>
        <item x="539"/>
        <item x="386"/>
        <item x="162"/>
        <item x="10"/>
        <item x="391"/>
        <item x="558"/>
        <item x="246"/>
        <item x="80"/>
        <item x="533"/>
        <item x="362"/>
        <item x="321"/>
        <item x="741"/>
        <item x="295"/>
        <item x="518"/>
        <item x="274"/>
        <item x="27"/>
        <item x="397"/>
        <item x="171"/>
        <item x="495"/>
        <item x="631"/>
        <item x="121"/>
        <item x="84"/>
        <item x="113"/>
        <item x="247"/>
        <item x="160"/>
        <item x="53"/>
        <item x="513"/>
        <item x="390"/>
        <item x="435"/>
        <item x="694"/>
        <item x="83"/>
        <item x="201"/>
        <item x="282"/>
        <item x="766"/>
        <item x="280"/>
        <item x="343"/>
        <item x="30"/>
        <item x="216"/>
        <item x="703"/>
        <item x="485"/>
        <item x="637"/>
        <item x="590"/>
        <item x="508"/>
        <item x="303"/>
        <item x="122"/>
        <item x="42"/>
        <item x="712"/>
        <item x="586"/>
        <item x="720"/>
        <item x="41"/>
        <item x="58"/>
        <item x="44"/>
        <item x="101"/>
        <item x="587"/>
        <item x="702"/>
        <item x="560"/>
        <item x="440"/>
        <item x="648"/>
        <item x="606"/>
        <item x="62"/>
        <item x="661"/>
        <item x="393"/>
        <item x="524"/>
        <item x="69"/>
        <item x="479"/>
        <item x="548"/>
        <item x="608"/>
        <item x="652"/>
        <item x="112"/>
        <item x="740"/>
        <item x="561"/>
        <item x="764"/>
        <item x="753"/>
        <item x="462"/>
        <item x="100"/>
        <item x="212"/>
        <item x="379"/>
        <item x="760"/>
        <item x="341"/>
        <item x="102"/>
        <item x="556"/>
        <item x="613"/>
        <item x="54"/>
        <item x="12"/>
        <item x="401"/>
        <item x="578"/>
        <item x="660"/>
        <item x="168"/>
        <item x="177"/>
        <item x="610"/>
        <item x="144"/>
        <item x="507"/>
        <item x="572"/>
        <item x="611"/>
        <item x="263"/>
        <item x="726"/>
        <item x="226"/>
        <item x="503"/>
        <item x="195"/>
        <item x="553"/>
        <item x="655"/>
        <item x="189"/>
        <item x="215"/>
        <item x="744"/>
        <item x="28"/>
        <item x="510"/>
        <item x="192"/>
        <item x="717"/>
        <item x="729"/>
        <item x="375"/>
        <item x="666"/>
        <item x="289"/>
        <item x="759"/>
        <item x="546"/>
        <item x="432"/>
        <item x="296"/>
        <item x="262"/>
        <item x="453"/>
        <item x="408"/>
        <item x="65"/>
        <item x="221"/>
        <item x="715"/>
        <item x="647"/>
        <item x="194"/>
        <item x="169"/>
        <item x="612"/>
        <item x="190"/>
        <item x="191"/>
        <item x="131"/>
        <item x="79"/>
        <item x="731"/>
        <item x="749"/>
        <item x="161"/>
        <item x="346"/>
        <item x="758"/>
        <item x="730"/>
        <item x="264"/>
        <item x="422"/>
        <item x="732"/>
        <item x="733"/>
        <item x="545"/>
        <item x="429"/>
        <item x="514"/>
        <item x="577"/>
        <item x="718"/>
        <item x="117"/>
        <item x="463"/>
        <item x="270"/>
        <item x="697"/>
        <item x="290"/>
        <item x="315"/>
        <item x="765"/>
        <item x="119"/>
        <item x="307"/>
        <item x="11"/>
        <item x="297"/>
        <item x="708"/>
        <item x="745"/>
        <item x="333"/>
        <item x="357"/>
        <item x="123"/>
        <item x="258"/>
        <item t="default"/>
      </items>
    </pivotField>
    <pivotField dataField="1" showAll="0"/>
    <pivotField dataField="1" showAll="0"/>
    <pivotField dataField="1" showAll="0"/>
    <pivotField dataField="1" showAll="0"/>
  </pivotFields>
  <rowFields count="1">
    <field x="16"/>
  </rowFields>
  <rowItems count="10">
    <i>
      <x v="180"/>
    </i>
    <i>
      <x v="186"/>
    </i>
    <i>
      <x v="271"/>
    </i>
    <i>
      <x v="285"/>
    </i>
    <i>
      <x v="317"/>
    </i>
    <i>
      <x v="319"/>
    </i>
    <i>
      <x v="344"/>
    </i>
    <i>
      <x v="435"/>
    </i>
    <i>
      <x v="578"/>
    </i>
    <i>
      <x v="641"/>
    </i>
  </rowItems>
  <colFields count="1">
    <field x="-2"/>
  </colFields>
  <colItems count="4">
    <i>
      <x/>
    </i>
    <i i="1">
      <x v="1"/>
    </i>
    <i i="2">
      <x v="2"/>
    </i>
    <i i="3">
      <x v="3"/>
    </i>
  </colItems>
  <dataFields count="4">
    <dataField name="TOTAL SALES" fld="17" baseField="0" baseItem="0"/>
    <dataField name="TOTAL PROFIT" fld="20" baseField="0" baseItem="0"/>
    <dataField name="TOTAL QUANTITY" fld="18" baseField="0" baseItem="0"/>
    <dataField name="TOTAL DISCOUNT" fld="19" baseField="0" baseItem="0"/>
  </dataField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pivotArea type="data" outline="0" fieldPosition="0">
        <references count="2">
          <reference field="4294967294" count="1" selected="0">
            <x v="0"/>
          </reference>
          <reference field="16" count="1" selected="0">
            <x v="641"/>
          </reference>
        </references>
      </pivotArea>
    </chartFormat>
  </chartFormats>
  <pivotTableStyleInfo name="PivotStyleLight18"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9DB09F-91BF-4C00-865D-2600EE858E42}"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ATEGORY">
  <location ref="J3:L4" firstHeaderRow="0" firstDataRow="1" firstDataCol="1"/>
  <pivotFields count="21">
    <pivotField showAll="0"/>
    <pivotField showAll="0"/>
    <pivotField numFmtId="14"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umFmtId="14" showAll="0">
      <items count="205">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2"/>
        <item x="20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h="1" x="0"/>
        <item h="1" x="2"/>
        <item t="default"/>
      </items>
    </pivotField>
    <pivotField showAll="0"/>
    <pivotField showAll="0"/>
    <pivotField dataField="1" showAll="0"/>
    <pivotField showAll="0"/>
    <pivotField showAll="0"/>
    <pivotField dataField="1" showAll="0"/>
  </pivotFields>
  <rowFields count="1">
    <field x="14"/>
  </rowFields>
  <rowItems count="1">
    <i>
      <x/>
    </i>
  </rowItems>
  <colFields count="1">
    <field x="-2"/>
  </colFields>
  <colItems count="2">
    <i>
      <x/>
    </i>
    <i i="1">
      <x v="1"/>
    </i>
  </colItems>
  <dataFields count="2">
    <dataField name="TOTAL PROFIT" fld="20" baseField="0" baseItem="0"/>
    <dataField name="TOTAL SALES" fld="17"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14" count="1" selected="0">
            <x v="2"/>
          </reference>
        </references>
      </pivotArea>
    </chartFormat>
    <chartFormat chart="5" format="7">
      <pivotArea type="data" outline="0" fieldPosition="0">
        <references count="2">
          <reference field="4294967294" count="1" selected="0">
            <x v="1"/>
          </reference>
          <reference field="14" count="1" selected="0">
            <x v="1"/>
          </reference>
        </references>
      </pivotArea>
    </chartFormat>
    <chartFormat chart="5" format="8">
      <pivotArea type="data" outline="0" fieldPosition="0">
        <references count="2">
          <reference field="4294967294"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D057F2-A649-4133-BA3B-560FD6073C85}"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UB-CATEGORY">
  <location ref="J3:L20"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TOTAL SALES" fld="17" baseField="0" baseItem="0"/>
    <dataField name="TOTAL PROFIT" fld="20" baseField="0" baseItem="0"/>
  </dataFields>
  <chartFormats count="7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 chart="0" format="6">
      <pivotArea type="data" outline="0" fieldPosition="0">
        <references count="2">
          <reference field="4294967294" count="1" selected="0">
            <x v="0"/>
          </reference>
          <reference field="15" count="1" selected="0">
            <x v="4"/>
          </reference>
        </references>
      </pivotArea>
    </chartFormat>
    <chartFormat chart="0" format="7">
      <pivotArea type="data" outline="0" fieldPosition="0">
        <references count="2">
          <reference field="4294967294" count="1" selected="0">
            <x v="0"/>
          </reference>
          <reference field="15" count="1" selected="0">
            <x v="5"/>
          </reference>
        </references>
      </pivotArea>
    </chartFormat>
    <chartFormat chart="0" format="8">
      <pivotArea type="data" outline="0" fieldPosition="0">
        <references count="2">
          <reference field="4294967294" count="1" selected="0">
            <x v="0"/>
          </reference>
          <reference field="15" count="1" selected="0">
            <x v="6"/>
          </reference>
        </references>
      </pivotArea>
    </chartFormat>
    <chartFormat chart="0" format="9">
      <pivotArea type="data" outline="0" fieldPosition="0">
        <references count="2">
          <reference field="4294967294" count="1" selected="0">
            <x v="0"/>
          </reference>
          <reference field="15" count="1" selected="0">
            <x v="7"/>
          </reference>
        </references>
      </pivotArea>
    </chartFormat>
    <chartFormat chart="0" format="10">
      <pivotArea type="data" outline="0" fieldPosition="0">
        <references count="2">
          <reference field="4294967294" count="1" selected="0">
            <x v="0"/>
          </reference>
          <reference field="15" count="1" selected="0">
            <x v="8"/>
          </reference>
        </references>
      </pivotArea>
    </chartFormat>
    <chartFormat chart="0" format="11">
      <pivotArea type="data" outline="0" fieldPosition="0">
        <references count="2">
          <reference field="4294967294" count="1" selected="0">
            <x v="0"/>
          </reference>
          <reference field="15" count="1" selected="0">
            <x v="9"/>
          </reference>
        </references>
      </pivotArea>
    </chartFormat>
    <chartFormat chart="0" format="12">
      <pivotArea type="data" outline="0" fieldPosition="0">
        <references count="2">
          <reference field="4294967294" count="1" selected="0">
            <x v="0"/>
          </reference>
          <reference field="15" count="1" selected="0">
            <x v="10"/>
          </reference>
        </references>
      </pivotArea>
    </chartFormat>
    <chartFormat chart="0" format="13">
      <pivotArea type="data" outline="0" fieldPosition="0">
        <references count="2">
          <reference field="4294967294" count="1" selected="0">
            <x v="0"/>
          </reference>
          <reference field="15" count="1" selected="0">
            <x v="11"/>
          </reference>
        </references>
      </pivotArea>
    </chartFormat>
    <chartFormat chart="0" format="14">
      <pivotArea type="data" outline="0" fieldPosition="0">
        <references count="2">
          <reference field="4294967294" count="1" selected="0">
            <x v="0"/>
          </reference>
          <reference field="15" count="1" selected="0">
            <x v="12"/>
          </reference>
        </references>
      </pivotArea>
    </chartFormat>
    <chartFormat chart="0" format="15">
      <pivotArea type="data" outline="0" fieldPosition="0">
        <references count="2">
          <reference field="4294967294" count="1" selected="0">
            <x v="0"/>
          </reference>
          <reference field="15" count="1" selected="0">
            <x v="13"/>
          </reference>
        </references>
      </pivotArea>
    </chartFormat>
    <chartFormat chart="0" format="16">
      <pivotArea type="data" outline="0" fieldPosition="0">
        <references count="2">
          <reference field="4294967294" count="1" selected="0">
            <x v="0"/>
          </reference>
          <reference field="15" count="1" selected="0">
            <x v="14"/>
          </reference>
        </references>
      </pivotArea>
    </chartFormat>
    <chartFormat chart="0" format="17">
      <pivotArea type="data" outline="0" fieldPosition="0">
        <references count="2">
          <reference field="4294967294" count="1" selected="0">
            <x v="0"/>
          </reference>
          <reference field="15" count="1" selected="0">
            <x v="15"/>
          </reference>
        </references>
      </pivotArea>
    </chartFormat>
    <chartFormat chart="0" format="18">
      <pivotArea type="data" outline="0" fieldPosition="0">
        <references count="2">
          <reference field="4294967294" count="1" selected="0">
            <x v="0"/>
          </reference>
          <reference field="15" count="1" selected="0">
            <x v="16"/>
          </reference>
        </references>
      </pivotArea>
    </chartFormat>
    <chartFormat chart="0" format="19">
      <pivotArea type="data" outline="0" fieldPosition="0">
        <references count="2">
          <reference field="4294967294" count="1" selected="0">
            <x v="1"/>
          </reference>
          <reference field="15" count="1" selected="0">
            <x v="0"/>
          </reference>
        </references>
      </pivotArea>
    </chartFormat>
    <chartFormat chart="0" format="20">
      <pivotArea type="data" outline="0" fieldPosition="0">
        <references count="2">
          <reference field="4294967294" count="1" selected="0">
            <x v="1"/>
          </reference>
          <reference field="15" count="1" selected="0">
            <x v="1"/>
          </reference>
        </references>
      </pivotArea>
    </chartFormat>
    <chartFormat chart="0" format="21">
      <pivotArea type="data" outline="0" fieldPosition="0">
        <references count="2">
          <reference field="4294967294" count="1" selected="0">
            <x v="1"/>
          </reference>
          <reference field="15" count="1" selected="0">
            <x v="2"/>
          </reference>
        </references>
      </pivotArea>
    </chartFormat>
    <chartFormat chart="0" format="22">
      <pivotArea type="data" outline="0" fieldPosition="0">
        <references count="2">
          <reference field="4294967294" count="1" selected="0">
            <x v="1"/>
          </reference>
          <reference field="15" count="1" selected="0">
            <x v="3"/>
          </reference>
        </references>
      </pivotArea>
    </chartFormat>
    <chartFormat chart="0" format="23">
      <pivotArea type="data" outline="0" fieldPosition="0">
        <references count="2">
          <reference field="4294967294" count="1" selected="0">
            <x v="1"/>
          </reference>
          <reference field="15" count="1" selected="0">
            <x v="4"/>
          </reference>
        </references>
      </pivotArea>
    </chartFormat>
    <chartFormat chart="0" format="24">
      <pivotArea type="data" outline="0" fieldPosition="0">
        <references count="2">
          <reference field="4294967294" count="1" selected="0">
            <x v="1"/>
          </reference>
          <reference field="15" count="1" selected="0">
            <x v="5"/>
          </reference>
        </references>
      </pivotArea>
    </chartFormat>
    <chartFormat chart="0" format="25">
      <pivotArea type="data" outline="0" fieldPosition="0">
        <references count="2">
          <reference field="4294967294" count="1" selected="0">
            <x v="1"/>
          </reference>
          <reference field="15" count="1" selected="0">
            <x v="6"/>
          </reference>
        </references>
      </pivotArea>
    </chartFormat>
    <chartFormat chart="0" format="26">
      <pivotArea type="data" outline="0" fieldPosition="0">
        <references count="2">
          <reference field="4294967294" count="1" selected="0">
            <x v="1"/>
          </reference>
          <reference field="15" count="1" selected="0">
            <x v="7"/>
          </reference>
        </references>
      </pivotArea>
    </chartFormat>
    <chartFormat chart="0" format="27">
      <pivotArea type="data" outline="0" fieldPosition="0">
        <references count="2">
          <reference field="4294967294" count="1" selected="0">
            <x v="1"/>
          </reference>
          <reference field="15" count="1" selected="0">
            <x v="8"/>
          </reference>
        </references>
      </pivotArea>
    </chartFormat>
    <chartFormat chart="0" format="28">
      <pivotArea type="data" outline="0" fieldPosition="0">
        <references count="2">
          <reference field="4294967294" count="1" selected="0">
            <x v="1"/>
          </reference>
          <reference field="15" count="1" selected="0">
            <x v="9"/>
          </reference>
        </references>
      </pivotArea>
    </chartFormat>
    <chartFormat chart="0" format="29">
      <pivotArea type="data" outline="0" fieldPosition="0">
        <references count="2">
          <reference field="4294967294" count="1" selected="0">
            <x v="1"/>
          </reference>
          <reference field="15" count="1" selected="0">
            <x v="10"/>
          </reference>
        </references>
      </pivotArea>
    </chartFormat>
    <chartFormat chart="0" format="30">
      <pivotArea type="data" outline="0" fieldPosition="0">
        <references count="2">
          <reference field="4294967294" count="1" selected="0">
            <x v="1"/>
          </reference>
          <reference field="15" count="1" selected="0">
            <x v="11"/>
          </reference>
        </references>
      </pivotArea>
    </chartFormat>
    <chartFormat chart="0" format="31">
      <pivotArea type="data" outline="0" fieldPosition="0">
        <references count="2">
          <reference field="4294967294" count="1" selected="0">
            <x v="1"/>
          </reference>
          <reference field="15" count="1" selected="0">
            <x v="12"/>
          </reference>
        </references>
      </pivotArea>
    </chartFormat>
    <chartFormat chart="0" format="32">
      <pivotArea type="data" outline="0" fieldPosition="0">
        <references count="2">
          <reference field="4294967294" count="1" selected="0">
            <x v="1"/>
          </reference>
          <reference field="15" count="1" selected="0">
            <x v="13"/>
          </reference>
        </references>
      </pivotArea>
    </chartFormat>
    <chartFormat chart="0" format="33">
      <pivotArea type="data" outline="0" fieldPosition="0">
        <references count="2">
          <reference field="4294967294" count="1" selected="0">
            <x v="1"/>
          </reference>
          <reference field="15" count="1" selected="0">
            <x v="14"/>
          </reference>
        </references>
      </pivotArea>
    </chartFormat>
    <chartFormat chart="0" format="34">
      <pivotArea type="data" outline="0" fieldPosition="0">
        <references count="2">
          <reference field="4294967294" count="1" selected="0">
            <x v="1"/>
          </reference>
          <reference field="15" count="1" selected="0">
            <x v="15"/>
          </reference>
        </references>
      </pivotArea>
    </chartFormat>
    <chartFormat chart="0" format="35">
      <pivotArea type="data" outline="0" fieldPosition="0">
        <references count="2">
          <reference field="4294967294" count="1" selected="0">
            <x v="1"/>
          </reference>
          <reference field="15" count="1" selected="0">
            <x v="16"/>
          </reference>
        </references>
      </pivotArea>
    </chartFormat>
    <chartFormat chart="0" format="36">
      <pivotArea type="data" outline="0" fieldPosition="0">
        <references count="1">
          <reference field="4294967294" count="1" selected="0">
            <x v="0"/>
          </reference>
        </references>
      </pivotArea>
    </chartFormat>
    <chartFormat chart="0" format="37">
      <pivotArea type="data" outline="0" fieldPosition="0">
        <references count="1">
          <reference field="4294967294" count="1" selected="0">
            <x v="1"/>
          </reference>
        </references>
      </pivotArea>
    </chartFormat>
    <chartFormat chart="8" format="74" series="1">
      <pivotArea type="data" outline="0" fieldPosition="0">
        <references count="1">
          <reference field="4294967294" count="1" selected="0">
            <x v="0"/>
          </reference>
        </references>
      </pivotArea>
    </chartFormat>
    <chartFormat chart="8" format="75">
      <pivotArea type="data" outline="0" fieldPosition="0">
        <references count="2">
          <reference field="4294967294" count="1" selected="0">
            <x v="0"/>
          </reference>
          <reference field="15" count="1" selected="0">
            <x v="0"/>
          </reference>
        </references>
      </pivotArea>
    </chartFormat>
    <chartFormat chart="8" format="76">
      <pivotArea type="data" outline="0" fieldPosition="0">
        <references count="2">
          <reference field="4294967294" count="1" selected="0">
            <x v="0"/>
          </reference>
          <reference field="15" count="1" selected="0">
            <x v="1"/>
          </reference>
        </references>
      </pivotArea>
    </chartFormat>
    <chartFormat chart="8" format="77">
      <pivotArea type="data" outline="0" fieldPosition="0">
        <references count="2">
          <reference field="4294967294" count="1" selected="0">
            <x v="0"/>
          </reference>
          <reference field="15" count="1" selected="0">
            <x v="2"/>
          </reference>
        </references>
      </pivotArea>
    </chartFormat>
    <chartFormat chart="8" format="78">
      <pivotArea type="data" outline="0" fieldPosition="0">
        <references count="2">
          <reference field="4294967294" count="1" selected="0">
            <x v="0"/>
          </reference>
          <reference field="15" count="1" selected="0">
            <x v="3"/>
          </reference>
        </references>
      </pivotArea>
    </chartFormat>
    <chartFormat chart="8" format="79">
      <pivotArea type="data" outline="0" fieldPosition="0">
        <references count="2">
          <reference field="4294967294" count="1" selected="0">
            <x v="0"/>
          </reference>
          <reference field="15" count="1" selected="0">
            <x v="4"/>
          </reference>
        </references>
      </pivotArea>
    </chartFormat>
    <chartFormat chart="8" format="80">
      <pivotArea type="data" outline="0" fieldPosition="0">
        <references count="2">
          <reference field="4294967294" count="1" selected="0">
            <x v="0"/>
          </reference>
          <reference field="15" count="1" selected="0">
            <x v="5"/>
          </reference>
        </references>
      </pivotArea>
    </chartFormat>
    <chartFormat chart="8" format="81">
      <pivotArea type="data" outline="0" fieldPosition="0">
        <references count="2">
          <reference field="4294967294" count="1" selected="0">
            <x v="0"/>
          </reference>
          <reference field="15" count="1" selected="0">
            <x v="6"/>
          </reference>
        </references>
      </pivotArea>
    </chartFormat>
    <chartFormat chart="8" format="82">
      <pivotArea type="data" outline="0" fieldPosition="0">
        <references count="2">
          <reference field="4294967294" count="1" selected="0">
            <x v="0"/>
          </reference>
          <reference field="15" count="1" selected="0">
            <x v="7"/>
          </reference>
        </references>
      </pivotArea>
    </chartFormat>
    <chartFormat chart="8" format="83">
      <pivotArea type="data" outline="0" fieldPosition="0">
        <references count="2">
          <reference field="4294967294" count="1" selected="0">
            <x v="0"/>
          </reference>
          <reference field="15" count="1" selected="0">
            <x v="8"/>
          </reference>
        </references>
      </pivotArea>
    </chartFormat>
    <chartFormat chart="8" format="84">
      <pivotArea type="data" outline="0" fieldPosition="0">
        <references count="2">
          <reference field="4294967294" count="1" selected="0">
            <x v="0"/>
          </reference>
          <reference field="15" count="1" selected="0">
            <x v="9"/>
          </reference>
        </references>
      </pivotArea>
    </chartFormat>
    <chartFormat chart="8" format="85">
      <pivotArea type="data" outline="0" fieldPosition="0">
        <references count="2">
          <reference field="4294967294" count="1" selected="0">
            <x v="0"/>
          </reference>
          <reference field="15" count="1" selected="0">
            <x v="10"/>
          </reference>
        </references>
      </pivotArea>
    </chartFormat>
    <chartFormat chart="8" format="86">
      <pivotArea type="data" outline="0" fieldPosition="0">
        <references count="2">
          <reference field="4294967294" count="1" selected="0">
            <x v="0"/>
          </reference>
          <reference field="15" count="1" selected="0">
            <x v="11"/>
          </reference>
        </references>
      </pivotArea>
    </chartFormat>
    <chartFormat chart="8" format="87">
      <pivotArea type="data" outline="0" fieldPosition="0">
        <references count="2">
          <reference field="4294967294" count="1" selected="0">
            <x v="0"/>
          </reference>
          <reference field="15" count="1" selected="0">
            <x v="12"/>
          </reference>
        </references>
      </pivotArea>
    </chartFormat>
    <chartFormat chart="8" format="88">
      <pivotArea type="data" outline="0" fieldPosition="0">
        <references count="2">
          <reference field="4294967294" count="1" selected="0">
            <x v="0"/>
          </reference>
          <reference field="15" count="1" selected="0">
            <x v="13"/>
          </reference>
        </references>
      </pivotArea>
    </chartFormat>
    <chartFormat chart="8" format="89">
      <pivotArea type="data" outline="0" fieldPosition="0">
        <references count="2">
          <reference field="4294967294" count="1" selected="0">
            <x v="0"/>
          </reference>
          <reference field="15" count="1" selected="0">
            <x v="14"/>
          </reference>
        </references>
      </pivotArea>
    </chartFormat>
    <chartFormat chart="8" format="90">
      <pivotArea type="data" outline="0" fieldPosition="0">
        <references count="2">
          <reference field="4294967294" count="1" selected="0">
            <x v="0"/>
          </reference>
          <reference field="15" count="1" selected="0">
            <x v="15"/>
          </reference>
        </references>
      </pivotArea>
    </chartFormat>
    <chartFormat chart="8" format="91">
      <pivotArea type="data" outline="0" fieldPosition="0">
        <references count="2">
          <reference field="4294967294" count="1" selected="0">
            <x v="0"/>
          </reference>
          <reference field="15" count="1" selected="0">
            <x v="16"/>
          </reference>
        </references>
      </pivotArea>
    </chartFormat>
    <chartFormat chart="8" format="92" series="1">
      <pivotArea type="data" outline="0" fieldPosition="0">
        <references count="1">
          <reference field="4294967294" count="1" selected="0">
            <x v="1"/>
          </reference>
        </references>
      </pivotArea>
    </chartFormat>
    <chartFormat chart="8" format="93">
      <pivotArea type="data" outline="0" fieldPosition="0">
        <references count="2">
          <reference field="4294967294" count="1" selected="0">
            <x v="1"/>
          </reference>
          <reference field="15" count="1" selected="0">
            <x v="0"/>
          </reference>
        </references>
      </pivotArea>
    </chartFormat>
    <chartFormat chart="8" format="94">
      <pivotArea type="data" outline="0" fieldPosition="0">
        <references count="2">
          <reference field="4294967294" count="1" selected="0">
            <x v="1"/>
          </reference>
          <reference field="15" count="1" selected="0">
            <x v="1"/>
          </reference>
        </references>
      </pivotArea>
    </chartFormat>
    <chartFormat chart="8" format="95">
      <pivotArea type="data" outline="0" fieldPosition="0">
        <references count="2">
          <reference field="4294967294" count="1" selected="0">
            <x v="1"/>
          </reference>
          <reference field="15" count="1" selected="0">
            <x v="2"/>
          </reference>
        </references>
      </pivotArea>
    </chartFormat>
    <chartFormat chart="8" format="96">
      <pivotArea type="data" outline="0" fieldPosition="0">
        <references count="2">
          <reference field="4294967294" count="1" selected="0">
            <x v="1"/>
          </reference>
          <reference field="15" count="1" selected="0">
            <x v="3"/>
          </reference>
        </references>
      </pivotArea>
    </chartFormat>
    <chartFormat chart="8" format="97">
      <pivotArea type="data" outline="0" fieldPosition="0">
        <references count="2">
          <reference field="4294967294" count="1" selected="0">
            <x v="1"/>
          </reference>
          <reference field="15" count="1" selected="0">
            <x v="4"/>
          </reference>
        </references>
      </pivotArea>
    </chartFormat>
    <chartFormat chart="8" format="98">
      <pivotArea type="data" outline="0" fieldPosition="0">
        <references count="2">
          <reference field="4294967294" count="1" selected="0">
            <x v="1"/>
          </reference>
          <reference field="15" count="1" selected="0">
            <x v="5"/>
          </reference>
        </references>
      </pivotArea>
    </chartFormat>
    <chartFormat chart="8" format="99">
      <pivotArea type="data" outline="0" fieldPosition="0">
        <references count="2">
          <reference field="4294967294" count="1" selected="0">
            <x v="1"/>
          </reference>
          <reference field="15" count="1" selected="0">
            <x v="6"/>
          </reference>
        </references>
      </pivotArea>
    </chartFormat>
    <chartFormat chart="8" format="100">
      <pivotArea type="data" outline="0" fieldPosition="0">
        <references count="2">
          <reference field="4294967294" count="1" selected="0">
            <x v="1"/>
          </reference>
          <reference field="15" count="1" selected="0">
            <x v="7"/>
          </reference>
        </references>
      </pivotArea>
    </chartFormat>
    <chartFormat chart="8" format="101">
      <pivotArea type="data" outline="0" fieldPosition="0">
        <references count="2">
          <reference field="4294967294" count="1" selected="0">
            <x v="1"/>
          </reference>
          <reference field="15" count="1" selected="0">
            <x v="8"/>
          </reference>
        </references>
      </pivotArea>
    </chartFormat>
    <chartFormat chart="8" format="102">
      <pivotArea type="data" outline="0" fieldPosition="0">
        <references count="2">
          <reference field="4294967294" count="1" selected="0">
            <x v="1"/>
          </reference>
          <reference field="15" count="1" selected="0">
            <x v="9"/>
          </reference>
        </references>
      </pivotArea>
    </chartFormat>
    <chartFormat chart="8" format="103">
      <pivotArea type="data" outline="0" fieldPosition="0">
        <references count="2">
          <reference field="4294967294" count="1" selected="0">
            <x v="1"/>
          </reference>
          <reference field="15" count="1" selected="0">
            <x v="10"/>
          </reference>
        </references>
      </pivotArea>
    </chartFormat>
    <chartFormat chart="8" format="104">
      <pivotArea type="data" outline="0" fieldPosition="0">
        <references count="2">
          <reference field="4294967294" count="1" selected="0">
            <x v="1"/>
          </reference>
          <reference field="15" count="1" selected="0">
            <x v="11"/>
          </reference>
        </references>
      </pivotArea>
    </chartFormat>
    <chartFormat chart="8" format="105">
      <pivotArea type="data" outline="0" fieldPosition="0">
        <references count="2">
          <reference field="4294967294" count="1" selected="0">
            <x v="1"/>
          </reference>
          <reference field="15" count="1" selected="0">
            <x v="12"/>
          </reference>
        </references>
      </pivotArea>
    </chartFormat>
    <chartFormat chart="8" format="106">
      <pivotArea type="data" outline="0" fieldPosition="0">
        <references count="2">
          <reference field="4294967294" count="1" selected="0">
            <x v="1"/>
          </reference>
          <reference field="15" count="1" selected="0">
            <x v="13"/>
          </reference>
        </references>
      </pivotArea>
    </chartFormat>
    <chartFormat chart="8" format="107">
      <pivotArea type="data" outline="0" fieldPosition="0">
        <references count="2">
          <reference field="4294967294" count="1" selected="0">
            <x v="1"/>
          </reference>
          <reference field="15" count="1" selected="0">
            <x v="14"/>
          </reference>
        </references>
      </pivotArea>
    </chartFormat>
    <chartFormat chart="8" format="108">
      <pivotArea type="data" outline="0" fieldPosition="0">
        <references count="2">
          <reference field="4294967294" count="1" selected="0">
            <x v="1"/>
          </reference>
          <reference field="15" count="1" selected="0">
            <x v="15"/>
          </reference>
        </references>
      </pivotArea>
    </chartFormat>
    <chartFormat chart="8" format="109">
      <pivotArea type="data" outline="0" fieldPosition="0">
        <references count="2">
          <reference field="4294967294" count="1" selected="0">
            <x v="1"/>
          </reference>
          <reference field="15" count="1" selected="0">
            <x v="16"/>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9DEFC8-8ABB-4F43-80A6-9B373520D704}"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CATEGORY VS SUB-CATEGORY">
  <location ref="J3:L23" firstHeaderRow="0" firstDataRow="1" firstDataCol="1"/>
  <pivotFields count="21">
    <pivotField showAll="0"/>
    <pivotField showAll="0"/>
    <pivotField numFmtId="14"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umFmtId="14" showAll="0">
      <items count="205">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2"/>
        <item x="20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s>
  <rowFields count="2">
    <field x="14"/>
    <field x="15"/>
  </rowFields>
  <rowItems count="20">
    <i>
      <x/>
    </i>
    <i r="1">
      <x v="4"/>
    </i>
    <i r="1">
      <x v="5"/>
    </i>
    <i r="1">
      <x v="9"/>
    </i>
    <i r="1">
      <x v="16"/>
    </i>
    <i>
      <x v="1"/>
    </i>
    <i r="1">
      <x v="1"/>
    </i>
    <i r="1">
      <x v="2"/>
    </i>
    <i r="1">
      <x v="3"/>
    </i>
    <i r="1">
      <x v="7"/>
    </i>
    <i r="1">
      <x v="8"/>
    </i>
    <i r="1">
      <x v="10"/>
    </i>
    <i r="1">
      <x v="12"/>
    </i>
    <i r="1">
      <x v="14"/>
    </i>
    <i r="1">
      <x v="15"/>
    </i>
    <i>
      <x v="2"/>
    </i>
    <i r="1">
      <x/>
    </i>
    <i r="1">
      <x v="6"/>
    </i>
    <i r="1">
      <x v="11"/>
    </i>
    <i r="1">
      <x v="13"/>
    </i>
  </rowItems>
  <colFields count="1">
    <field x="-2"/>
  </colFields>
  <colItems count="2">
    <i>
      <x/>
    </i>
    <i i="1">
      <x v="1"/>
    </i>
  </colItems>
  <dataFields count="2">
    <dataField name="TOTAL SALES" fld="17" baseField="0" baseItem="0"/>
    <dataField name="TOTAL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996E60-209F-41CE-AA9B-84AB8CF8AB2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COUNTRY">
  <location ref="J3:L5" firstHeaderRow="0" firstDataRow="1" firstDataCol="1"/>
  <pivotFields count="21">
    <pivotField showAll="0"/>
    <pivotField showAll="0"/>
    <pivotField numFmtId="14" showAll="0"/>
    <pivotField numFmtId="1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1">
    <field x="8"/>
  </rowFields>
  <rowItems count="2">
    <i>
      <x/>
    </i>
    <i>
      <x v="1"/>
    </i>
  </rowItems>
  <colFields count="1">
    <field x="-2"/>
  </colFields>
  <colItems count="2">
    <i>
      <x/>
    </i>
    <i i="1">
      <x v="1"/>
    </i>
  </colItems>
  <dataFields count="2">
    <dataField name="TOTAL SALES" fld="17" baseField="0" baseItem="0"/>
    <dataField name="TOTAL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1"/>
          </reference>
          <reference field="8"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0"/>
          </reference>
          <reference field="8" count="1" selected="0">
            <x v="1"/>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38AFA-322E-438D-9E4A-C67E29F2259F}"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I3:L6" firstHeaderRow="0" firstDataRow="1" firstDataCol="1"/>
  <pivotFields count="21">
    <pivotField showAll="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s>
  <rowFields count="1">
    <field x="7"/>
  </rowFields>
  <rowItems count="3">
    <i>
      <x/>
    </i>
    <i>
      <x v="1"/>
    </i>
    <i>
      <x v="2"/>
    </i>
  </rowItems>
  <colFields count="1">
    <field x="-2"/>
  </colFields>
  <colItems count="3">
    <i>
      <x/>
    </i>
    <i i="1">
      <x v="1"/>
    </i>
    <i i="2">
      <x v="2"/>
    </i>
  </colItems>
  <dataFields count="3">
    <dataField name="TOTAL SALES" fld="17" baseField="0" baseItem="0"/>
    <dataField name="TOTAL PROFIT" fld="20" baseField="0" baseItem="0"/>
    <dataField name="TOTAL DISCOUNT" fld="19"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4A9BFD-9BA8-43F2-9972-85B912B72D8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TATE">
  <location ref="J3:L13"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axis="axisRow" showAll="0" measureFilter="1">
      <items count="48">
        <item x="35"/>
        <item x="28"/>
        <item x="12"/>
        <item x="13"/>
        <item x="41"/>
        <item x="5"/>
        <item x="27"/>
        <item x="39"/>
        <item x="7"/>
        <item x="16"/>
        <item x="4"/>
        <item x="36"/>
        <item x="1"/>
        <item x="18"/>
        <item x="32"/>
        <item x="3"/>
        <item x="10"/>
        <item x="46"/>
        <item x="38"/>
        <item x="34"/>
        <item x="14"/>
        <item x="30"/>
        <item x="31"/>
        <item x="25"/>
        <item x="37"/>
        <item x="45"/>
        <item x="19"/>
        <item x="40"/>
        <item x="24"/>
        <item x="33"/>
        <item x="21"/>
        <item x="26"/>
        <item x="43"/>
        <item x="9"/>
        <item x="44"/>
        <item x="17"/>
        <item x="11"/>
        <item x="2"/>
        <item x="42"/>
        <item x="8"/>
        <item x="20"/>
        <item x="15"/>
        <item x="0"/>
        <item x="29"/>
        <item x="6"/>
        <item x="23"/>
        <item x="22"/>
        <item t="default"/>
      </items>
    </pivotField>
    <pivotField showAll="0"/>
    <pivotField showAll="0"/>
    <pivotField showAll="0"/>
    <pivotField showAll="0"/>
    <pivotField showAll="0"/>
    <pivotField showAll="0"/>
    <pivotField dataField="1" showAll="0"/>
    <pivotField showAll="0"/>
    <pivotField showAll="0"/>
    <pivotField dataField="1" showAll="0"/>
  </pivotFields>
  <rowFields count="1">
    <field x="10"/>
  </rowFields>
  <rowItems count="10">
    <i>
      <x v="5"/>
    </i>
    <i>
      <x v="9"/>
    </i>
    <i>
      <x v="12"/>
    </i>
    <i>
      <x v="15"/>
    </i>
    <i>
      <x v="21"/>
    </i>
    <i>
      <x v="30"/>
    </i>
    <i>
      <x v="37"/>
    </i>
    <i>
      <x v="42"/>
    </i>
    <i>
      <x v="44"/>
    </i>
    <i>
      <x v="45"/>
    </i>
  </rowItems>
  <colFields count="1">
    <field x="-2"/>
  </colFields>
  <colItems count="2">
    <i>
      <x/>
    </i>
    <i i="1">
      <x v="1"/>
    </i>
  </colItems>
  <dataFields count="2">
    <dataField name="TOTAL SALES" fld="17" baseField="0" baseItem="0"/>
    <dataField name="TOTAL PROFIT" fld="20" baseField="0" baseItem="0"/>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5"/>
          </reference>
        </references>
      </pivotArea>
    </chartFormat>
    <chartFormat chart="0" format="3">
      <pivotArea type="data" outline="0" fieldPosition="0">
        <references count="2">
          <reference field="4294967294" count="1" selected="0">
            <x v="0"/>
          </reference>
          <reference field="10" count="1" selected="0">
            <x v="45"/>
          </reference>
        </references>
      </pivotArea>
    </chartFormat>
    <chartFormat chart="0" format="4">
      <pivotArea type="data" outline="0" fieldPosition="0">
        <references count="2">
          <reference field="4294967294" count="1" selected="0">
            <x v="0"/>
          </reference>
          <reference field="10" count="1" selected="0">
            <x v="9"/>
          </reference>
        </references>
      </pivotArea>
    </chartFormat>
    <chartFormat chart="0" format="5">
      <pivotArea type="data" outline="0" fieldPosition="0">
        <references count="2">
          <reference field="4294967294" count="1" selected="0">
            <x v="0"/>
          </reference>
          <reference field="10" count="1" selected="0">
            <x v="12"/>
          </reference>
        </references>
      </pivotArea>
    </chartFormat>
    <chartFormat chart="0" format="6">
      <pivotArea type="data" outline="0" fieldPosition="0">
        <references count="2">
          <reference field="4294967294" count="1" selected="0">
            <x v="0"/>
          </reference>
          <reference field="10" count="1" selected="0">
            <x v="15"/>
          </reference>
        </references>
      </pivotArea>
    </chartFormat>
    <chartFormat chart="0" format="7">
      <pivotArea type="data" outline="0" fieldPosition="0">
        <references count="2">
          <reference field="4294967294" count="1" selected="0">
            <x v="0"/>
          </reference>
          <reference field="10" count="1" selected="0">
            <x v="21"/>
          </reference>
        </references>
      </pivotArea>
    </chartFormat>
    <chartFormat chart="0" format="8">
      <pivotArea type="data" outline="0" fieldPosition="0">
        <references count="2">
          <reference field="4294967294" count="1" selected="0">
            <x v="0"/>
          </reference>
          <reference field="10" count="1" selected="0">
            <x v="30"/>
          </reference>
        </references>
      </pivotArea>
    </chartFormat>
    <chartFormat chart="0" format="9">
      <pivotArea type="data" outline="0" fieldPosition="0">
        <references count="2">
          <reference field="4294967294" count="1" selected="0">
            <x v="0"/>
          </reference>
          <reference field="10" count="1" selected="0">
            <x v="37"/>
          </reference>
        </references>
      </pivotArea>
    </chartFormat>
    <chartFormat chart="0" format="10">
      <pivotArea type="data" outline="0" fieldPosition="0">
        <references count="2">
          <reference field="4294967294" count="1" selected="0">
            <x v="0"/>
          </reference>
          <reference field="10" count="1" selected="0">
            <x v="42"/>
          </reference>
        </references>
      </pivotArea>
    </chartFormat>
    <chartFormat chart="0" format="11">
      <pivotArea type="data" outline="0" fieldPosition="0">
        <references count="2">
          <reference field="4294967294" count="1" selected="0">
            <x v="0"/>
          </reference>
          <reference field="10" count="1" selected="0">
            <x v="44"/>
          </reference>
        </references>
      </pivotArea>
    </chartFormat>
    <chartFormat chart="0" format="12">
      <pivotArea type="data" outline="0" fieldPosition="0">
        <references count="2">
          <reference field="4294967294" count="1" selected="0">
            <x v="1"/>
          </reference>
          <reference field="10" count="1" selected="0">
            <x v="5"/>
          </reference>
        </references>
      </pivotArea>
    </chartFormat>
    <chartFormat chart="0" format="13">
      <pivotArea type="data" outline="0" fieldPosition="0">
        <references count="2">
          <reference field="4294967294" count="1" selected="0">
            <x v="1"/>
          </reference>
          <reference field="10" count="1" selected="0">
            <x v="9"/>
          </reference>
        </references>
      </pivotArea>
    </chartFormat>
    <chartFormat chart="0" format="14">
      <pivotArea type="data" outline="0" fieldPosition="0">
        <references count="2">
          <reference field="4294967294" count="1" selected="0">
            <x v="1"/>
          </reference>
          <reference field="10" count="1" selected="0">
            <x v="12"/>
          </reference>
        </references>
      </pivotArea>
    </chartFormat>
    <chartFormat chart="0" format="15">
      <pivotArea type="data" outline="0" fieldPosition="0">
        <references count="2">
          <reference field="4294967294" count="1" selected="0">
            <x v="1"/>
          </reference>
          <reference field="10" count="1" selected="0">
            <x v="15"/>
          </reference>
        </references>
      </pivotArea>
    </chartFormat>
    <chartFormat chart="0" format="16">
      <pivotArea type="data" outline="0" fieldPosition="0">
        <references count="2">
          <reference field="4294967294" count="1" selected="0">
            <x v="1"/>
          </reference>
          <reference field="10" count="1" selected="0">
            <x v="21"/>
          </reference>
        </references>
      </pivotArea>
    </chartFormat>
    <chartFormat chart="0" format="17">
      <pivotArea type="data" outline="0" fieldPosition="0">
        <references count="2">
          <reference field="4294967294" count="1" selected="0">
            <x v="1"/>
          </reference>
          <reference field="10" count="1" selected="0">
            <x v="30"/>
          </reference>
        </references>
      </pivotArea>
    </chartFormat>
    <chartFormat chart="0" format="18">
      <pivotArea type="data" outline="0" fieldPosition="0">
        <references count="2">
          <reference field="4294967294" count="1" selected="0">
            <x v="1"/>
          </reference>
          <reference field="10" count="1" selected="0">
            <x v="37"/>
          </reference>
        </references>
      </pivotArea>
    </chartFormat>
    <chartFormat chart="0" format="19">
      <pivotArea type="data" outline="0" fieldPosition="0">
        <references count="2">
          <reference field="4294967294" count="1" selected="0">
            <x v="1"/>
          </reference>
          <reference field="10" count="1" selected="0">
            <x v="42"/>
          </reference>
        </references>
      </pivotArea>
    </chartFormat>
    <chartFormat chart="0" format="20">
      <pivotArea type="data" outline="0" fieldPosition="0">
        <references count="2">
          <reference field="4294967294" count="1" selected="0">
            <x v="1"/>
          </reference>
          <reference field="10" count="1" selected="0">
            <x v="44"/>
          </reference>
        </references>
      </pivotArea>
    </chartFormat>
    <chartFormat chart="0" format="21">
      <pivotArea type="data" outline="0" fieldPosition="0">
        <references count="2">
          <reference field="4294967294" count="1" selected="0">
            <x v="1"/>
          </reference>
          <reference field="10" count="1" selected="0">
            <x v="45"/>
          </reference>
        </references>
      </pivotArea>
    </chartFormat>
    <chartFormat chart="5" format="44" series="1">
      <pivotArea type="data" outline="0" fieldPosition="0">
        <references count="1">
          <reference field="4294967294" count="1" selected="0">
            <x v="0"/>
          </reference>
        </references>
      </pivotArea>
    </chartFormat>
    <chartFormat chart="5" format="45">
      <pivotArea type="data" outline="0" fieldPosition="0">
        <references count="2">
          <reference field="4294967294" count="1" selected="0">
            <x v="0"/>
          </reference>
          <reference field="10" count="1" selected="0">
            <x v="5"/>
          </reference>
        </references>
      </pivotArea>
    </chartFormat>
    <chartFormat chart="5" format="46">
      <pivotArea type="data" outline="0" fieldPosition="0">
        <references count="2">
          <reference field="4294967294" count="1" selected="0">
            <x v="0"/>
          </reference>
          <reference field="10" count="1" selected="0">
            <x v="9"/>
          </reference>
        </references>
      </pivotArea>
    </chartFormat>
    <chartFormat chart="5" format="47">
      <pivotArea type="data" outline="0" fieldPosition="0">
        <references count="2">
          <reference field="4294967294" count="1" selected="0">
            <x v="0"/>
          </reference>
          <reference field="10" count="1" selected="0">
            <x v="12"/>
          </reference>
        </references>
      </pivotArea>
    </chartFormat>
    <chartFormat chart="5" format="48">
      <pivotArea type="data" outline="0" fieldPosition="0">
        <references count="2">
          <reference field="4294967294" count="1" selected="0">
            <x v="0"/>
          </reference>
          <reference field="10" count="1" selected="0">
            <x v="15"/>
          </reference>
        </references>
      </pivotArea>
    </chartFormat>
    <chartFormat chart="5" format="49">
      <pivotArea type="data" outline="0" fieldPosition="0">
        <references count="2">
          <reference field="4294967294" count="1" selected="0">
            <x v="0"/>
          </reference>
          <reference field="10" count="1" selected="0">
            <x v="21"/>
          </reference>
        </references>
      </pivotArea>
    </chartFormat>
    <chartFormat chart="5" format="50">
      <pivotArea type="data" outline="0" fieldPosition="0">
        <references count="2">
          <reference field="4294967294" count="1" selected="0">
            <x v="0"/>
          </reference>
          <reference field="10" count="1" selected="0">
            <x v="30"/>
          </reference>
        </references>
      </pivotArea>
    </chartFormat>
    <chartFormat chart="5" format="51">
      <pivotArea type="data" outline="0" fieldPosition="0">
        <references count="2">
          <reference field="4294967294" count="1" selected="0">
            <x v="0"/>
          </reference>
          <reference field="10" count="1" selected="0">
            <x v="37"/>
          </reference>
        </references>
      </pivotArea>
    </chartFormat>
    <chartFormat chart="5" format="52">
      <pivotArea type="data" outline="0" fieldPosition="0">
        <references count="2">
          <reference field="4294967294" count="1" selected="0">
            <x v="0"/>
          </reference>
          <reference field="10" count="1" selected="0">
            <x v="42"/>
          </reference>
        </references>
      </pivotArea>
    </chartFormat>
    <chartFormat chart="5" format="53">
      <pivotArea type="data" outline="0" fieldPosition="0">
        <references count="2">
          <reference field="4294967294" count="1" selected="0">
            <x v="0"/>
          </reference>
          <reference field="10" count="1" selected="0">
            <x v="44"/>
          </reference>
        </references>
      </pivotArea>
    </chartFormat>
    <chartFormat chart="5" format="54">
      <pivotArea type="data" outline="0" fieldPosition="0">
        <references count="2">
          <reference field="4294967294" count="1" selected="0">
            <x v="0"/>
          </reference>
          <reference field="10" count="1" selected="0">
            <x v="45"/>
          </reference>
        </references>
      </pivotArea>
    </chartFormat>
    <chartFormat chart="5" format="55" series="1">
      <pivotArea type="data" outline="0" fieldPosition="0">
        <references count="1">
          <reference field="4294967294" count="1" selected="0">
            <x v="1"/>
          </reference>
        </references>
      </pivotArea>
    </chartFormat>
    <chartFormat chart="5" format="56">
      <pivotArea type="data" outline="0" fieldPosition="0">
        <references count="2">
          <reference field="4294967294" count="1" selected="0">
            <x v="1"/>
          </reference>
          <reference field="10" count="1" selected="0">
            <x v="5"/>
          </reference>
        </references>
      </pivotArea>
    </chartFormat>
    <chartFormat chart="5" format="57">
      <pivotArea type="data" outline="0" fieldPosition="0">
        <references count="2">
          <reference field="4294967294" count="1" selected="0">
            <x v="1"/>
          </reference>
          <reference field="10" count="1" selected="0">
            <x v="9"/>
          </reference>
        </references>
      </pivotArea>
    </chartFormat>
    <chartFormat chart="5" format="58">
      <pivotArea type="data" outline="0" fieldPosition="0">
        <references count="2">
          <reference field="4294967294" count="1" selected="0">
            <x v="1"/>
          </reference>
          <reference field="10" count="1" selected="0">
            <x v="12"/>
          </reference>
        </references>
      </pivotArea>
    </chartFormat>
    <chartFormat chart="5" format="59">
      <pivotArea type="data" outline="0" fieldPosition="0">
        <references count="2">
          <reference field="4294967294" count="1" selected="0">
            <x v="1"/>
          </reference>
          <reference field="10" count="1" selected="0">
            <x v="15"/>
          </reference>
        </references>
      </pivotArea>
    </chartFormat>
    <chartFormat chart="5" format="60">
      <pivotArea type="data" outline="0" fieldPosition="0">
        <references count="2">
          <reference field="4294967294" count="1" selected="0">
            <x v="1"/>
          </reference>
          <reference field="10" count="1" selected="0">
            <x v="21"/>
          </reference>
        </references>
      </pivotArea>
    </chartFormat>
    <chartFormat chart="5" format="61">
      <pivotArea type="data" outline="0" fieldPosition="0">
        <references count="2">
          <reference field="4294967294" count="1" selected="0">
            <x v="1"/>
          </reference>
          <reference field="10" count="1" selected="0">
            <x v="30"/>
          </reference>
        </references>
      </pivotArea>
    </chartFormat>
    <chartFormat chart="5" format="62">
      <pivotArea type="data" outline="0" fieldPosition="0">
        <references count="2">
          <reference field="4294967294" count="1" selected="0">
            <x v="1"/>
          </reference>
          <reference field="10" count="1" selected="0">
            <x v="37"/>
          </reference>
        </references>
      </pivotArea>
    </chartFormat>
    <chartFormat chart="5" format="63">
      <pivotArea type="data" outline="0" fieldPosition="0">
        <references count="2">
          <reference field="4294967294" count="1" selected="0">
            <x v="1"/>
          </reference>
          <reference field="10" count="1" selected="0">
            <x v="42"/>
          </reference>
        </references>
      </pivotArea>
    </chartFormat>
    <chartFormat chart="5" format="64">
      <pivotArea type="data" outline="0" fieldPosition="0">
        <references count="2">
          <reference field="4294967294" count="1" selected="0">
            <x v="1"/>
          </reference>
          <reference field="10" count="1" selected="0">
            <x v="44"/>
          </reference>
        </references>
      </pivotArea>
    </chartFormat>
    <chartFormat chart="5" format="65">
      <pivotArea type="data" outline="0" fieldPosition="0">
        <references count="2">
          <reference field="4294967294" count="1" selected="0">
            <x v="1"/>
          </reference>
          <reference field="10" count="1" selected="0">
            <x v="45"/>
          </reference>
        </references>
      </pivotArea>
    </chartFormat>
  </chartFormats>
  <pivotTableStyleInfo name="PivotStyleMedium10"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B2449A-3BC3-47E4-BA65-83EB1AFD85FC}" sourceName="Region">
  <pivotTables>
    <pivotTable tabId="2" name="PivotTable1"/>
  </pivotTables>
  <data>
    <tabular pivotCacheId="62061445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5FC531-2955-4F2D-996A-9787E6AB03DB}" sourceName="Category">
  <pivotTables>
    <pivotTable tabId="3" name="PivotTable3"/>
  </pivotTables>
  <data>
    <tabular pivotCacheId="223903382">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880C265-0CC7-4B28-8369-70AC18B1B190}" sourceName="Sub-Category">
  <pivotTables>
    <pivotTable tabId="5" name="PivotTable4"/>
  </pivotTables>
  <data>
    <tabular pivotCacheId="223903382">
      <items count="17">
        <i x="9" s="1"/>
        <i x="12" s="1"/>
        <i x="4" s="1"/>
        <i x="1" s="1"/>
        <i x="10" s="1"/>
        <i x="5" s="1"/>
        <i x="16" s="1"/>
        <i x="11" s="1"/>
        <i x="6" s="1"/>
        <i x="8" s="1"/>
        <i x="2" s="1"/>
        <i x="15" s="1"/>
        <i x="0" s="1"/>
        <i x="7" s="1"/>
        <i x="3" s="1"/>
        <i x="1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D936EAB-B3BE-4397-8B83-6C5DAE87A279}" sourceName="Segment">
  <pivotTables>
    <pivotTable tabId="7" name="PivotTable8"/>
  </pivotTables>
  <data>
    <tabular pivotCacheId="22390338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7C854FE9-757D-4BAE-B85A-9406DB77F75D}" sourceName="Country/Region">
  <pivotTables>
    <pivotTable tabId="8" name="PivotTable1"/>
  </pivotTables>
  <data>
    <tabular pivotCacheId="22390338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13427511-46CA-48E0-8A51-F7E387DFBD45}" sourceName="State/Province">
  <pivotTables>
    <pivotTable tabId="9" name="PivotTable2"/>
  </pivotTables>
  <data>
    <tabular pivotCacheId="223903382">
      <items count="47">
        <i x="35" s="1"/>
        <i x="28" s="1"/>
        <i x="12" s="1"/>
        <i x="13" s="1"/>
        <i x="41" s="1"/>
        <i x="5" s="1"/>
        <i x="27" s="1"/>
        <i x="39" s="1"/>
        <i x="7" s="1"/>
        <i x="16" s="1"/>
        <i x="4" s="1"/>
        <i x="36" s="1"/>
        <i x="1" s="1"/>
        <i x="18" s="1"/>
        <i x="32" s="1"/>
        <i x="3" s="1"/>
        <i x="10" s="1"/>
        <i x="46" s="1"/>
        <i x="38" s="1"/>
        <i x="34" s="1"/>
        <i x="14" s="1"/>
        <i x="30" s="1"/>
        <i x="31" s="1"/>
        <i x="25" s="1"/>
        <i x="37" s="1"/>
        <i x="45" s="1"/>
        <i x="19" s="1"/>
        <i x="40" s="1"/>
        <i x="24" s="1"/>
        <i x="33" s="1"/>
        <i x="21" s="1"/>
        <i x="26" s="1"/>
        <i x="43" s="1"/>
        <i x="9" s="1"/>
        <i x="44" s="1"/>
        <i x="17" s="1"/>
        <i x="11" s="1"/>
        <i x="2" s="1"/>
        <i x="42" s="1"/>
        <i x="8" s="1"/>
        <i x="20" s="1"/>
        <i x="15" s="1"/>
        <i x="0" s="1"/>
        <i x="29" s="1"/>
        <i x="6" s="1"/>
        <i x="23"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A58A83-E56E-42C8-9078-322D73963345}" cache="Slicer_Region" caption="Region" columnCount="2" rowHeight="540000"/>
  <slicer name="Category 1" xr10:uid="{52B31117-D4CE-4ECE-8356-F2877C4FB3CA}" cache="Slicer_Category" caption="Category" columnCount="2" rowHeight="504000"/>
  <slicer name="Sub-Category 1" xr10:uid="{00B07761-1D38-44CF-BC37-A0D4D08175B2}" cache="Slicer_Sub_Category" caption="Sub-Category" columnCount="2" rowHeight="540000"/>
  <slicer name="Segment 1" xr10:uid="{6C6B7013-591A-4398-B707-64FDE794C87F}" cache="Slicer_Segment" caption="Segment" columnCount="2" rowHeight="432000"/>
  <slicer name="Country/Region 1" xr10:uid="{81E3D7DF-6701-4967-9ABB-E8B5BA366961}" cache="Slicer_Country_Region" caption="Country/Region" rowHeight="684000"/>
  <slicer name="State/Province 1" xr10:uid="{AB4BDD09-EAF8-4CA3-A0C8-663752DCD54E}" cache="Slicer_State_Province" caption="State/Province" startItem="14" columnCount="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6379-B062-443A-8658-B10EEF7BD24F}">
  <dimension ref="A1:U1006"/>
  <sheetViews>
    <sheetView topLeftCell="Q1" workbookViewId="0">
      <selection activeCell="D5" sqref="D5"/>
    </sheetView>
  </sheetViews>
  <sheetFormatPr defaultRowHeight="15" x14ac:dyDescent="0.25"/>
  <cols>
    <col min="2" max="2" width="20.28515625" customWidth="1"/>
    <col min="3" max="3" width="12.42578125" customWidth="1"/>
    <col min="4" max="4" width="14.7109375" customWidth="1"/>
    <col min="5" max="5" width="14.140625" customWidth="1"/>
    <col min="6" max="6" width="12.5703125" customWidth="1"/>
    <col min="7" max="7" width="16.5703125" customWidth="1"/>
    <col min="8" max="8" width="12.28515625" customWidth="1"/>
    <col min="9" max="9" width="15.5703125" customWidth="1"/>
    <col min="10" max="10" width="11.140625" customWidth="1"/>
    <col min="11" max="11" width="13.140625" customWidth="1"/>
    <col min="12" max="12" width="12.85546875" customWidth="1"/>
    <col min="13" max="13" width="11.140625" customWidth="1"/>
    <col min="14" max="14" width="22.7109375" customWidth="1"/>
    <col min="15" max="15" width="15.85546875" customWidth="1"/>
    <col min="16" max="16" width="19.7109375" customWidth="1"/>
    <col min="17" max="17" width="83.140625" customWidth="1"/>
    <col min="18" max="18" width="12.42578125" customWidth="1"/>
    <col min="19" max="19" width="9.5703125" customWidth="1"/>
    <col min="20" max="20" width="11.140625" customWidth="1"/>
    <col min="21" max="21" width="11.7109375"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x14ac:dyDescent="0.25">
      <c r="A2" s="1">
        <v>1</v>
      </c>
      <c r="B2" s="2" t="s">
        <v>21</v>
      </c>
      <c r="C2" s="3">
        <v>44929</v>
      </c>
      <c r="D2" s="3">
        <v>44933</v>
      </c>
      <c r="E2" s="1" t="s">
        <v>22</v>
      </c>
      <c r="F2" s="1" t="s">
        <v>23</v>
      </c>
      <c r="G2" s="1" t="s">
        <v>24</v>
      </c>
      <c r="H2" s="1" t="s">
        <v>25</v>
      </c>
      <c r="I2" s="1" t="s">
        <v>26</v>
      </c>
      <c r="J2" s="1" t="s">
        <v>27</v>
      </c>
      <c r="K2" s="1" t="s">
        <v>28</v>
      </c>
      <c r="L2" s="1">
        <v>77095</v>
      </c>
      <c r="M2" s="1" t="s">
        <v>29</v>
      </c>
      <c r="N2" s="1" t="s">
        <v>30</v>
      </c>
      <c r="O2" s="1" t="s">
        <v>31</v>
      </c>
      <c r="P2" s="1" t="s">
        <v>32</v>
      </c>
      <c r="Q2" s="1" t="s">
        <v>33</v>
      </c>
      <c r="R2" s="1">
        <v>16.448</v>
      </c>
      <c r="S2" s="1">
        <v>2</v>
      </c>
      <c r="T2" s="1">
        <v>0.2</v>
      </c>
      <c r="U2" s="1">
        <v>5.5511999999999979</v>
      </c>
    </row>
    <row r="3" spans="1:21" ht="15.75" x14ac:dyDescent="0.25">
      <c r="A3" s="1">
        <v>2</v>
      </c>
      <c r="B3" s="2" t="s">
        <v>34</v>
      </c>
      <c r="C3" s="3">
        <v>44930</v>
      </c>
      <c r="D3" s="3">
        <v>44934</v>
      </c>
      <c r="E3" s="1" t="s">
        <v>22</v>
      </c>
      <c r="F3" s="1" t="s">
        <v>35</v>
      </c>
      <c r="G3" s="1" t="s">
        <v>36</v>
      </c>
      <c r="H3" s="1" t="s">
        <v>37</v>
      </c>
      <c r="I3" s="1" t="s">
        <v>26</v>
      </c>
      <c r="J3" s="1" t="s">
        <v>38</v>
      </c>
      <c r="K3" s="1" t="s">
        <v>39</v>
      </c>
      <c r="L3" s="1">
        <v>60540</v>
      </c>
      <c r="M3" s="1" t="s">
        <v>29</v>
      </c>
      <c r="N3" s="1" t="s">
        <v>40</v>
      </c>
      <c r="O3" s="1" t="s">
        <v>31</v>
      </c>
      <c r="P3" s="1" t="s">
        <v>41</v>
      </c>
      <c r="Q3" s="1" t="s">
        <v>42</v>
      </c>
      <c r="R3" s="1">
        <v>3.5399999999999991</v>
      </c>
      <c r="S3" s="1">
        <v>2</v>
      </c>
      <c r="T3" s="1">
        <v>0.8</v>
      </c>
      <c r="U3" s="1">
        <v>-5.4870000000000001</v>
      </c>
    </row>
    <row r="4" spans="1:21" ht="15.75" x14ac:dyDescent="0.25">
      <c r="A4" s="1">
        <v>3</v>
      </c>
      <c r="B4" s="2" t="s">
        <v>34</v>
      </c>
      <c r="C4" s="3">
        <v>44930</v>
      </c>
      <c r="D4" s="3">
        <v>44934</v>
      </c>
      <c r="E4" s="1" t="s">
        <v>22</v>
      </c>
      <c r="F4" s="1" t="s">
        <v>35</v>
      </c>
      <c r="G4" s="1" t="s">
        <v>36</v>
      </c>
      <c r="H4" s="1" t="s">
        <v>37</v>
      </c>
      <c r="I4" s="1" t="s">
        <v>26</v>
      </c>
      <c r="J4" s="1" t="s">
        <v>38</v>
      </c>
      <c r="K4" s="1" t="s">
        <v>39</v>
      </c>
      <c r="L4" s="1">
        <v>60540</v>
      </c>
      <c r="M4" s="1" t="s">
        <v>29</v>
      </c>
      <c r="N4" s="1" t="s">
        <v>43</v>
      </c>
      <c r="O4" s="1" t="s">
        <v>31</v>
      </c>
      <c r="P4" s="1" t="s">
        <v>44</v>
      </c>
      <c r="Q4" s="1" t="s">
        <v>45</v>
      </c>
      <c r="R4" s="1">
        <v>11.784000000000001</v>
      </c>
      <c r="S4" s="1">
        <v>3</v>
      </c>
      <c r="T4" s="1">
        <v>0.2</v>
      </c>
      <c r="U4" s="1">
        <v>4.2716999999999992</v>
      </c>
    </row>
    <row r="5" spans="1:21" ht="15.75" x14ac:dyDescent="0.25">
      <c r="A5" s="1">
        <v>4</v>
      </c>
      <c r="B5" s="2" t="s">
        <v>34</v>
      </c>
      <c r="C5" s="3">
        <v>44930</v>
      </c>
      <c r="D5" s="3">
        <v>44934</v>
      </c>
      <c r="E5" s="1" t="s">
        <v>22</v>
      </c>
      <c r="F5" s="1" t="s">
        <v>35</v>
      </c>
      <c r="G5" s="1" t="s">
        <v>36</v>
      </c>
      <c r="H5" s="1" t="s">
        <v>37</v>
      </c>
      <c r="I5" s="1" t="s">
        <v>26</v>
      </c>
      <c r="J5" s="1" t="s">
        <v>38</v>
      </c>
      <c r="K5" s="1" t="s">
        <v>39</v>
      </c>
      <c r="L5" s="1">
        <v>60540</v>
      </c>
      <c r="M5" s="1" t="s">
        <v>29</v>
      </c>
      <c r="N5" s="1" t="s">
        <v>46</v>
      </c>
      <c r="O5" s="1" t="s">
        <v>31</v>
      </c>
      <c r="P5" s="1" t="s">
        <v>47</v>
      </c>
      <c r="Q5" s="1" t="s">
        <v>48</v>
      </c>
      <c r="R5" s="1">
        <v>272.73599999999999</v>
      </c>
      <c r="S5" s="1">
        <v>3</v>
      </c>
      <c r="T5" s="1">
        <v>0.2</v>
      </c>
      <c r="U5" s="1">
        <v>-64.774800000000013</v>
      </c>
    </row>
    <row r="6" spans="1:21" ht="15.75" x14ac:dyDescent="0.25">
      <c r="A6" s="1">
        <v>5</v>
      </c>
      <c r="B6" s="2" t="s">
        <v>49</v>
      </c>
      <c r="C6" s="3">
        <v>44931</v>
      </c>
      <c r="D6" s="3">
        <v>44938</v>
      </c>
      <c r="E6" s="1" t="s">
        <v>22</v>
      </c>
      <c r="F6" s="1" t="s">
        <v>50</v>
      </c>
      <c r="G6" s="1" t="s">
        <v>51</v>
      </c>
      <c r="H6" s="1" t="s">
        <v>25</v>
      </c>
      <c r="I6" s="1" t="s">
        <v>26</v>
      </c>
      <c r="J6" s="1" t="s">
        <v>52</v>
      </c>
      <c r="K6" s="1" t="s">
        <v>53</v>
      </c>
      <c r="L6" s="1">
        <v>19143</v>
      </c>
      <c r="M6" s="1" t="s">
        <v>54</v>
      </c>
      <c r="N6" s="1" t="s">
        <v>55</v>
      </c>
      <c r="O6" s="1" t="s">
        <v>31</v>
      </c>
      <c r="P6" s="1" t="s">
        <v>56</v>
      </c>
      <c r="Q6" s="1" t="s">
        <v>57</v>
      </c>
      <c r="R6" s="1">
        <v>19.536000000000001</v>
      </c>
      <c r="S6" s="1">
        <v>3</v>
      </c>
      <c r="T6" s="1">
        <v>0.2</v>
      </c>
      <c r="U6" s="1">
        <v>4.8840000000000003</v>
      </c>
    </row>
    <row r="7" spans="1:21" ht="15.75" x14ac:dyDescent="0.25">
      <c r="A7" s="1">
        <v>6</v>
      </c>
      <c r="B7" s="2" t="s">
        <v>58</v>
      </c>
      <c r="C7" s="3">
        <v>44932</v>
      </c>
      <c r="D7" s="3">
        <v>44936</v>
      </c>
      <c r="E7" s="1" t="s">
        <v>22</v>
      </c>
      <c r="F7" s="1" t="s">
        <v>59</v>
      </c>
      <c r="G7" s="1" t="s">
        <v>60</v>
      </c>
      <c r="H7" s="1" t="s">
        <v>37</v>
      </c>
      <c r="I7" s="1" t="s">
        <v>26</v>
      </c>
      <c r="J7" s="1" t="s">
        <v>61</v>
      </c>
      <c r="K7" s="1" t="s">
        <v>62</v>
      </c>
      <c r="L7" s="1">
        <v>42420</v>
      </c>
      <c r="M7" s="1" t="s">
        <v>63</v>
      </c>
      <c r="N7" s="1" t="s">
        <v>64</v>
      </c>
      <c r="O7" s="1" t="s">
        <v>65</v>
      </c>
      <c r="P7" s="1" t="s">
        <v>66</v>
      </c>
      <c r="Q7" s="1" t="s">
        <v>67</v>
      </c>
      <c r="R7" s="1">
        <v>2573.8200000000002</v>
      </c>
      <c r="S7" s="1">
        <v>9</v>
      </c>
      <c r="T7" s="1">
        <v>0</v>
      </c>
      <c r="U7" s="1">
        <v>746.40779999999972</v>
      </c>
    </row>
    <row r="8" spans="1:21" ht="15.75" x14ac:dyDescent="0.25">
      <c r="A8" s="1">
        <v>7</v>
      </c>
      <c r="B8" s="2" t="s">
        <v>58</v>
      </c>
      <c r="C8" s="3">
        <v>44932</v>
      </c>
      <c r="D8" s="3">
        <v>44936</v>
      </c>
      <c r="E8" s="1" t="s">
        <v>22</v>
      </c>
      <c r="F8" s="1" t="s">
        <v>59</v>
      </c>
      <c r="G8" s="1" t="s">
        <v>60</v>
      </c>
      <c r="H8" s="1" t="s">
        <v>37</v>
      </c>
      <c r="I8" s="1" t="s">
        <v>26</v>
      </c>
      <c r="J8" s="1" t="s">
        <v>61</v>
      </c>
      <c r="K8" s="1" t="s">
        <v>62</v>
      </c>
      <c r="L8" s="1">
        <v>42420</v>
      </c>
      <c r="M8" s="1" t="s">
        <v>63</v>
      </c>
      <c r="N8" s="1" t="s">
        <v>68</v>
      </c>
      <c r="O8" s="1" t="s">
        <v>31</v>
      </c>
      <c r="P8" s="1" t="s">
        <v>56</v>
      </c>
      <c r="Q8" s="1" t="s">
        <v>69</v>
      </c>
      <c r="R8" s="1">
        <v>5.48</v>
      </c>
      <c r="S8" s="1">
        <v>2</v>
      </c>
      <c r="T8" s="1">
        <v>0</v>
      </c>
      <c r="U8" s="1">
        <v>1.4796000000000005</v>
      </c>
    </row>
    <row r="9" spans="1:21" ht="15.75" x14ac:dyDescent="0.25">
      <c r="A9" s="1">
        <v>8</v>
      </c>
      <c r="B9" s="2" t="s">
        <v>70</v>
      </c>
      <c r="C9" s="3">
        <v>44932</v>
      </c>
      <c r="D9" s="3">
        <v>44933</v>
      </c>
      <c r="E9" s="1" t="s">
        <v>71</v>
      </c>
      <c r="F9" s="1" t="s">
        <v>72</v>
      </c>
      <c r="G9" s="1" t="s">
        <v>73</v>
      </c>
      <c r="H9" s="1" t="s">
        <v>74</v>
      </c>
      <c r="I9" s="1" t="s">
        <v>26</v>
      </c>
      <c r="J9" s="1" t="s">
        <v>75</v>
      </c>
      <c r="K9" s="1" t="s">
        <v>76</v>
      </c>
      <c r="L9" s="1">
        <v>30605</v>
      </c>
      <c r="M9" s="1" t="s">
        <v>63</v>
      </c>
      <c r="N9" s="1" t="s">
        <v>77</v>
      </c>
      <c r="O9" s="1" t="s">
        <v>31</v>
      </c>
      <c r="P9" s="1" t="s">
        <v>56</v>
      </c>
      <c r="Q9" s="1" t="s">
        <v>78</v>
      </c>
      <c r="R9" s="1">
        <v>12.78</v>
      </c>
      <c r="S9" s="1">
        <v>3</v>
      </c>
      <c r="T9" s="1">
        <v>0</v>
      </c>
      <c r="U9" s="1">
        <v>5.2397999999999998</v>
      </c>
    </row>
    <row r="10" spans="1:21" ht="15.75" x14ac:dyDescent="0.25">
      <c r="A10" s="1">
        <v>9</v>
      </c>
      <c r="B10" s="2" t="s">
        <v>58</v>
      </c>
      <c r="C10" s="3">
        <v>44932</v>
      </c>
      <c r="D10" s="3">
        <v>44936</v>
      </c>
      <c r="E10" s="1" t="s">
        <v>22</v>
      </c>
      <c r="F10" s="1" t="s">
        <v>59</v>
      </c>
      <c r="G10" s="1" t="s">
        <v>60</v>
      </c>
      <c r="H10" s="1" t="s">
        <v>37</v>
      </c>
      <c r="I10" s="1" t="s">
        <v>26</v>
      </c>
      <c r="J10" s="1" t="s">
        <v>61</v>
      </c>
      <c r="K10" s="1" t="s">
        <v>62</v>
      </c>
      <c r="L10" s="1">
        <v>42420</v>
      </c>
      <c r="M10" s="1" t="s">
        <v>63</v>
      </c>
      <c r="N10" s="1" t="s">
        <v>79</v>
      </c>
      <c r="O10" s="1" t="s">
        <v>31</v>
      </c>
      <c r="P10" s="1" t="s">
        <v>41</v>
      </c>
      <c r="Q10" s="1" t="s">
        <v>80</v>
      </c>
      <c r="R10" s="1">
        <v>609.98</v>
      </c>
      <c r="S10" s="1">
        <v>2</v>
      </c>
      <c r="T10" s="1">
        <v>0</v>
      </c>
      <c r="U10" s="1">
        <v>274.49099999999999</v>
      </c>
    </row>
    <row r="11" spans="1:21" ht="15.75" x14ac:dyDescent="0.25">
      <c r="A11" s="1">
        <v>10</v>
      </c>
      <c r="B11" s="2" t="s">
        <v>58</v>
      </c>
      <c r="C11" s="3">
        <v>44932</v>
      </c>
      <c r="D11" s="3">
        <v>44936</v>
      </c>
      <c r="E11" s="1" t="s">
        <v>22</v>
      </c>
      <c r="F11" s="1" t="s">
        <v>59</v>
      </c>
      <c r="G11" s="1" t="s">
        <v>60</v>
      </c>
      <c r="H11" s="1" t="s">
        <v>37</v>
      </c>
      <c r="I11" s="1" t="s">
        <v>26</v>
      </c>
      <c r="J11" s="1" t="s">
        <v>61</v>
      </c>
      <c r="K11" s="1" t="s">
        <v>62</v>
      </c>
      <c r="L11" s="1">
        <v>42420</v>
      </c>
      <c r="M11" s="1" t="s">
        <v>63</v>
      </c>
      <c r="N11" s="1" t="s">
        <v>81</v>
      </c>
      <c r="O11" s="1" t="s">
        <v>31</v>
      </c>
      <c r="P11" s="1" t="s">
        <v>82</v>
      </c>
      <c r="Q11" s="1" t="s">
        <v>83</v>
      </c>
      <c r="R11" s="1">
        <v>31.12</v>
      </c>
      <c r="S11" s="1">
        <v>4</v>
      </c>
      <c r="T11" s="1">
        <v>0</v>
      </c>
      <c r="U11" s="1">
        <v>0.31119999999999948</v>
      </c>
    </row>
    <row r="12" spans="1:21" ht="15.75" x14ac:dyDescent="0.25">
      <c r="A12" s="1">
        <v>11</v>
      </c>
      <c r="B12" s="2" t="s">
        <v>58</v>
      </c>
      <c r="C12" s="3">
        <v>44932</v>
      </c>
      <c r="D12" s="3">
        <v>44936</v>
      </c>
      <c r="E12" s="1" t="s">
        <v>22</v>
      </c>
      <c r="F12" s="1" t="s">
        <v>59</v>
      </c>
      <c r="G12" s="1" t="s">
        <v>60</v>
      </c>
      <c r="H12" s="1" t="s">
        <v>37</v>
      </c>
      <c r="I12" s="1" t="s">
        <v>26</v>
      </c>
      <c r="J12" s="1" t="s">
        <v>61</v>
      </c>
      <c r="K12" s="1" t="s">
        <v>62</v>
      </c>
      <c r="L12" s="1">
        <v>42420</v>
      </c>
      <c r="M12" s="1" t="s">
        <v>63</v>
      </c>
      <c r="N12" s="1" t="s">
        <v>84</v>
      </c>
      <c r="O12" s="1" t="s">
        <v>31</v>
      </c>
      <c r="P12" s="1" t="s">
        <v>32</v>
      </c>
      <c r="Q12" s="1" t="s">
        <v>85</v>
      </c>
      <c r="R12" s="1">
        <v>6.54</v>
      </c>
      <c r="S12" s="1">
        <v>1</v>
      </c>
      <c r="T12" s="1">
        <v>0</v>
      </c>
      <c r="U12" s="1">
        <v>3.0084</v>
      </c>
    </row>
    <row r="13" spans="1:21" ht="15.75" x14ac:dyDescent="0.25">
      <c r="A13" s="1">
        <v>12</v>
      </c>
      <c r="B13" s="2" t="s">
        <v>86</v>
      </c>
      <c r="C13" s="3">
        <v>44932</v>
      </c>
      <c r="D13" s="3">
        <v>44934</v>
      </c>
      <c r="E13" s="1" t="s">
        <v>87</v>
      </c>
      <c r="F13" s="1" t="s">
        <v>88</v>
      </c>
      <c r="G13" s="1" t="s">
        <v>89</v>
      </c>
      <c r="H13" s="1" t="s">
        <v>25</v>
      </c>
      <c r="I13" s="1" t="s">
        <v>26</v>
      </c>
      <c r="J13" s="1" t="s">
        <v>90</v>
      </c>
      <c r="K13" s="1" t="s">
        <v>91</v>
      </c>
      <c r="L13" s="1">
        <v>90049</v>
      </c>
      <c r="M13" s="1" t="s">
        <v>92</v>
      </c>
      <c r="N13" s="1" t="s">
        <v>93</v>
      </c>
      <c r="O13" s="1" t="s">
        <v>31</v>
      </c>
      <c r="P13" s="1" t="s">
        <v>32</v>
      </c>
      <c r="Q13" s="1" t="s">
        <v>94</v>
      </c>
      <c r="R13" s="1">
        <v>19.440000000000001</v>
      </c>
      <c r="S13" s="1">
        <v>3</v>
      </c>
      <c r="T13" s="1">
        <v>0</v>
      </c>
      <c r="U13" s="1">
        <v>9.3312000000000008</v>
      </c>
    </row>
    <row r="14" spans="1:21" ht="15.75" x14ac:dyDescent="0.25">
      <c r="A14" s="1">
        <v>13</v>
      </c>
      <c r="B14" s="2" t="s">
        <v>58</v>
      </c>
      <c r="C14" s="3">
        <v>44932</v>
      </c>
      <c r="D14" s="3">
        <v>44936</v>
      </c>
      <c r="E14" s="1" t="s">
        <v>22</v>
      </c>
      <c r="F14" s="1" t="s">
        <v>59</v>
      </c>
      <c r="G14" s="1" t="s">
        <v>60</v>
      </c>
      <c r="H14" s="1" t="s">
        <v>37</v>
      </c>
      <c r="I14" s="1" t="s">
        <v>26</v>
      </c>
      <c r="J14" s="1" t="s">
        <v>61</v>
      </c>
      <c r="K14" s="1" t="s">
        <v>62</v>
      </c>
      <c r="L14" s="1">
        <v>42420</v>
      </c>
      <c r="M14" s="1" t="s">
        <v>63</v>
      </c>
      <c r="N14" s="1" t="s">
        <v>95</v>
      </c>
      <c r="O14" s="1" t="s">
        <v>96</v>
      </c>
      <c r="P14" s="1" t="s">
        <v>97</v>
      </c>
      <c r="Q14" s="1" t="s">
        <v>98</v>
      </c>
      <c r="R14" s="1">
        <v>755.96</v>
      </c>
      <c r="S14" s="1">
        <v>4</v>
      </c>
      <c r="T14" s="1">
        <v>0</v>
      </c>
      <c r="U14" s="1">
        <v>204.10919999999999</v>
      </c>
    </row>
    <row r="15" spans="1:21" ht="15.75" x14ac:dyDescent="0.25">
      <c r="A15" s="1">
        <v>14</v>
      </c>
      <c r="B15" s="2" t="s">
        <v>58</v>
      </c>
      <c r="C15" s="3">
        <v>44932</v>
      </c>
      <c r="D15" s="3">
        <v>44936</v>
      </c>
      <c r="E15" s="1" t="s">
        <v>22</v>
      </c>
      <c r="F15" s="1" t="s">
        <v>59</v>
      </c>
      <c r="G15" s="1" t="s">
        <v>60</v>
      </c>
      <c r="H15" s="1" t="s">
        <v>37</v>
      </c>
      <c r="I15" s="1" t="s">
        <v>26</v>
      </c>
      <c r="J15" s="1" t="s">
        <v>61</v>
      </c>
      <c r="K15" s="1" t="s">
        <v>62</v>
      </c>
      <c r="L15" s="1">
        <v>42420</v>
      </c>
      <c r="M15" s="1" t="s">
        <v>63</v>
      </c>
      <c r="N15" s="1" t="s">
        <v>99</v>
      </c>
      <c r="O15" s="1" t="s">
        <v>96</v>
      </c>
      <c r="P15" s="1" t="s">
        <v>97</v>
      </c>
      <c r="Q15" s="1" t="s">
        <v>100</v>
      </c>
      <c r="R15" s="1">
        <v>391.98</v>
      </c>
      <c r="S15" s="1">
        <v>2</v>
      </c>
      <c r="T15" s="1">
        <v>0</v>
      </c>
      <c r="U15" s="1">
        <v>113.67419999999998</v>
      </c>
    </row>
    <row r="16" spans="1:21" ht="15.75" x14ac:dyDescent="0.25">
      <c r="A16" s="1">
        <v>15</v>
      </c>
      <c r="B16" s="2" t="s">
        <v>101</v>
      </c>
      <c r="C16" s="3">
        <v>44933</v>
      </c>
      <c r="D16" s="3">
        <v>44938</v>
      </c>
      <c r="E16" s="1" t="s">
        <v>22</v>
      </c>
      <c r="F16" s="1" t="s">
        <v>102</v>
      </c>
      <c r="G16" s="1" t="s">
        <v>103</v>
      </c>
      <c r="H16" s="1" t="s">
        <v>25</v>
      </c>
      <c r="I16" s="1" t="s">
        <v>26</v>
      </c>
      <c r="J16" s="1" t="s">
        <v>104</v>
      </c>
      <c r="K16" s="1" t="s">
        <v>28</v>
      </c>
      <c r="L16" s="1">
        <v>77340</v>
      </c>
      <c r="M16" s="1" t="s">
        <v>29</v>
      </c>
      <c r="N16" s="1" t="s">
        <v>105</v>
      </c>
      <c r="O16" s="1" t="s">
        <v>65</v>
      </c>
      <c r="P16" s="1" t="s">
        <v>106</v>
      </c>
      <c r="Q16" s="1" t="s">
        <v>107</v>
      </c>
      <c r="R16" s="1">
        <v>76.728000000000009</v>
      </c>
      <c r="S16" s="1">
        <v>3</v>
      </c>
      <c r="T16" s="1">
        <v>0.6</v>
      </c>
      <c r="U16" s="1">
        <v>-53.709599999999988</v>
      </c>
    </row>
    <row r="17" spans="1:21" ht="15.75" x14ac:dyDescent="0.25">
      <c r="A17" s="1">
        <v>16</v>
      </c>
      <c r="B17" s="2" t="s">
        <v>101</v>
      </c>
      <c r="C17" s="3">
        <v>44933</v>
      </c>
      <c r="D17" s="3">
        <v>44938</v>
      </c>
      <c r="E17" s="1" t="s">
        <v>22</v>
      </c>
      <c r="F17" s="1" t="s">
        <v>102</v>
      </c>
      <c r="G17" s="1" t="s">
        <v>103</v>
      </c>
      <c r="H17" s="1" t="s">
        <v>25</v>
      </c>
      <c r="I17" s="1" t="s">
        <v>26</v>
      </c>
      <c r="J17" s="1" t="s">
        <v>104</v>
      </c>
      <c r="K17" s="1" t="s">
        <v>28</v>
      </c>
      <c r="L17" s="1">
        <v>77340</v>
      </c>
      <c r="M17" s="1" t="s">
        <v>29</v>
      </c>
      <c r="N17" s="1" t="s">
        <v>108</v>
      </c>
      <c r="O17" s="1" t="s">
        <v>31</v>
      </c>
      <c r="P17" s="1" t="s">
        <v>41</v>
      </c>
      <c r="Q17" s="1" t="s">
        <v>109</v>
      </c>
      <c r="R17" s="1">
        <v>10.429999999999998</v>
      </c>
      <c r="S17" s="1">
        <v>7</v>
      </c>
      <c r="T17" s="1">
        <v>0.8</v>
      </c>
      <c r="U17" s="1">
        <v>-18.252500000000005</v>
      </c>
    </row>
    <row r="18" spans="1:21" ht="15.75" x14ac:dyDescent="0.25">
      <c r="A18" s="1">
        <v>17</v>
      </c>
      <c r="B18" s="2" t="s">
        <v>110</v>
      </c>
      <c r="C18" s="3">
        <v>44935</v>
      </c>
      <c r="D18" s="3">
        <v>44939</v>
      </c>
      <c r="E18" s="1" t="s">
        <v>22</v>
      </c>
      <c r="F18" s="1" t="s">
        <v>111</v>
      </c>
      <c r="G18" s="1" t="s">
        <v>112</v>
      </c>
      <c r="H18" s="1" t="s">
        <v>25</v>
      </c>
      <c r="I18" s="1" t="s">
        <v>26</v>
      </c>
      <c r="J18" s="1" t="s">
        <v>113</v>
      </c>
      <c r="K18" s="1" t="s">
        <v>28</v>
      </c>
      <c r="L18" s="1">
        <v>78041</v>
      </c>
      <c r="M18" s="1" t="s">
        <v>29</v>
      </c>
      <c r="N18" s="1" t="s">
        <v>114</v>
      </c>
      <c r="O18" s="1" t="s">
        <v>31</v>
      </c>
      <c r="P18" s="1" t="s">
        <v>56</v>
      </c>
      <c r="Q18" s="1" t="s">
        <v>115</v>
      </c>
      <c r="R18" s="1">
        <v>9.3439999999999994</v>
      </c>
      <c r="S18" s="1">
        <v>2</v>
      </c>
      <c r="T18" s="1">
        <v>0.2</v>
      </c>
      <c r="U18" s="1">
        <v>1.1679999999999997</v>
      </c>
    </row>
    <row r="19" spans="1:21" ht="15.75" x14ac:dyDescent="0.25">
      <c r="A19" s="1">
        <v>18</v>
      </c>
      <c r="B19" s="2" t="s">
        <v>110</v>
      </c>
      <c r="C19" s="3">
        <v>44935</v>
      </c>
      <c r="D19" s="3">
        <v>44939</v>
      </c>
      <c r="E19" s="1" t="s">
        <v>22</v>
      </c>
      <c r="F19" s="1" t="s">
        <v>111</v>
      </c>
      <c r="G19" s="1" t="s">
        <v>112</v>
      </c>
      <c r="H19" s="1" t="s">
        <v>25</v>
      </c>
      <c r="I19" s="1" t="s">
        <v>26</v>
      </c>
      <c r="J19" s="1" t="s">
        <v>113</v>
      </c>
      <c r="K19" s="1" t="s">
        <v>28</v>
      </c>
      <c r="L19" s="1">
        <v>78041</v>
      </c>
      <c r="M19" s="1" t="s">
        <v>29</v>
      </c>
      <c r="N19" s="1" t="s">
        <v>116</v>
      </c>
      <c r="O19" s="1" t="s">
        <v>96</v>
      </c>
      <c r="P19" s="1" t="s">
        <v>117</v>
      </c>
      <c r="Q19" s="1" t="s">
        <v>118</v>
      </c>
      <c r="R19" s="1">
        <v>31.200000000000003</v>
      </c>
      <c r="S19" s="1">
        <v>3</v>
      </c>
      <c r="T19" s="1">
        <v>0.2</v>
      </c>
      <c r="U19" s="1">
        <v>9.7499999999999964</v>
      </c>
    </row>
    <row r="20" spans="1:21" ht="15.75" x14ac:dyDescent="0.25">
      <c r="A20" s="1">
        <v>19</v>
      </c>
      <c r="B20" s="2" t="s">
        <v>119</v>
      </c>
      <c r="C20" s="3">
        <v>44936</v>
      </c>
      <c r="D20" s="3">
        <v>44941</v>
      </c>
      <c r="E20" s="1" t="s">
        <v>22</v>
      </c>
      <c r="F20" s="1" t="s">
        <v>120</v>
      </c>
      <c r="G20" s="1" t="s">
        <v>121</v>
      </c>
      <c r="H20" s="1" t="s">
        <v>74</v>
      </c>
      <c r="I20" s="1" t="s">
        <v>26</v>
      </c>
      <c r="J20" s="1" t="s">
        <v>122</v>
      </c>
      <c r="K20" s="1" t="s">
        <v>123</v>
      </c>
      <c r="L20" s="1">
        <v>22153</v>
      </c>
      <c r="M20" s="1" t="s">
        <v>63</v>
      </c>
      <c r="N20" s="1" t="s">
        <v>124</v>
      </c>
      <c r="O20" s="1" t="s">
        <v>65</v>
      </c>
      <c r="P20" s="1" t="s">
        <v>106</v>
      </c>
      <c r="Q20" s="1" t="s">
        <v>125</v>
      </c>
      <c r="R20" s="1">
        <v>51.94</v>
      </c>
      <c r="S20" s="1">
        <v>1</v>
      </c>
      <c r="T20" s="1">
        <v>0</v>
      </c>
      <c r="U20" s="1">
        <v>21.295400000000001</v>
      </c>
    </row>
    <row r="21" spans="1:21" ht="15.75" x14ac:dyDescent="0.25">
      <c r="A21" s="1">
        <v>20</v>
      </c>
      <c r="B21" s="2" t="s">
        <v>119</v>
      </c>
      <c r="C21" s="3">
        <v>44936</v>
      </c>
      <c r="D21" s="3">
        <v>44941</v>
      </c>
      <c r="E21" s="1" t="s">
        <v>22</v>
      </c>
      <c r="F21" s="1" t="s">
        <v>120</v>
      </c>
      <c r="G21" s="1" t="s">
        <v>121</v>
      </c>
      <c r="H21" s="1" t="s">
        <v>74</v>
      </c>
      <c r="I21" s="1" t="s">
        <v>26</v>
      </c>
      <c r="J21" s="1" t="s">
        <v>122</v>
      </c>
      <c r="K21" s="1" t="s">
        <v>123</v>
      </c>
      <c r="L21" s="1">
        <v>22153</v>
      </c>
      <c r="M21" s="1" t="s">
        <v>63</v>
      </c>
      <c r="N21" s="1" t="s">
        <v>126</v>
      </c>
      <c r="O21" s="1" t="s">
        <v>31</v>
      </c>
      <c r="P21" s="1" t="s">
        <v>44</v>
      </c>
      <c r="Q21" s="1" t="s">
        <v>127</v>
      </c>
      <c r="R21" s="1">
        <v>2.89</v>
      </c>
      <c r="S21" s="1">
        <v>1</v>
      </c>
      <c r="T21" s="1">
        <v>0</v>
      </c>
      <c r="U21" s="1">
        <v>1.3583000000000001</v>
      </c>
    </row>
    <row r="22" spans="1:21" ht="15.75" x14ac:dyDescent="0.25">
      <c r="A22" s="1">
        <v>21</v>
      </c>
      <c r="B22" s="2" t="s">
        <v>128</v>
      </c>
      <c r="C22" s="3">
        <v>44937</v>
      </c>
      <c r="D22" s="3">
        <v>44940</v>
      </c>
      <c r="E22" s="1" t="s">
        <v>71</v>
      </c>
      <c r="F22" s="1" t="s">
        <v>129</v>
      </c>
      <c r="G22" s="1" t="s">
        <v>130</v>
      </c>
      <c r="H22" s="1" t="s">
        <v>25</v>
      </c>
      <c r="I22" s="1" t="s">
        <v>26</v>
      </c>
      <c r="J22" s="1" t="s">
        <v>131</v>
      </c>
      <c r="K22" s="1" t="s">
        <v>132</v>
      </c>
      <c r="L22" s="1">
        <v>19901</v>
      </c>
      <c r="M22" s="1" t="s">
        <v>54</v>
      </c>
      <c r="N22" s="1" t="s">
        <v>133</v>
      </c>
      <c r="O22" s="1" t="s">
        <v>65</v>
      </c>
      <c r="P22" s="1" t="s">
        <v>106</v>
      </c>
      <c r="Q22" s="1" t="s">
        <v>134</v>
      </c>
      <c r="R22" s="1">
        <v>9.94</v>
      </c>
      <c r="S22" s="1">
        <v>2</v>
      </c>
      <c r="T22" s="1">
        <v>0</v>
      </c>
      <c r="U22" s="1">
        <v>3.0813999999999995</v>
      </c>
    </row>
    <row r="23" spans="1:21" ht="15.75" x14ac:dyDescent="0.25">
      <c r="A23" s="1">
        <v>22</v>
      </c>
      <c r="B23" s="2" t="s">
        <v>135</v>
      </c>
      <c r="C23" s="3">
        <v>44939</v>
      </c>
      <c r="D23" s="3">
        <v>44944</v>
      </c>
      <c r="E23" s="1" t="s">
        <v>22</v>
      </c>
      <c r="F23" s="1" t="s">
        <v>136</v>
      </c>
      <c r="G23" s="1" t="s">
        <v>137</v>
      </c>
      <c r="H23" s="1" t="s">
        <v>25</v>
      </c>
      <c r="I23" s="1" t="s">
        <v>26</v>
      </c>
      <c r="J23" s="1" t="s">
        <v>138</v>
      </c>
      <c r="K23" s="1" t="s">
        <v>91</v>
      </c>
      <c r="L23" s="1">
        <v>94109</v>
      </c>
      <c r="M23" s="1" t="s">
        <v>92</v>
      </c>
      <c r="N23" s="1" t="s">
        <v>139</v>
      </c>
      <c r="O23" s="1" t="s">
        <v>65</v>
      </c>
      <c r="P23" s="1" t="s">
        <v>140</v>
      </c>
      <c r="Q23" s="1" t="s">
        <v>141</v>
      </c>
      <c r="R23" s="1">
        <v>333.99899999999997</v>
      </c>
      <c r="S23" s="1">
        <v>3</v>
      </c>
      <c r="T23" s="1">
        <v>0.15</v>
      </c>
      <c r="U23" s="1">
        <v>3.9294000000000082</v>
      </c>
    </row>
    <row r="24" spans="1:21" ht="15.75" x14ac:dyDescent="0.25">
      <c r="A24" s="1">
        <v>23</v>
      </c>
      <c r="B24" s="2" t="s">
        <v>142</v>
      </c>
      <c r="C24" s="3">
        <v>44939</v>
      </c>
      <c r="D24" s="3">
        <v>44942</v>
      </c>
      <c r="E24" s="1" t="s">
        <v>87</v>
      </c>
      <c r="F24" s="1" t="s">
        <v>143</v>
      </c>
      <c r="G24" s="1" t="s">
        <v>144</v>
      </c>
      <c r="H24" s="1" t="s">
        <v>25</v>
      </c>
      <c r="I24" s="1" t="s">
        <v>26</v>
      </c>
      <c r="J24" s="1" t="s">
        <v>145</v>
      </c>
      <c r="K24" s="1" t="s">
        <v>146</v>
      </c>
      <c r="L24" s="1">
        <v>29464</v>
      </c>
      <c r="M24" s="1" t="s">
        <v>63</v>
      </c>
      <c r="N24" s="1" t="s">
        <v>147</v>
      </c>
      <c r="O24" s="1" t="s">
        <v>65</v>
      </c>
      <c r="P24" s="1" t="s">
        <v>66</v>
      </c>
      <c r="Q24" s="1" t="s">
        <v>148</v>
      </c>
      <c r="R24" s="1">
        <v>545.93999999999994</v>
      </c>
      <c r="S24" s="1">
        <v>6</v>
      </c>
      <c r="T24" s="1">
        <v>0</v>
      </c>
      <c r="U24" s="1">
        <v>87.350400000000036</v>
      </c>
    </row>
    <row r="25" spans="1:21" ht="15.75" x14ac:dyDescent="0.25">
      <c r="A25" s="1">
        <v>24</v>
      </c>
      <c r="B25" s="2" t="s">
        <v>135</v>
      </c>
      <c r="C25" s="3">
        <v>44939</v>
      </c>
      <c r="D25" s="3">
        <v>44944</v>
      </c>
      <c r="E25" s="1" t="s">
        <v>22</v>
      </c>
      <c r="F25" s="1" t="s">
        <v>136</v>
      </c>
      <c r="G25" s="1" t="s">
        <v>137</v>
      </c>
      <c r="H25" s="1" t="s">
        <v>25</v>
      </c>
      <c r="I25" s="1" t="s">
        <v>26</v>
      </c>
      <c r="J25" s="1" t="s">
        <v>138</v>
      </c>
      <c r="K25" s="1" t="s">
        <v>91</v>
      </c>
      <c r="L25" s="1">
        <v>94109</v>
      </c>
      <c r="M25" s="1" t="s">
        <v>92</v>
      </c>
      <c r="N25" s="1" t="s">
        <v>149</v>
      </c>
      <c r="O25" s="1" t="s">
        <v>31</v>
      </c>
      <c r="P25" s="1" t="s">
        <v>56</v>
      </c>
      <c r="Q25" s="1" t="s">
        <v>150</v>
      </c>
      <c r="R25" s="1">
        <v>19.899999999999999</v>
      </c>
      <c r="S25" s="1">
        <v>5</v>
      </c>
      <c r="T25" s="1">
        <v>0</v>
      </c>
      <c r="U25" s="1">
        <v>6.5669999999999984</v>
      </c>
    </row>
    <row r="26" spans="1:21" ht="15.75" x14ac:dyDescent="0.25">
      <c r="A26" s="1">
        <v>25</v>
      </c>
      <c r="B26" s="2" t="s">
        <v>151</v>
      </c>
      <c r="C26" s="3">
        <v>44939</v>
      </c>
      <c r="D26" s="3">
        <v>44944</v>
      </c>
      <c r="E26" s="1" t="s">
        <v>22</v>
      </c>
      <c r="F26" s="1" t="s">
        <v>152</v>
      </c>
      <c r="G26" s="1" t="s">
        <v>153</v>
      </c>
      <c r="H26" s="1" t="s">
        <v>25</v>
      </c>
      <c r="I26" s="1" t="s">
        <v>26</v>
      </c>
      <c r="J26" s="1" t="s">
        <v>154</v>
      </c>
      <c r="K26" s="1" t="s">
        <v>155</v>
      </c>
      <c r="L26" s="1">
        <v>43055</v>
      </c>
      <c r="M26" s="1" t="s">
        <v>54</v>
      </c>
      <c r="N26" s="1" t="s">
        <v>156</v>
      </c>
      <c r="O26" s="1" t="s">
        <v>31</v>
      </c>
      <c r="P26" s="1" t="s">
        <v>41</v>
      </c>
      <c r="Q26" s="1" t="s">
        <v>157</v>
      </c>
      <c r="R26" s="1">
        <v>3.4380000000000006</v>
      </c>
      <c r="S26" s="1">
        <v>2</v>
      </c>
      <c r="T26" s="1">
        <v>0.7</v>
      </c>
      <c r="U26" s="1">
        <v>-2.5212000000000003</v>
      </c>
    </row>
    <row r="27" spans="1:21" ht="15.75" x14ac:dyDescent="0.25">
      <c r="A27" s="1">
        <v>26</v>
      </c>
      <c r="B27" s="2" t="s">
        <v>158</v>
      </c>
      <c r="C27" s="3">
        <v>44939</v>
      </c>
      <c r="D27" s="3">
        <v>44941</v>
      </c>
      <c r="E27" s="1" t="s">
        <v>87</v>
      </c>
      <c r="F27" s="1" t="s">
        <v>159</v>
      </c>
      <c r="G27" s="1" t="s">
        <v>160</v>
      </c>
      <c r="H27" s="1" t="s">
        <v>74</v>
      </c>
      <c r="I27" s="1" t="s">
        <v>26</v>
      </c>
      <c r="J27" s="1" t="s">
        <v>161</v>
      </c>
      <c r="K27" s="1" t="s">
        <v>162</v>
      </c>
      <c r="L27" s="1">
        <v>71111</v>
      </c>
      <c r="M27" s="1" t="s">
        <v>63</v>
      </c>
      <c r="N27" s="1" t="s">
        <v>163</v>
      </c>
      <c r="O27" s="1" t="s">
        <v>31</v>
      </c>
      <c r="P27" s="1" t="s">
        <v>41</v>
      </c>
      <c r="Q27" s="1" t="s">
        <v>164</v>
      </c>
      <c r="R27" s="1">
        <v>5.64</v>
      </c>
      <c r="S27" s="1">
        <v>3</v>
      </c>
      <c r="T27" s="1">
        <v>0</v>
      </c>
      <c r="U27" s="1">
        <v>2.7071999999999994</v>
      </c>
    </row>
    <row r="28" spans="1:21" ht="15.75" x14ac:dyDescent="0.25">
      <c r="A28" s="1">
        <v>27</v>
      </c>
      <c r="B28" s="2" t="s">
        <v>158</v>
      </c>
      <c r="C28" s="3">
        <v>44939</v>
      </c>
      <c r="D28" s="3">
        <v>44941</v>
      </c>
      <c r="E28" s="1" t="s">
        <v>87</v>
      </c>
      <c r="F28" s="1" t="s">
        <v>159</v>
      </c>
      <c r="G28" s="1" t="s">
        <v>160</v>
      </c>
      <c r="H28" s="1" t="s">
        <v>74</v>
      </c>
      <c r="I28" s="1" t="s">
        <v>26</v>
      </c>
      <c r="J28" s="1" t="s">
        <v>161</v>
      </c>
      <c r="K28" s="1" t="s">
        <v>162</v>
      </c>
      <c r="L28" s="1">
        <v>71111</v>
      </c>
      <c r="M28" s="1" t="s">
        <v>63</v>
      </c>
      <c r="N28" s="1" t="s">
        <v>165</v>
      </c>
      <c r="O28" s="1" t="s">
        <v>31</v>
      </c>
      <c r="P28" s="1" t="s">
        <v>166</v>
      </c>
      <c r="Q28" s="1" t="s">
        <v>167</v>
      </c>
      <c r="R28" s="1">
        <v>50.94</v>
      </c>
      <c r="S28" s="1">
        <v>3</v>
      </c>
      <c r="T28" s="1">
        <v>0</v>
      </c>
      <c r="U28" s="1">
        <v>25.47</v>
      </c>
    </row>
    <row r="29" spans="1:21" ht="15.75" x14ac:dyDescent="0.25">
      <c r="A29" s="1">
        <v>28</v>
      </c>
      <c r="B29" s="2" t="s">
        <v>158</v>
      </c>
      <c r="C29" s="3">
        <v>44939</v>
      </c>
      <c r="D29" s="3">
        <v>44941</v>
      </c>
      <c r="E29" s="1" t="s">
        <v>87</v>
      </c>
      <c r="F29" s="1" t="s">
        <v>159</v>
      </c>
      <c r="G29" s="1" t="s">
        <v>160</v>
      </c>
      <c r="H29" s="1" t="s">
        <v>74</v>
      </c>
      <c r="I29" s="1" t="s">
        <v>26</v>
      </c>
      <c r="J29" s="1" t="s">
        <v>161</v>
      </c>
      <c r="K29" s="1" t="s">
        <v>162</v>
      </c>
      <c r="L29" s="1">
        <v>71111</v>
      </c>
      <c r="M29" s="1" t="s">
        <v>63</v>
      </c>
      <c r="N29" s="1" t="s">
        <v>168</v>
      </c>
      <c r="O29" s="1" t="s">
        <v>31</v>
      </c>
      <c r="P29" s="1" t="s">
        <v>166</v>
      </c>
      <c r="Q29" s="1" t="s">
        <v>169</v>
      </c>
      <c r="R29" s="1">
        <v>11.36</v>
      </c>
      <c r="S29" s="1">
        <v>2</v>
      </c>
      <c r="T29" s="1">
        <v>0</v>
      </c>
      <c r="U29" s="1">
        <v>5.3391999999999991</v>
      </c>
    </row>
    <row r="30" spans="1:21" ht="15.75" x14ac:dyDescent="0.25">
      <c r="A30" s="1">
        <v>29</v>
      </c>
      <c r="B30" s="2" t="s">
        <v>151</v>
      </c>
      <c r="C30" s="3">
        <v>44939</v>
      </c>
      <c r="D30" s="3">
        <v>44944</v>
      </c>
      <c r="E30" s="1" t="s">
        <v>22</v>
      </c>
      <c r="F30" s="1" t="s">
        <v>152</v>
      </c>
      <c r="G30" s="1" t="s">
        <v>153</v>
      </c>
      <c r="H30" s="1" t="s">
        <v>25</v>
      </c>
      <c r="I30" s="1" t="s">
        <v>26</v>
      </c>
      <c r="J30" s="1" t="s">
        <v>154</v>
      </c>
      <c r="K30" s="1" t="s">
        <v>155</v>
      </c>
      <c r="L30" s="1">
        <v>43055</v>
      </c>
      <c r="M30" s="1" t="s">
        <v>54</v>
      </c>
      <c r="N30" s="1" t="s">
        <v>170</v>
      </c>
      <c r="O30" s="1" t="s">
        <v>31</v>
      </c>
      <c r="P30" s="1" t="s">
        <v>32</v>
      </c>
      <c r="Q30" s="1" t="s">
        <v>171</v>
      </c>
      <c r="R30" s="1">
        <v>37.408000000000001</v>
      </c>
      <c r="S30" s="1">
        <v>7</v>
      </c>
      <c r="T30" s="1">
        <v>0.2</v>
      </c>
      <c r="U30" s="1">
        <v>13.0928</v>
      </c>
    </row>
    <row r="31" spans="1:21" ht="15.75" x14ac:dyDescent="0.25">
      <c r="A31" s="1">
        <v>30</v>
      </c>
      <c r="B31" s="2" t="s">
        <v>158</v>
      </c>
      <c r="C31" s="3">
        <v>44939</v>
      </c>
      <c r="D31" s="3">
        <v>44941</v>
      </c>
      <c r="E31" s="1" t="s">
        <v>87</v>
      </c>
      <c r="F31" s="1" t="s">
        <v>159</v>
      </c>
      <c r="G31" s="1" t="s">
        <v>160</v>
      </c>
      <c r="H31" s="1" t="s">
        <v>74</v>
      </c>
      <c r="I31" s="1" t="s">
        <v>26</v>
      </c>
      <c r="J31" s="1" t="s">
        <v>161</v>
      </c>
      <c r="K31" s="1" t="s">
        <v>162</v>
      </c>
      <c r="L31" s="1">
        <v>71111</v>
      </c>
      <c r="M31" s="1" t="s">
        <v>63</v>
      </c>
      <c r="N31" s="1" t="s">
        <v>172</v>
      </c>
      <c r="O31" s="1" t="s">
        <v>31</v>
      </c>
      <c r="P31" s="1" t="s">
        <v>47</v>
      </c>
      <c r="Q31" s="1" t="s">
        <v>173</v>
      </c>
      <c r="R31" s="1">
        <v>572.58000000000004</v>
      </c>
      <c r="S31" s="1">
        <v>6</v>
      </c>
      <c r="T31" s="1">
        <v>0</v>
      </c>
      <c r="U31" s="1">
        <v>34.354799999999955</v>
      </c>
    </row>
    <row r="32" spans="1:21" ht="15.75" x14ac:dyDescent="0.25">
      <c r="A32" s="1">
        <v>31</v>
      </c>
      <c r="B32" s="2" t="s">
        <v>135</v>
      </c>
      <c r="C32" s="3">
        <v>44939</v>
      </c>
      <c r="D32" s="3">
        <v>44944</v>
      </c>
      <c r="E32" s="1" t="s">
        <v>22</v>
      </c>
      <c r="F32" s="1" t="s">
        <v>136</v>
      </c>
      <c r="G32" s="1" t="s">
        <v>137</v>
      </c>
      <c r="H32" s="1" t="s">
        <v>25</v>
      </c>
      <c r="I32" s="1" t="s">
        <v>26</v>
      </c>
      <c r="J32" s="1" t="s">
        <v>138</v>
      </c>
      <c r="K32" s="1" t="s">
        <v>91</v>
      </c>
      <c r="L32" s="1">
        <v>94109</v>
      </c>
      <c r="M32" s="1" t="s">
        <v>92</v>
      </c>
      <c r="N32" s="1" t="s">
        <v>174</v>
      </c>
      <c r="O32" s="1" t="s">
        <v>31</v>
      </c>
      <c r="P32" s="1" t="s">
        <v>47</v>
      </c>
      <c r="Q32" s="1" t="s">
        <v>175</v>
      </c>
      <c r="R32" s="1">
        <v>1325.8500000000001</v>
      </c>
      <c r="S32" s="1">
        <v>5</v>
      </c>
      <c r="T32" s="1">
        <v>0</v>
      </c>
      <c r="U32" s="1">
        <v>238.65299999999991</v>
      </c>
    </row>
    <row r="33" spans="1:21" ht="15.75" x14ac:dyDescent="0.25">
      <c r="A33" s="1">
        <v>32</v>
      </c>
      <c r="B33" s="2" t="s">
        <v>158</v>
      </c>
      <c r="C33" s="3">
        <v>44939</v>
      </c>
      <c r="D33" s="3">
        <v>44941</v>
      </c>
      <c r="E33" s="1" t="s">
        <v>87</v>
      </c>
      <c r="F33" s="1" t="s">
        <v>159</v>
      </c>
      <c r="G33" s="1" t="s">
        <v>160</v>
      </c>
      <c r="H33" s="1" t="s">
        <v>74</v>
      </c>
      <c r="I33" s="1" t="s">
        <v>26</v>
      </c>
      <c r="J33" s="1" t="s">
        <v>161</v>
      </c>
      <c r="K33" s="1" t="s">
        <v>162</v>
      </c>
      <c r="L33" s="1">
        <v>71111</v>
      </c>
      <c r="M33" s="1" t="s">
        <v>63</v>
      </c>
      <c r="N33" s="1" t="s">
        <v>176</v>
      </c>
      <c r="O33" s="1" t="s">
        <v>96</v>
      </c>
      <c r="P33" s="1" t="s">
        <v>117</v>
      </c>
      <c r="Q33" s="1" t="s">
        <v>177</v>
      </c>
      <c r="R33" s="1">
        <v>646.74</v>
      </c>
      <c r="S33" s="1">
        <v>6</v>
      </c>
      <c r="T33" s="1">
        <v>0</v>
      </c>
      <c r="U33" s="1">
        <v>258.69600000000003</v>
      </c>
    </row>
    <row r="34" spans="1:21" ht="15.75" x14ac:dyDescent="0.25">
      <c r="A34" s="1">
        <v>33</v>
      </c>
      <c r="B34" s="2" t="s">
        <v>178</v>
      </c>
      <c r="C34" s="3">
        <v>44940</v>
      </c>
      <c r="D34" s="3">
        <v>44941</v>
      </c>
      <c r="E34" s="1" t="s">
        <v>71</v>
      </c>
      <c r="F34" s="1" t="s">
        <v>179</v>
      </c>
      <c r="G34" s="1" t="s">
        <v>180</v>
      </c>
      <c r="H34" s="1" t="s">
        <v>74</v>
      </c>
      <c r="I34" s="1" t="s">
        <v>26</v>
      </c>
      <c r="J34" s="1" t="s">
        <v>52</v>
      </c>
      <c r="K34" s="1" t="s">
        <v>53</v>
      </c>
      <c r="L34" s="1">
        <v>19140</v>
      </c>
      <c r="M34" s="1" t="s">
        <v>54</v>
      </c>
      <c r="N34" s="1" t="s">
        <v>181</v>
      </c>
      <c r="O34" s="1" t="s">
        <v>65</v>
      </c>
      <c r="P34" s="1" t="s">
        <v>140</v>
      </c>
      <c r="Q34" s="1" t="s">
        <v>182</v>
      </c>
      <c r="R34" s="1">
        <v>61.96</v>
      </c>
      <c r="S34" s="1">
        <v>4</v>
      </c>
      <c r="T34" s="1">
        <v>0.5</v>
      </c>
      <c r="U34" s="1">
        <v>-53.285600000000009</v>
      </c>
    </row>
    <row r="35" spans="1:21" ht="15.75" x14ac:dyDescent="0.25">
      <c r="A35" s="1">
        <v>34</v>
      </c>
      <c r="B35" s="2" t="s">
        <v>183</v>
      </c>
      <c r="C35" s="3">
        <v>44941</v>
      </c>
      <c r="D35" s="3">
        <v>44943</v>
      </c>
      <c r="E35" s="1" t="s">
        <v>71</v>
      </c>
      <c r="F35" s="1" t="s">
        <v>184</v>
      </c>
      <c r="G35" s="1" t="s">
        <v>185</v>
      </c>
      <c r="H35" s="1" t="s">
        <v>25</v>
      </c>
      <c r="I35" s="1" t="s">
        <v>26</v>
      </c>
      <c r="J35" s="1" t="s">
        <v>186</v>
      </c>
      <c r="K35" s="1" t="s">
        <v>76</v>
      </c>
      <c r="L35" s="1">
        <v>30076</v>
      </c>
      <c r="M35" s="1" t="s">
        <v>63</v>
      </c>
      <c r="N35" s="1" t="s">
        <v>187</v>
      </c>
      <c r="O35" s="1" t="s">
        <v>96</v>
      </c>
      <c r="P35" s="1" t="s">
        <v>117</v>
      </c>
      <c r="Q35" s="1" t="s">
        <v>188</v>
      </c>
      <c r="R35" s="1">
        <v>149.94999999999999</v>
      </c>
      <c r="S35" s="1">
        <v>5</v>
      </c>
      <c r="T35" s="1">
        <v>0</v>
      </c>
      <c r="U35" s="1">
        <v>65.978000000000009</v>
      </c>
    </row>
    <row r="36" spans="1:21" ht="15.75" x14ac:dyDescent="0.25">
      <c r="A36" s="1">
        <v>35</v>
      </c>
      <c r="B36" s="2" t="s">
        <v>189</v>
      </c>
      <c r="C36" s="3">
        <v>44942</v>
      </c>
      <c r="D36" s="3">
        <v>44944</v>
      </c>
      <c r="E36" s="1" t="s">
        <v>87</v>
      </c>
      <c r="F36" s="1" t="s">
        <v>190</v>
      </c>
      <c r="G36" s="1" t="s">
        <v>191</v>
      </c>
      <c r="H36" s="1" t="s">
        <v>25</v>
      </c>
      <c r="I36" s="1" t="s">
        <v>26</v>
      </c>
      <c r="J36" s="1" t="s">
        <v>52</v>
      </c>
      <c r="K36" s="1" t="s">
        <v>53</v>
      </c>
      <c r="L36" s="1">
        <v>19134</v>
      </c>
      <c r="M36" s="1" t="s">
        <v>54</v>
      </c>
      <c r="N36" s="1" t="s">
        <v>192</v>
      </c>
      <c r="O36" s="1" t="s">
        <v>65</v>
      </c>
      <c r="P36" s="1" t="s">
        <v>106</v>
      </c>
      <c r="Q36" s="1" t="s">
        <v>193</v>
      </c>
      <c r="R36" s="1">
        <v>127.10400000000001</v>
      </c>
      <c r="S36" s="1">
        <v>6</v>
      </c>
      <c r="T36" s="1">
        <v>0.2</v>
      </c>
      <c r="U36" s="1">
        <v>28.598399999999998</v>
      </c>
    </row>
    <row r="37" spans="1:21" ht="15.75" x14ac:dyDescent="0.25">
      <c r="A37" s="1">
        <v>36</v>
      </c>
      <c r="B37" s="2" t="s">
        <v>189</v>
      </c>
      <c r="C37" s="3">
        <v>44942</v>
      </c>
      <c r="D37" s="3">
        <v>44944</v>
      </c>
      <c r="E37" s="1" t="s">
        <v>87</v>
      </c>
      <c r="F37" s="1" t="s">
        <v>190</v>
      </c>
      <c r="G37" s="1" t="s">
        <v>191</v>
      </c>
      <c r="H37" s="1" t="s">
        <v>25</v>
      </c>
      <c r="I37" s="1" t="s">
        <v>26</v>
      </c>
      <c r="J37" s="1" t="s">
        <v>52</v>
      </c>
      <c r="K37" s="1" t="s">
        <v>53</v>
      </c>
      <c r="L37" s="1">
        <v>19134</v>
      </c>
      <c r="M37" s="1" t="s">
        <v>54</v>
      </c>
      <c r="N37" s="1" t="s">
        <v>194</v>
      </c>
      <c r="O37" s="1" t="s">
        <v>31</v>
      </c>
      <c r="P37" s="1" t="s">
        <v>41</v>
      </c>
      <c r="Q37" s="1" t="s">
        <v>195</v>
      </c>
      <c r="R37" s="1">
        <v>18.588000000000005</v>
      </c>
      <c r="S37" s="1">
        <v>2</v>
      </c>
      <c r="T37" s="1">
        <v>0.7</v>
      </c>
      <c r="U37" s="1">
        <v>-13.6312</v>
      </c>
    </row>
    <row r="38" spans="1:21" ht="15.75" x14ac:dyDescent="0.25">
      <c r="A38" s="1">
        <v>37</v>
      </c>
      <c r="B38" s="2" t="s">
        <v>189</v>
      </c>
      <c r="C38" s="3">
        <v>44942</v>
      </c>
      <c r="D38" s="3">
        <v>44944</v>
      </c>
      <c r="E38" s="1" t="s">
        <v>87</v>
      </c>
      <c r="F38" s="1" t="s">
        <v>190</v>
      </c>
      <c r="G38" s="1" t="s">
        <v>191</v>
      </c>
      <c r="H38" s="1" t="s">
        <v>25</v>
      </c>
      <c r="I38" s="1" t="s">
        <v>26</v>
      </c>
      <c r="J38" s="1" t="s">
        <v>52</v>
      </c>
      <c r="K38" s="1" t="s">
        <v>53</v>
      </c>
      <c r="L38" s="1">
        <v>19134</v>
      </c>
      <c r="M38" s="1" t="s">
        <v>54</v>
      </c>
      <c r="N38" s="1" t="s">
        <v>196</v>
      </c>
      <c r="O38" s="1" t="s">
        <v>31</v>
      </c>
      <c r="P38" s="1" t="s">
        <v>44</v>
      </c>
      <c r="Q38" s="1" t="s">
        <v>197</v>
      </c>
      <c r="R38" s="1">
        <v>30.072000000000003</v>
      </c>
      <c r="S38" s="1">
        <v>3</v>
      </c>
      <c r="T38" s="1">
        <v>0.2</v>
      </c>
      <c r="U38" s="1">
        <v>10.149299999999997</v>
      </c>
    </row>
    <row r="39" spans="1:21" ht="15.75" x14ac:dyDescent="0.25">
      <c r="A39" s="1">
        <v>38</v>
      </c>
      <c r="B39" s="2" t="s">
        <v>189</v>
      </c>
      <c r="C39" s="3">
        <v>44942</v>
      </c>
      <c r="D39" s="3">
        <v>44944</v>
      </c>
      <c r="E39" s="1" t="s">
        <v>87</v>
      </c>
      <c r="F39" s="1" t="s">
        <v>190</v>
      </c>
      <c r="G39" s="1" t="s">
        <v>191</v>
      </c>
      <c r="H39" s="1" t="s">
        <v>25</v>
      </c>
      <c r="I39" s="1" t="s">
        <v>26</v>
      </c>
      <c r="J39" s="1" t="s">
        <v>52</v>
      </c>
      <c r="K39" s="1" t="s">
        <v>53</v>
      </c>
      <c r="L39" s="1">
        <v>19134</v>
      </c>
      <c r="M39" s="1" t="s">
        <v>54</v>
      </c>
      <c r="N39" s="1" t="s">
        <v>198</v>
      </c>
      <c r="O39" s="1" t="s">
        <v>96</v>
      </c>
      <c r="P39" s="1" t="s">
        <v>97</v>
      </c>
      <c r="Q39" s="1" t="s">
        <v>199</v>
      </c>
      <c r="R39" s="1">
        <v>124.19999999999999</v>
      </c>
      <c r="S39" s="1">
        <v>3</v>
      </c>
      <c r="T39" s="1">
        <v>0.4</v>
      </c>
      <c r="U39" s="1">
        <v>-31.050000000000011</v>
      </c>
    </row>
    <row r="40" spans="1:21" ht="15.75" x14ac:dyDescent="0.25">
      <c r="A40" s="1">
        <v>39</v>
      </c>
      <c r="B40" s="2" t="s">
        <v>200</v>
      </c>
      <c r="C40" s="3">
        <v>44944</v>
      </c>
      <c r="D40" s="3">
        <v>44947</v>
      </c>
      <c r="E40" s="1" t="s">
        <v>87</v>
      </c>
      <c r="F40" s="1" t="s">
        <v>201</v>
      </c>
      <c r="G40" s="1" t="s">
        <v>202</v>
      </c>
      <c r="H40" s="1" t="s">
        <v>74</v>
      </c>
      <c r="I40" s="1" t="s">
        <v>26</v>
      </c>
      <c r="J40" s="1" t="s">
        <v>122</v>
      </c>
      <c r="K40" s="1" t="s">
        <v>203</v>
      </c>
      <c r="L40" s="1">
        <v>97477</v>
      </c>
      <c r="M40" s="1" t="s">
        <v>92</v>
      </c>
      <c r="N40" s="1" t="s">
        <v>204</v>
      </c>
      <c r="O40" s="1" t="s">
        <v>31</v>
      </c>
      <c r="P40" s="1" t="s">
        <v>205</v>
      </c>
      <c r="Q40" s="1" t="s">
        <v>206</v>
      </c>
      <c r="R40" s="1">
        <v>64.864000000000004</v>
      </c>
      <c r="S40" s="1">
        <v>4</v>
      </c>
      <c r="T40" s="1">
        <v>0.2</v>
      </c>
      <c r="U40" s="1">
        <v>6.4864000000000033</v>
      </c>
    </row>
    <row r="41" spans="1:21" ht="15.75" x14ac:dyDescent="0.25">
      <c r="A41" s="1">
        <v>40</v>
      </c>
      <c r="B41" s="2" t="s">
        <v>207</v>
      </c>
      <c r="C41" s="3">
        <v>44945</v>
      </c>
      <c r="D41" s="3">
        <v>44946</v>
      </c>
      <c r="E41" s="1" t="s">
        <v>71</v>
      </c>
      <c r="F41" s="1" t="s">
        <v>208</v>
      </c>
      <c r="G41" s="1" t="s">
        <v>209</v>
      </c>
      <c r="H41" s="1" t="s">
        <v>25</v>
      </c>
      <c r="I41" s="1" t="s">
        <v>26</v>
      </c>
      <c r="J41" s="1" t="s">
        <v>210</v>
      </c>
      <c r="K41" s="1" t="s">
        <v>211</v>
      </c>
      <c r="L41" s="1">
        <v>85254</v>
      </c>
      <c r="M41" s="1" t="s">
        <v>92</v>
      </c>
      <c r="N41" s="1" t="s">
        <v>212</v>
      </c>
      <c r="O41" s="1" t="s">
        <v>65</v>
      </c>
      <c r="P41" s="1" t="s">
        <v>140</v>
      </c>
      <c r="Q41" s="1" t="s">
        <v>213</v>
      </c>
      <c r="R41" s="1">
        <v>181.47000000000003</v>
      </c>
      <c r="S41" s="1">
        <v>5</v>
      </c>
      <c r="T41" s="1">
        <v>0.7</v>
      </c>
      <c r="U41" s="1">
        <v>-320.59699999999998</v>
      </c>
    </row>
    <row r="42" spans="1:21" ht="15.75" x14ac:dyDescent="0.25">
      <c r="A42" s="1">
        <v>41</v>
      </c>
      <c r="B42" s="2" t="s">
        <v>207</v>
      </c>
      <c r="C42" s="3">
        <v>44945</v>
      </c>
      <c r="D42" s="3">
        <v>44946</v>
      </c>
      <c r="E42" s="1" t="s">
        <v>71</v>
      </c>
      <c r="F42" s="1" t="s">
        <v>208</v>
      </c>
      <c r="G42" s="1" t="s">
        <v>209</v>
      </c>
      <c r="H42" s="1" t="s">
        <v>25</v>
      </c>
      <c r="I42" s="1" t="s">
        <v>26</v>
      </c>
      <c r="J42" s="1" t="s">
        <v>210</v>
      </c>
      <c r="K42" s="1" t="s">
        <v>211</v>
      </c>
      <c r="L42" s="1">
        <v>85254</v>
      </c>
      <c r="M42" s="1" t="s">
        <v>92</v>
      </c>
      <c r="N42" s="1" t="s">
        <v>214</v>
      </c>
      <c r="O42" s="1" t="s">
        <v>31</v>
      </c>
      <c r="P42" s="1" t="s">
        <v>41</v>
      </c>
      <c r="Q42" s="1" t="s">
        <v>215</v>
      </c>
      <c r="R42" s="1">
        <v>32.340000000000003</v>
      </c>
      <c r="S42" s="1">
        <v>10</v>
      </c>
      <c r="T42" s="1">
        <v>0.7</v>
      </c>
      <c r="U42" s="1">
        <v>-23.716000000000001</v>
      </c>
    </row>
    <row r="43" spans="1:21" ht="15.75" x14ac:dyDescent="0.25">
      <c r="A43" s="1">
        <v>42</v>
      </c>
      <c r="B43" s="2" t="s">
        <v>207</v>
      </c>
      <c r="C43" s="3">
        <v>44945</v>
      </c>
      <c r="D43" s="3">
        <v>44946</v>
      </c>
      <c r="E43" s="1" t="s">
        <v>71</v>
      </c>
      <c r="F43" s="1" t="s">
        <v>208</v>
      </c>
      <c r="G43" s="1" t="s">
        <v>209</v>
      </c>
      <c r="H43" s="1" t="s">
        <v>25</v>
      </c>
      <c r="I43" s="1" t="s">
        <v>26</v>
      </c>
      <c r="J43" s="1" t="s">
        <v>210</v>
      </c>
      <c r="K43" s="1" t="s">
        <v>211</v>
      </c>
      <c r="L43" s="1">
        <v>85254</v>
      </c>
      <c r="M43" s="1" t="s">
        <v>92</v>
      </c>
      <c r="N43" s="1" t="s">
        <v>216</v>
      </c>
      <c r="O43" s="1" t="s">
        <v>31</v>
      </c>
      <c r="P43" s="1" t="s">
        <v>166</v>
      </c>
      <c r="Q43" s="1" t="s">
        <v>217</v>
      </c>
      <c r="R43" s="1">
        <v>108.72</v>
      </c>
      <c r="S43" s="1">
        <v>5</v>
      </c>
      <c r="T43" s="1">
        <v>0.2</v>
      </c>
      <c r="U43" s="1">
        <v>36.692999999999998</v>
      </c>
    </row>
    <row r="44" spans="1:21" ht="15.75" x14ac:dyDescent="0.25">
      <c r="A44" s="1">
        <v>43</v>
      </c>
      <c r="B44" s="2" t="s">
        <v>207</v>
      </c>
      <c r="C44" s="3">
        <v>44945</v>
      </c>
      <c r="D44" s="3">
        <v>44946</v>
      </c>
      <c r="E44" s="1" t="s">
        <v>71</v>
      </c>
      <c r="F44" s="1" t="s">
        <v>208</v>
      </c>
      <c r="G44" s="1" t="s">
        <v>209</v>
      </c>
      <c r="H44" s="1" t="s">
        <v>25</v>
      </c>
      <c r="I44" s="1" t="s">
        <v>26</v>
      </c>
      <c r="J44" s="1" t="s">
        <v>210</v>
      </c>
      <c r="K44" s="1" t="s">
        <v>211</v>
      </c>
      <c r="L44" s="1">
        <v>85254</v>
      </c>
      <c r="M44" s="1" t="s">
        <v>92</v>
      </c>
      <c r="N44" s="1" t="s">
        <v>218</v>
      </c>
      <c r="O44" s="1" t="s">
        <v>31</v>
      </c>
      <c r="P44" s="1" t="s">
        <v>32</v>
      </c>
      <c r="Q44" s="1" t="s">
        <v>219</v>
      </c>
      <c r="R44" s="1">
        <v>56.064</v>
      </c>
      <c r="S44" s="1">
        <v>4</v>
      </c>
      <c r="T44" s="1">
        <v>0.2</v>
      </c>
      <c r="U44" s="1">
        <v>19.622399999999999</v>
      </c>
    </row>
    <row r="45" spans="1:21" ht="15.75" x14ac:dyDescent="0.25">
      <c r="A45" s="1">
        <v>44</v>
      </c>
      <c r="B45" s="2" t="s">
        <v>220</v>
      </c>
      <c r="C45" s="3">
        <v>44946</v>
      </c>
      <c r="D45" s="3">
        <v>44952</v>
      </c>
      <c r="E45" s="1" t="s">
        <v>22</v>
      </c>
      <c r="F45" s="1" t="s">
        <v>221</v>
      </c>
      <c r="G45" s="1" t="s">
        <v>222</v>
      </c>
      <c r="H45" s="1" t="s">
        <v>25</v>
      </c>
      <c r="I45" s="1" t="s">
        <v>26</v>
      </c>
      <c r="J45" s="1" t="s">
        <v>223</v>
      </c>
      <c r="K45" s="1" t="s">
        <v>224</v>
      </c>
      <c r="L45" s="1">
        <v>72401</v>
      </c>
      <c r="M45" s="1" t="s">
        <v>63</v>
      </c>
      <c r="N45" s="1" t="s">
        <v>225</v>
      </c>
      <c r="O45" s="1" t="s">
        <v>65</v>
      </c>
      <c r="P45" s="1" t="s">
        <v>66</v>
      </c>
      <c r="Q45" s="1" t="s">
        <v>226</v>
      </c>
      <c r="R45" s="1">
        <v>1067.94</v>
      </c>
      <c r="S45" s="1">
        <v>3</v>
      </c>
      <c r="T45" s="1">
        <v>0</v>
      </c>
      <c r="U45" s="1">
        <v>224.2673999999999</v>
      </c>
    </row>
    <row r="46" spans="1:21" ht="15.75" x14ac:dyDescent="0.25">
      <c r="A46" s="1">
        <v>45</v>
      </c>
      <c r="B46" s="2" t="s">
        <v>227</v>
      </c>
      <c r="C46" s="3">
        <v>44946</v>
      </c>
      <c r="D46" s="3">
        <v>44952</v>
      </c>
      <c r="E46" s="1" t="s">
        <v>22</v>
      </c>
      <c r="F46" s="1" t="s">
        <v>228</v>
      </c>
      <c r="G46" s="1" t="s">
        <v>229</v>
      </c>
      <c r="H46" s="1" t="s">
        <v>25</v>
      </c>
      <c r="I46" s="1" t="s">
        <v>26</v>
      </c>
      <c r="J46" s="1" t="s">
        <v>230</v>
      </c>
      <c r="K46" s="1" t="s">
        <v>231</v>
      </c>
      <c r="L46" s="1">
        <v>48185</v>
      </c>
      <c r="M46" s="1" t="s">
        <v>29</v>
      </c>
      <c r="N46" s="1" t="s">
        <v>232</v>
      </c>
      <c r="O46" s="1" t="s">
        <v>65</v>
      </c>
      <c r="P46" s="1" t="s">
        <v>106</v>
      </c>
      <c r="Q46" s="1" t="s">
        <v>233</v>
      </c>
      <c r="R46" s="1">
        <v>14.73</v>
      </c>
      <c r="S46" s="1">
        <v>3</v>
      </c>
      <c r="T46" s="1">
        <v>0</v>
      </c>
      <c r="U46" s="1">
        <v>4.8608999999999991</v>
      </c>
    </row>
    <row r="47" spans="1:21" ht="15.75" x14ac:dyDescent="0.25">
      <c r="A47" s="1">
        <v>46</v>
      </c>
      <c r="B47" s="2" t="s">
        <v>227</v>
      </c>
      <c r="C47" s="3">
        <v>44946</v>
      </c>
      <c r="D47" s="3">
        <v>44952</v>
      </c>
      <c r="E47" s="1" t="s">
        <v>22</v>
      </c>
      <c r="F47" s="1" t="s">
        <v>228</v>
      </c>
      <c r="G47" s="1" t="s">
        <v>229</v>
      </c>
      <c r="H47" s="1" t="s">
        <v>25</v>
      </c>
      <c r="I47" s="1" t="s">
        <v>26</v>
      </c>
      <c r="J47" s="1" t="s">
        <v>230</v>
      </c>
      <c r="K47" s="1" t="s">
        <v>231</v>
      </c>
      <c r="L47" s="1">
        <v>48185</v>
      </c>
      <c r="M47" s="1" t="s">
        <v>29</v>
      </c>
      <c r="N47" s="1" t="s">
        <v>234</v>
      </c>
      <c r="O47" s="1" t="s">
        <v>65</v>
      </c>
      <c r="P47" s="1" t="s">
        <v>106</v>
      </c>
      <c r="Q47" s="1" t="s">
        <v>235</v>
      </c>
      <c r="R47" s="1">
        <v>272.94</v>
      </c>
      <c r="S47" s="1">
        <v>3</v>
      </c>
      <c r="T47" s="1">
        <v>0</v>
      </c>
      <c r="U47" s="1">
        <v>30.023400000000009</v>
      </c>
    </row>
    <row r="48" spans="1:21" ht="15.75" x14ac:dyDescent="0.25">
      <c r="A48" s="1">
        <v>47</v>
      </c>
      <c r="B48" s="2" t="s">
        <v>220</v>
      </c>
      <c r="C48" s="3">
        <v>44946</v>
      </c>
      <c r="D48" s="3">
        <v>44952</v>
      </c>
      <c r="E48" s="1" t="s">
        <v>22</v>
      </c>
      <c r="F48" s="1" t="s">
        <v>221</v>
      </c>
      <c r="G48" s="1" t="s">
        <v>222</v>
      </c>
      <c r="H48" s="1" t="s">
        <v>25</v>
      </c>
      <c r="I48" s="1" t="s">
        <v>26</v>
      </c>
      <c r="J48" s="1" t="s">
        <v>223</v>
      </c>
      <c r="K48" s="1" t="s">
        <v>224</v>
      </c>
      <c r="L48" s="1">
        <v>72401</v>
      </c>
      <c r="M48" s="1" t="s">
        <v>63</v>
      </c>
      <c r="N48" s="1" t="s">
        <v>236</v>
      </c>
      <c r="O48" s="1" t="s">
        <v>65</v>
      </c>
      <c r="P48" s="1" t="s">
        <v>106</v>
      </c>
      <c r="Q48" s="1" t="s">
        <v>237</v>
      </c>
      <c r="R48" s="1">
        <v>38.6</v>
      </c>
      <c r="S48" s="1">
        <v>4</v>
      </c>
      <c r="T48" s="1">
        <v>0</v>
      </c>
      <c r="U48" s="1">
        <v>11.579999999999998</v>
      </c>
    </row>
    <row r="49" spans="1:21" ht="15.75" x14ac:dyDescent="0.25">
      <c r="A49" s="1">
        <v>48</v>
      </c>
      <c r="B49" s="2" t="s">
        <v>238</v>
      </c>
      <c r="C49" s="3">
        <v>44946</v>
      </c>
      <c r="D49" s="3">
        <v>44951</v>
      </c>
      <c r="E49" s="1" t="s">
        <v>22</v>
      </c>
      <c r="F49" s="1" t="s">
        <v>239</v>
      </c>
      <c r="G49" s="1" t="s">
        <v>240</v>
      </c>
      <c r="H49" s="1" t="s">
        <v>25</v>
      </c>
      <c r="I49" s="1" t="s">
        <v>26</v>
      </c>
      <c r="J49" s="1" t="s">
        <v>90</v>
      </c>
      <c r="K49" s="1" t="s">
        <v>91</v>
      </c>
      <c r="L49" s="1">
        <v>90049</v>
      </c>
      <c r="M49" s="1" t="s">
        <v>92</v>
      </c>
      <c r="N49" s="1" t="s">
        <v>236</v>
      </c>
      <c r="O49" s="1" t="s">
        <v>65</v>
      </c>
      <c r="P49" s="1" t="s">
        <v>106</v>
      </c>
      <c r="Q49" s="1" t="s">
        <v>237</v>
      </c>
      <c r="R49" s="1">
        <v>19.3</v>
      </c>
      <c r="S49" s="1">
        <v>2</v>
      </c>
      <c r="T49" s="1">
        <v>0</v>
      </c>
      <c r="U49" s="1">
        <v>5.7899999999999991</v>
      </c>
    </row>
    <row r="50" spans="1:21" ht="15.75" x14ac:dyDescent="0.25">
      <c r="A50" s="1">
        <v>49</v>
      </c>
      <c r="B50" s="2" t="s">
        <v>227</v>
      </c>
      <c r="C50" s="3">
        <v>44946</v>
      </c>
      <c r="D50" s="3">
        <v>44952</v>
      </c>
      <c r="E50" s="1" t="s">
        <v>22</v>
      </c>
      <c r="F50" s="1" t="s">
        <v>228</v>
      </c>
      <c r="G50" s="1" t="s">
        <v>229</v>
      </c>
      <c r="H50" s="1" t="s">
        <v>25</v>
      </c>
      <c r="I50" s="1" t="s">
        <v>26</v>
      </c>
      <c r="J50" s="1" t="s">
        <v>230</v>
      </c>
      <c r="K50" s="1" t="s">
        <v>231</v>
      </c>
      <c r="L50" s="1">
        <v>48185</v>
      </c>
      <c r="M50" s="1" t="s">
        <v>29</v>
      </c>
      <c r="N50" s="1" t="s">
        <v>241</v>
      </c>
      <c r="O50" s="1" t="s">
        <v>31</v>
      </c>
      <c r="P50" s="1" t="s">
        <v>205</v>
      </c>
      <c r="Q50" s="1" t="s">
        <v>242</v>
      </c>
      <c r="R50" s="1">
        <v>247.71600000000001</v>
      </c>
      <c r="S50" s="1">
        <v>4</v>
      </c>
      <c r="T50" s="1">
        <v>0.1</v>
      </c>
      <c r="U50" s="1">
        <v>93.581600000000009</v>
      </c>
    </row>
    <row r="51" spans="1:21" ht="15.75" x14ac:dyDescent="0.25">
      <c r="A51" s="1">
        <v>50</v>
      </c>
      <c r="B51" s="2" t="s">
        <v>220</v>
      </c>
      <c r="C51" s="3">
        <v>44946</v>
      </c>
      <c r="D51" s="3">
        <v>44952</v>
      </c>
      <c r="E51" s="1" t="s">
        <v>22</v>
      </c>
      <c r="F51" s="1" t="s">
        <v>221</v>
      </c>
      <c r="G51" s="1" t="s">
        <v>222</v>
      </c>
      <c r="H51" s="1" t="s">
        <v>25</v>
      </c>
      <c r="I51" s="1" t="s">
        <v>26</v>
      </c>
      <c r="J51" s="1" t="s">
        <v>223</v>
      </c>
      <c r="K51" s="1" t="s">
        <v>224</v>
      </c>
      <c r="L51" s="1">
        <v>72401</v>
      </c>
      <c r="M51" s="1" t="s">
        <v>63</v>
      </c>
      <c r="N51" s="1" t="s">
        <v>243</v>
      </c>
      <c r="O51" s="1" t="s">
        <v>31</v>
      </c>
      <c r="P51" s="1" t="s">
        <v>56</v>
      </c>
      <c r="Q51" s="1" t="s">
        <v>244</v>
      </c>
      <c r="R51" s="1">
        <v>22.959999999999997</v>
      </c>
      <c r="S51" s="1">
        <v>7</v>
      </c>
      <c r="T51" s="1">
        <v>0</v>
      </c>
      <c r="U51" s="1">
        <v>6.6583999999999968</v>
      </c>
    </row>
    <row r="52" spans="1:21" ht="15.75" x14ac:dyDescent="0.25">
      <c r="A52" s="1">
        <v>51</v>
      </c>
      <c r="B52" s="2" t="s">
        <v>220</v>
      </c>
      <c r="C52" s="3">
        <v>44946</v>
      </c>
      <c r="D52" s="3">
        <v>44952</v>
      </c>
      <c r="E52" s="1" t="s">
        <v>22</v>
      </c>
      <c r="F52" s="1" t="s">
        <v>221</v>
      </c>
      <c r="G52" s="1" t="s">
        <v>222</v>
      </c>
      <c r="H52" s="1" t="s">
        <v>25</v>
      </c>
      <c r="I52" s="1" t="s">
        <v>26</v>
      </c>
      <c r="J52" s="1" t="s">
        <v>223</v>
      </c>
      <c r="K52" s="1" t="s">
        <v>224</v>
      </c>
      <c r="L52" s="1">
        <v>72401</v>
      </c>
      <c r="M52" s="1" t="s">
        <v>63</v>
      </c>
      <c r="N52" s="1" t="s">
        <v>245</v>
      </c>
      <c r="O52" s="1" t="s">
        <v>31</v>
      </c>
      <c r="P52" s="1" t="s">
        <v>56</v>
      </c>
      <c r="Q52" s="1" t="s">
        <v>246</v>
      </c>
      <c r="R52" s="1">
        <v>6.63</v>
      </c>
      <c r="S52" s="1">
        <v>3</v>
      </c>
      <c r="T52" s="1">
        <v>0</v>
      </c>
      <c r="U52" s="1">
        <v>1.7901</v>
      </c>
    </row>
    <row r="53" spans="1:21" ht="15.75" x14ac:dyDescent="0.25">
      <c r="A53" s="1">
        <v>52</v>
      </c>
      <c r="B53" s="2" t="s">
        <v>227</v>
      </c>
      <c r="C53" s="3">
        <v>44946</v>
      </c>
      <c r="D53" s="3">
        <v>44952</v>
      </c>
      <c r="E53" s="1" t="s">
        <v>22</v>
      </c>
      <c r="F53" s="1" t="s">
        <v>228</v>
      </c>
      <c r="G53" s="1" t="s">
        <v>229</v>
      </c>
      <c r="H53" s="1" t="s">
        <v>25</v>
      </c>
      <c r="I53" s="1" t="s">
        <v>26</v>
      </c>
      <c r="J53" s="1" t="s">
        <v>230</v>
      </c>
      <c r="K53" s="1" t="s">
        <v>231</v>
      </c>
      <c r="L53" s="1">
        <v>48185</v>
      </c>
      <c r="M53" s="1" t="s">
        <v>29</v>
      </c>
      <c r="N53" s="1" t="s">
        <v>247</v>
      </c>
      <c r="O53" s="1" t="s">
        <v>31</v>
      </c>
      <c r="P53" s="1" t="s">
        <v>56</v>
      </c>
      <c r="Q53" s="1" t="s">
        <v>248</v>
      </c>
      <c r="R53" s="1">
        <v>43.92</v>
      </c>
      <c r="S53" s="1">
        <v>3</v>
      </c>
      <c r="T53" s="1">
        <v>0</v>
      </c>
      <c r="U53" s="1">
        <v>12.736799999999999</v>
      </c>
    </row>
    <row r="54" spans="1:21" ht="15.75" x14ac:dyDescent="0.25">
      <c r="A54" s="1">
        <v>53</v>
      </c>
      <c r="B54" s="2" t="s">
        <v>227</v>
      </c>
      <c r="C54" s="3">
        <v>44946</v>
      </c>
      <c r="D54" s="3">
        <v>44952</v>
      </c>
      <c r="E54" s="1" t="s">
        <v>22</v>
      </c>
      <c r="F54" s="1" t="s">
        <v>228</v>
      </c>
      <c r="G54" s="1" t="s">
        <v>229</v>
      </c>
      <c r="H54" s="1" t="s">
        <v>25</v>
      </c>
      <c r="I54" s="1" t="s">
        <v>26</v>
      </c>
      <c r="J54" s="1" t="s">
        <v>230</v>
      </c>
      <c r="K54" s="1" t="s">
        <v>231</v>
      </c>
      <c r="L54" s="1">
        <v>48185</v>
      </c>
      <c r="M54" s="1" t="s">
        <v>29</v>
      </c>
      <c r="N54" s="1" t="s">
        <v>249</v>
      </c>
      <c r="O54" s="1" t="s">
        <v>31</v>
      </c>
      <c r="P54" s="1" t="s">
        <v>41</v>
      </c>
      <c r="Q54" s="1" t="s">
        <v>250</v>
      </c>
      <c r="R54" s="1">
        <v>19.05</v>
      </c>
      <c r="S54" s="1">
        <v>5</v>
      </c>
      <c r="T54" s="1">
        <v>0</v>
      </c>
      <c r="U54" s="1">
        <v>8.9534999999999982</v>
      </c>
    </row>
    <row r="55" spans="1:21" ht="15.75" x14ac:dyDescent="0.25">
      <c r="A55" s="1">
        <v>54</v>
      </c>
      <c r="B55" s="2" t="s">
        <v>251</v>
      </c>
      <c r="C55" s="3">
        <v>44946</v>
      </c>
      <c r="D55" s="3">
        <v>44952</v>
      </c>
      <c r="E55" s="1" t="s">
        <v>22</v>
      </c>
      <c r="F55" s="1" t="s">
        <v>252</v>
      </c>
      <c r="G55" s="1" t="s">
        <v>253</v>
      </c>
      <c r="H55" s="1" t="s">
        <v>74</v>
      </c>
      <c r="I55" s="1" t="s">
        <v>26</v>
      </c>
      <c r="J55" s="1" t="s">
        <v>254</v>
      </c>
      <c r="K55" s="1" t="s">
        <v>255</v>
      </c>
      <c r="L55" s="1">
        <v>37167</v>
      </c>
      <c r="M55" s="1" t="s">
        <v>63</v>
      </c>
      <c r="N55" s="1" t="s">
        <v>256</v>
      </c>
      <c r="O55" s="1" t="s">
        <v>31</v>
      </c>
      <c r="P55" s="1" t="s">
        <v>41</v>
      </c>
      <c r="Q55" s="1" t="s">
        <v>257</v>
      </c>
      <c r="R55" s="1">
        <v>67.194000000000003</v>
      </c>
      <c r="S55" s="1">
        <v>1</v>
      </c>
      <c r="T55" s="1">
        <v>0.7</v>
      </c>
      <c r="U55" s="1">
        <v>-51.515399999999985</v>
      </c>
    </row>
    <row r="56" spans="1:21" ht="15.75" x14ac:dyDescent="0.25">
      <c r="A56" s="1">
        <v>55</v>
      </c>
      <c r="B56" s="2" t="s">
        <v>227</v>
      </c>
      <c r="C56" s="3">
        <v>44946</v>
      </c>
      <c r="D56" s="3">
        <v>44952</v>
      </c>
      <c r="E56" s="1" t="s">
        <v>22</v>
      </c>
      <c r="F56" s="1" t="s">
        <v>228</v>
      </c>
      <c r="G56" s="1" t="s">
        <v>229</v>
      </c>
      <c r="H56" s="1" t="s">
        <v>25</v>
      </c>
      <c r="I56" s="1" t="s">
        <v>26</v>
      </c>
      <c r="J56" s="1" t="s">
        <v>230</v>
      </c>
      <c r="K56" s="1" t="s">
        <v>231</v>
      </c>
      <c r="L56" s="1">
        <v>48185</v>
      </c>
      <c r="M56" s="1" t="s">
        <v>29</v>
      </c>
      <c r="N56" s="1" t="s">
        <v>258</v>
      </c>
      <c r="O56" s="1" t="s">
        <v>31</v>
      </c>
      <c r="P56" s="1" t="s">
        <v>41</v>
      </c>
      <c r="Q56" s="1" t="s">
        <v>259</v>
      </c>
      <c r="R56" s="1">
        <v>29.700000000000003</v>
      </c>
      <c r="S56" s="1">
        <v>5</v>
      </c>
      <c r="T56" s="1">
        <v>0</v>
      </c>
      <c r="U56" s="1">
        <v>13.365</v>
      </c>
    </row>
    <row r="57" spans="1:21" ht="15.75" x14ac:dyDescent="0.25">
      <c r="A57" s="1">
        <v>56</v>
      </c>
      <c r="B57" s="2" t="s">
        <v>220</v>
      </c>
      <c r="C57" s="3">
        <v>44946</v>
      </c>
      <c r="D57" s="3">
        <v>44952</v>
      </c>
      <c r="E57" s="1" t="s">
        <v>22</v>
      </c>
      <c r="F57" s="1" t="s">
        <v>221</v>
      </c>
      <c r="G57" s="1" t="s">
        <v>222</v>
      </c>
      <c r="H57" s="1" t="s">
        <v>25</v>
      </c>
      <c r="I57" s="1" t="s">
        <v>26</v>
      </c>
      <c r="J57" s="1" t="s">
        <v>223</v>
      </c>
      <c r="K57" s="1" t="s">
        <v>224</v>
      </c>
      <c r="L57" s="1">
        <v>72401</v>
      </c>
      <c r="M57" s="1" t="s">
        <v>63</v>
      </c>
      <c r="N57" s="1" t="s">
        <v>260</v>
      </c>
      <c r="O57" s="1" t="s">
        <v>31</v>
      </c>
      <c r="P57" s="1" t="s">
        <v>166</v>
      </c>
      <c r="Q57" s="1" t="s">
        <v>169</v>
      </c>
      <c r="R57" s="1">
        <v>23.34</v>
      </c>
      <c r="S57" s="1">
        <v>3</v>
      </c>
      <c r="T57" s="1">
        <v>0</v>
      </c>
      <c r="U57" s="1">
        <v>10.969799999999999</v>
      </c>
    </row>
    <row r="58" spans="1:21" ht="15.75" x14ac:dyDescent="0.25">
      <c r="A58" s="1">
        <v>57</v>
      </c>
      <c r="B58" s="2" t="s">
        <v>238</v>
      </c>
      <c r="C58" s="3">
        <v>44946</v>
      </c>
      <c r="D58" s="3">
        <v>44951</v>
      </c>
      <c r="E58" s="1" t="s">
        <v>22</v>
      </c>
      <c r="F58" s="1" t="s">
        <v>239</v>
      </c>
      <c r="G58" s="1" t="s">
        <v>240</v>
      </c>
      <c r="H58" s="1" t="s">
        <v>25</v>
      </c>
      <c r="I58" s="1" t="s">
        <v>26</v>
      </c>
      <c r="J58" s="1" t="s">
        <v>90</v>
      </c>
      <c r="K58" s="1" t="s">
        <v>91</v>
      </c>
      <c r="L58" s="1">
        <v>90049</v>
      </c>
      <c r="M58" s="1" t="s">
        <v>92</v>
      </c>
      <c r="N58" s="1" t="s">
        <v>261</v>
      </c>
      <c r="O58" s="1" t="s">
        <v>31</v>
      </c>
      <c r="P58" s="1" t="s">
        <v>32</v>
      </c>
      <c r="Q58" s="1" t="s">
        <v>262</v>
      </c>
      <c r="R58" s="1">
        <v>19.36</v>
      </c>
      <c r="S58" s="1">
        <v>2</v>
      </c>
      <c r="T58" s="1">
        <v>0</v>
      </c>
      <c r="U58" s="1">
        <v>9.2927999999999997</v>
      </c>
    </row>
    <row r="59" spans="1:21" ht="15.75" x14ac:dyDescent="0.25">
      <c r="A59" s="1">
        <v>58</v>
      </c>
      <c r="B59" s="2" t="s">
        <v>227</v>
      </c>
      <c r="C59" s="3">
        <v>44946</v>
      </c>
      <c r="D59" s="3">
        <v>44952</v>
      </c>
      <c r="E59" s="1" t="s">
        <v>22</v>
      </c>
      <c r="F59" s="1" t="s">
        <v>228</v>
      </c>
      <c r="G59" s="1" t="s">
        <v>229</v>
      </c>
      <c r="H59" s="1" t="s">
        <v>25</v>
      </c>
      <c r="I59" s="1" t="s">
        <v>26</v>
      </c>
      <c r="J59" s="1" t="s">
        <v>230</v>
      </c>
      <c r="K59" s="1" t="s">
        <v>231</v>
      </c>
      <c r="L59" s="1">
        <v>48185</v>
      </c>
      <c r="M59" s="1" t="s">
        <v>29</v>
      </c>
      <c r="N59" s="1" t="s">
        <v>263</v>
      </c>
      <c r="O59" s="1" t="s">
        <v>31</v>
      </c>
      <c r="P59" s="1" t="s">
        <v>47</v>
      </c>
      <c r="Q59" s="1" t="s">
        <v>264</v>
      </c>
      <c r="R59" s="1">
        <v>13.98</v>
      </c>
      <c r="S59" s="1">
        <v>1</v>
      </c>
      <c r="T59" s="1">
        <v>0</v>
      </c>
      <c r="U59" s="1">
        <v>4.0541999999999998</v>
      </c>
    </row>
    <row r="60" spans="1:21" ht="15.75" x14ac:dyDescent="0.25">
      <c r="A60" s="1">
        <v>59</v>
      </c>
      <c r="B60" s="2" t="s">
        <v>227</v>
      </c>
      <c r="C60" s="3">
        <v>44946</v>
      </c>
      <c r="D60" s="3">
        <v>44952</v>
      </c>
      <c r="E60" s="1" t="s">
        <v>22</v>
      </c>
      <c r="F60" s="1" t="s">
        <v>228</v>
      </c>
      <c r="G60" s="1" t="s">
        <v>229</v>
      </c>
      <c r="H60" s="1" t="s">
        <v>25</v>
      </c>
      <c r="I60" s="1" t="s">
        <v>26</v>
      </c>
      <c r="J60" s="1" t="s">
        <v>230</v>
      </c>
      <c r="K60" s="1" t="s">
        <v>231</v>
      </c>
      <c r="L60" s="1">
        <v>48185</v>
      </c>
      <c r="M60" s="1" t="s">
        <v>29</v>
      </c>
      <c r="N60" s="1" t="s">
        <v>265</v>
      </c>
      <c r="O60" s="1" t="s">
        <v>31</v>
      </c>
      <c r="P60" s="1" t="s">
        <v>47</v>
      </c>
      <c r="Q60" s="1" t="s">
        <v>266</v>
      </c>
      <c r="R60" s="1">
        <v>66.58</v>
      </c>
      <c r="S60" s="1">
        <v>2</v>
      </c>
      <c r="T60" s="1">
        <v>0</v>
      </c>
      <c r="U60" s="1">
        <v>15.979199999999999</v>
      </c>
    </row>
    <row r="61" spans="1:21" ht="15.75" x14ac:dyDescent="0.25">
      <c r="A61" s="1">
        <v>60</v>
      </c>
      <c r="B61" s="2" t="s">
        <v>220</v>
      </c>
      <c r="C61" s="3">
        <v>44946</v>
      </c>
      <c r="D61" s="3">
        <v>44952</v>
      </c>
      <c r="E61" s="1" t="s">
        <v>22</v>
      </c>
      <c r="F61" s="1" t="s">
        <v>221</v>
      </c>
      <c r="G61" s="1" t="s">
        <v>222</v>
      </c>
      <c r="H61" s="1" t="s">
        <v>25</v>
      </c>
      <c r="I61" s="1" t="s">
        <v>26</v>
      </c>
      <c r="J61" s="1" t="s">
        <v>223</v>
      </c>
      <c r="K61" s="1" t="s">
        <v>224</v>
      </c>
      <c r="L61" s="1">
        <v>72401</v>
      </c>
      <c r="M61" s="1" t="s">
        <v>63</v>
      </c>
      <c r="N61" s="1" t="s">
        <v>267</v>
      </c>
      <c r="O61" s="1" t="s">
        <v>96</v>
      </c>
      <c r="P61" s="1" t="s">
        <v>97</v>
      </c>
      <c r="Q61" s="1" t="s">
        <v>268</v>
      </c>
      <c r="R61" s="1">
        <v>699.93</v>
      </c>
      <c r="S61" s="1">
        <v>7</v>
      </c>
      <c r="T61" s="1">
        <v>0</v>
      </c>
      <c r="U61" s="1">
        <v>181.98179999999999</v>
      </c>
    </row>
    <row r="62" spans="1:21" ht="15.75" x14ac:dyDescent="0.25">
      <c r="A62" s="1">
        <v>61</v>
      </c>
      <c r="B62" s="2" t="s">
        <v>269</v>
      </c>
      <c r="C62" s="3">
        <v>44947</v>
      </c>
      <c r="D62" s="3">
        <v>44949</v>
      </c>
      <c r="E62" s="1" t="s">
        <v>87</v>
      </c>
      <c r="F62" s="1" t="s">
        <v>270</v>
      </c>
      <c r="G62" s="1" t="s">
        <v>271</v>
      </c>
      <c r="H62" s="1" t="s">
        <v>25</v>
      </c>
      <c r="I62" s="1" t="s">
        <v>26</v>
      </c>
      <c r="J62" s="1" t="s">
        <v>272</v>
      </c>
      <c r="K62" s="1" t="s">
        <v>273</v>
      </c>
      <c r="L62" s="1">
        <v>33180</v>
      </c>
      <c r="M62" s="1" t="s">
        <v>63</v>
      </c>
      <c r="N62" s="1" t="s">
        <v>274</v>
      </c>
      <c r="O62" s="1" t="s">
        <v>65</v>
      </c>
      <c r="P62" s="1" t="s">
        <v>106</v>
      </c>
      <c r="Q62" s="1" t="s">
        <v>275</v>
      </c>
      <c r="R62" s="1">
        <v>25.248000000000001</v>
      </c>
      <c r="S62" s="1">
        <v>3</v>
      </c>
      <c r="T62" s="1">
        <v>0.2</v>
      </c>
      <c r="U62" s="1">
        <v>4.1027999999999993</v>
      </c>
    </row>
    <row r="63" spans="1:21" ht="15.75" x14ac:dyDescent="0.25">
      <c r="A63" s="1">
        <v>62</v>
      </c>
      <c r="B63" s="2" t="s">
        <v>276</v>
      </c>
      <c r="C63" s="3">
        <v>44947</v>
      </c>
      <c r="D63" s="3">
        <v>44950</v>
      </c>
      <c r="E63" s="4" t="s">
        <v>22</v>
      </c>
      <c r="F63" s="4" t="s">
        <v>277</v>
      </c>
      <c r="G63" s="4" t="s">
        <v>278</v>
      </c>
      <c r="H63" s="4" t="s">
        <v>74</v>
      </c>
      <c r="I63" s="4" t="s">
        <v>279</v>
      </c>
      <c r="J63" s="4" t="s">
        <v>280</v>
      </c>
      <c r="K63" s="4" t="s">
        <v>281</v>
      </c>
      <c r="L63" s="4" t="s">
        <v>282</v>
      </c>
      <c r="M63" s="4" t="s">
        <v>54</v>
      </c>
      <c r="N63" s="4" t="s">
        <v>283</v>
      </c>
      <c r="O63" s="4" t="s">
        <v>65</v>
      </c>
      <c r="P63" s="4" t="s">
        <v>106</v>
      </c>
      <c r="Q63" s="4" t="s">
        <v>284</v>
      </c>
      <c r="R63" s="4">
        <v>24.3</v>
      </c>
      <c r="S63" s="4">
        <v>5</v>
      </c>
      <c r="T63" s="4">
        <v>0</v>
      </c>
      <c r="U63" s="4">
        <v>10.45</v>
      </c>
    </row>
    <row r="64" spans="1:21" ht="15.75" x14ac:dyDescent="0.25">
      <c r="A64" s="1">
        <v>63</v>
      </c>
      <c r="B64" s="2" t="s">
        <v>276</v>
      </c>
      <c r="C64" s="3">
        <v>44947</v>
      </c>
      <c r="D64" s="3">
        <v>44950</v>
      </c>
      <c r="E64" s="4" t="s">
        <v>22</v>
      </c>
      <c r="F64" s="4" t="s">
        <v>277</v>
      </c>
      <c r="G64" s="4" t="s">
        <v>278</v>
      </c>
      <c r="H64" s="4" t="s">
        <v>74</v>
      </c>
      <c r="I64" s="4" t="s">
        <v>279</v>
      </c>
      <c r="J64" s="4" t="s">
        <v>280</v>
      </c>
      <c r="K64" s="4" t="s">
        <v>281</v>
      </c>
      <c r="L64" s="4" t="s">
        <v>282</v>
      </c>
      <c r="M64" s="4" t="s">
        <v>54</v>
      </c>
      <c r="N64" s="4" t="s">
        <v>285</v>
      </c>
      <c r="O64" s="4" t="s">
        <v>65</v>
      </c>
      <c r="P64" s="4" t="s">
        <v>106</v>
      </c>
      <c r="Q64" s="4" t="s">
        <v>286</v>
      </c>
      <c r="R64" s="4">
        <v>9.48</v>
      </c>
      <c r="S64" s="4">
        <v>1</v>
      </c>
      <c r="T64" s="4">
        <v>0</v>
      </c>
      <c r="U64" s="4">
        <v>3.79</v>
      </c>
    </row>
    <row r="65" spans="1:21" ht="15.75" x14ac:dyDescent="0.25">
      <c r="A65" s="1">
        <v>64</v>
      </c>
      <c r="B65" s="2" t="s">
        <v>276</v>
      </c>
      <c r="C65" s="3">
        <v>44947</v>
      </c>
      <c r="D65" s="3">
        <v>44950</v>
      </c>
      <c r="E65" s="4" t="s">
        <v>22</v>
      </c>
      <c r="F65" s="4" t="s">
        <v>277</v>
      </c>
      <c r="G65" s="4" t="s">
        <v>278</v>
      </c>
      <c r="H65" s="4" t="s">
        <v>74</v>
      </c>
      <c r="I65" s="4" t="s">
        <v>279</v>
      </c>
      <c r="J65" s="4" t="s">
        <v>280</v>
      </c>
      <c r="K65" s="4" t="s">
        <v>281</v>
      </c>
      <c r="L65" s="4" t="s">
        <v>282</v>
      </c>
      <c r="M65" s="4" t="s">
        <v>54</v>
      </c>
      <c r="N65" s="4" t="s">
        <v>287</v>
      </c>
      <c r="O65" s="4" t="s">
        <v>65</v>
      </c>
      <c r="P65" s="4" t="s">
        <v>106</v>
      </c>
      <c r="Q65" s="4" t="s">
        <v>288</v>
      </c>
      <c r="R65" s="4">
        <v>31.4</v>
      </c>
      <c r="S65" s="4">
        <v>5</v>
      </c>
      <c r="T65" s="4">
        <v>0</v>
      </c>
      <c r="U65" s="4">
        <v>13.19</v>
      </c>
    </row>
    <row r="66" spans="1:21" ht="15.75" x14ac:dyDescent="0.25">
      <c r="A66" s="1">
        <v>65</v>
      </c>
      <c r="B66" s="2" t="s">
        <v>276</v>
      </c>
      <c r="C66" s="3">
        <v>44947</v>
      </c>
      <c r="D66" s="3">
        <v>44950</v>
      </c>
      <c r="E66" s="4" t="s">
        <v>22</v>
      </c>
      <c r="F66" s="4" t="s">
        <v>277</v>
      </c>
      <c r="G66" s="4" t="s">
        <v>278</v>
      </c>
      <c r="H66" s="4" t="s">
        <v>74</v>
      </c>
      <c r="I66" s="4" t="s">
        <v>279</v>
      </c>
      <c r="J66" s="4" t="s">
        <v>280</v>
      </c>
      <c r="K66" s="4" t="s">
        <v>281</v>
      </c>
      <c r="L66" s="4" t="s">
        <v>282</v>
      </c>
      <c r="M66" s="4" t="s">
        <v>54</v>
      </c>
      <c r="N66" s="4" t="s">
        <v>289</v>
      </c>
      <c r="O66" s="4" t="s">
        <v>31</v>
      </c>
      <c r="P66" s="4" t="s">
        <v>32</v>
      </c>
      <c r="Q66" s="4" t="s">
        <v>290</v>
      </c>
      <c r="R66" s="4">
        <v>6.48</v>
      </c>
      <c r="S66" s="4">
        <v>1</v>
      </c>
      <c r="T66" s="4">
        <v>0</v>
      </c>
      <c r="U66" s="4">
        <v>3.11</v>
      </c>
    </row>
    <row r="67" spans="1:21" ht="15.75" x14ac:dyDescent="0.25">
      <c r="A67" s="1">
        <v>66</v>
      </c>
      <c r="B67" s="2" t="s">
        <v>276</v>
      </c>
      <c r="C67" s="3">
        <v>44947</v>
      </c>
      <c r="D67" s="3">
        <v>44950</v>
      </c>
      <c r="E67" s="4" t="s">
        <v>22</v>
      </c>
      <c r="F67" s="4" t="s">
        <v>277</v>
      </c>
      <c r="G67" s="4" t="s">
        <v>278</v>
      </c>
      <c r="H67" s="4" t="s">
        <v>74</v>
      </c>
      <c r="I67" s="4" t="s">
        <v>279</v>
      </c>
      <c r="J67" s="4" t="s">
        <v>280</v>
      </c>
      <c r="K67" s="4" t="s">
        <v>281</v>
      </c>
      <c r="L67" s="4" t="s">
        <v>282</v>
      </c>
      <c r="M67" s="4" t="s">
        <v>54</v>
      </c>
      <c r="N67" s="4" t="s">
        <v>291</v>
      </c>
      <c r="O67" s="4" t="s">
        <v>96</v>
      </c>
      <c r="P67" s="4" t="s">
        <v>97</v>
      </c>
      <c r="Q67" s="4" t="s">
        <v>292</v>
      </c>
      <c r="R67" s="4">
        <v>209.5</v>
      </c>
      <c r="S67" s="4">
        <v>10</v>
      </c>
      <c r="T67" s="4">
        <v>0</v>
      </c>
      <c r="U67" s="4">
        <v>58.66</v>
      </c>
    </row>
    <row r="68" spans="1:21" ht="15.75" x14ac:dyDescent="0.25">
      <c r="A68" s="1">
        <v>67</v>
      </c>
      <c r="B68" s="2" t="s">
        <v>293</v>
      </c>
      <c r="C68" s="3">
        <v>44949</v>
      </c>
      <c r="D68" s="3">
        <v>44953</v>
      </c>
      <c r="E68" s="1" t="s">
        <v>22</v>
      </c>
      <c r="F68" s="1" t="s">
        <v>294</v>
      </c>
      <c r="G68" s="1" t="s">
        <v>295</v>
      </c>
      <c r="H68" s="1" t="s">
        <v>25</v>
      </c>
      <c r="I68" s="1" t="s">
        <v>26</v>
      </c>
      <c r="J68" s="1" t="s">
        <v>296</v>
      </c>
      <c r="K68" s="1" t="s">
        <v>297</v>
      </c>
      <c r="L68" s="1">
        <v>47905</v>
      </c>
      <c r="M68" s="1" t="s">
        <v>29</v>
      </c>
      <c r="N68" s="1" t="s">
        <v>298</v>
      </c>
      <c r="O68" s="1" t="s">
        <v>31</v>
      </c>
      <c r="P68" s="1" t="s">
        <v>82</v>
      </c>
      <c r="Q68" s="1" t="s">
        <v>299</v>
      </c>
      <c r="R68" s="1">
        <v>5.9399999999999995</v>
      </c>
      <c r="S68" s="1">
        <v>3</v>
      </c>
      <c r="T68" s="1">
        <v>0</v>
      </c>
      <c r="U68" s="1">
        <v>0</v>
      </c>
    </row>
    <row r="69" spans="1:21" ht="15.75" x14ac:dyDescent="0.25">
      <c r="A69" s="1">
        <v>68</v>
      </c>
      <c r="B69" s="2" t="s">
        <v>300</v>
      </c>
      <c r="C69" s="3">
        <v>44949</v>
      </c>
      <c r="D69" s="3">
        <v>44954</v>
      </c>
      <c r="E69" s="1" t="s">
        <v>22</v>
      </c>
      <c r="F69" s="1" t="s">
        <v>301</v>
      </c>
      <c r="G69" s="1" t="s">
        <v>302</v>
      </c>
      <c r="H69" s="1" t="s">
        <v>25</v>
      </c>
      <c r="I69" s="1" t="s">
        <v>26</v>
      </c>
      <c r="J69" s="1" t="s">
        <v>303</v>
      </c>
      <c r="K69" s="1" t="s">
        <v>304</v>
      </c>
      <c r="L69" s="1">
        <v>89115</v>
      </c>
      <c r="M69" s="1" t="s">
        <v>92</v>
      </c>
      <c r="N69" s="1" t="s">
        <v>305</v>
      </c>
      <c r="O69" s="1" t="s">
        <v>31</v>
      </c>
      <c r="P69" s="1" t="s">
        <v>32</v>
      </c>
      <c r="Q69" s="1" t="s">
        <v>306</v>
      </c>
      <c r="R69" s="1">
        <v>40.08</v>
      </c>
      <c r="S69" s="1">
        <v>6</v>
      </c>
      <c r="T69" s="1">
        <v>0</v>
      </c>
      <c r="U69" s="1">
        <v>19.238399999999999</v>
      </c>
    </row>
    <row r="70" spans="1:21" ht="15.75" x14ac:dyDescent="0.25">
      <c r="A70" s="1">
        <v>69</v>
      </c>
      <c r="B70" s="2" t="s">
        <v>307</v>
      </c>
      <c r="C70" s="3">
        <v>44952</v>
      </c>
      <c r="D70" s="3">
        <v>44955</v>
      </c>
      <c r="E70" s="1" t="s">
        <v>71</v>
      </c>
      <c r="F70" s="1" t="s">
        <v>308</v>
      </c>
      <c r="G70" s="1" t="s">
        <v>309</v>
      </c>
      <c r="H70" s="1" t="s">
        <v>74</v>
      </c>
      <c r="I70" s="1" t="s">
        <v>26</v>
      </c>
      <c r="J70" s="1" t="s">
        <v>310</v>
      </c>
      <c r="K70" s="1" t="s">
        <v>311</v>
      </c>
      <c r="L70" s="1">
        <v>57701</v>
      </c>
      <c r="M70" s="1" t="s">
        <v>29</v>
      </c>
      <c r="N70" s="1" t="s">
        <v>312</v>
      </c>
      <c r="O70" s="1" t="s">
        <v>65</v>
      </c>
      <c r="P70" s="1" t="s">
        <v>140</v>
      </c>
      <c r="Q70" s="1" t="s">
        <v>313</v>
      </c>
      <c r="R70" s="1">
        <v>141.96</v>
      </c>
      <c r="S70" s="1">
        <v>2</v>
      </c>
      <c r="T70" s="1">
        <v>0</v>
      </c>
      <c r="U70" s="1">
        <v>39.748800000000003</v>
      </c>
    </row>
    <row r="71" spans="1:21" ht="15.75" x14ac:dyDescent="0.25">
      <c r="A71" s="1">
        <v>70</v>
      </c>
      <c r="B71" s="2" t="s">
        <v>314</v>
      </c>
      <c r="C71" s="3">
        <v>44952</v>
      </c>
      <c r="D71" s="3">
        <v>44957</v>
      </c>
      <c r="E71" s="1" t="s">
        <v>22</v>
      </c>
      <c r="F71" s="1" t="s">
        <v>315</v>
      </c>
      <c r="G71" s="1" t="s">
        <v>316</v>
      </c>
      <c r="H71" s="1" t="s">
        <v>37</v>
      </c>
      <c r="I71" s="1" t="s">
        <v>26</v>
      </c>
      <c r="J71" s="1" t="s">
        <v>317</v>
      </c>
      <c r="K71" s="1" t="s">
        <v>123</v>
      </c>
      <c r="L71" s="1">
        <v>22304</v>
      </c>
      <c r="M71" s="1" t="s">
        <v>63</v>
      </c>
      <c r="N71" s="1" t="s">
        <v>318</v>
      </c>
      <c r="O71" s="1" t="s">
        <v>65</v>
      </c>
      <c r="P71" s="1" t="s">
        <v>106</v>
      </c>
      <c r="Q71" s="1" t="s">
        <v>319</v>
      </c>
      <c r="R71" s="1">
        <v>12.419999999999998</v>
      </c>
      <c r="S71" s="1">
        <v>3</v>
      </c>
      <c r="T71" s="1">
        <v>0</v>
      </c>
      <c r="U71" s="1">
        <v>4.4711999999999996</v>
      </c>
    </row>
    <row r="72" spans="1:21" ht="15.75" x14ac:dyDescent="0.25">
      <c r="A72" s="1">
        <v>71</v>
      </c>
      <c r="B72" s="2" t="s">
        <v>314</v>
      </c>
      <c r="C72" s="3">
        <v>44952</v>
      </c>
      <c r="D72" s="3">
        <v>44957</v>
      </c>
      <c r="E72" s="1" t="s">
        <v>22</v>
      </c>
      <c r="F72" s="1" t="s">
        <v>315</v>
      </c>
      <c r="G72" s="1" t="s">
        <v>316</v>
      </c>
      <c r="H72" s="1" t="s">
        <v>37</v>
      </c>
      <c r="I72" s="1" t="s">
        <v>26</v>
      </c>
      <c r="J72" s="1" t="s">
        <v>317</v>
      </c>
      <c r="K72" s="1" t="s">
        <v>123</v>
      </c>
      <c r="L72" s="1">
        <v>22304</v>
      </c>
      <c r="M72" s="1" t="s">
        <v>63</v>
      </c>
      <c r="N72" s="1" t="s">
        <v>320</v>
      </c>
      <c r="O72" s="1" t="s">
        <v>65</v>
      </c>
      <c r="P72" s="1" t="s">
        <v>106</v>
      </c>
      <c r="Q72" s="1" t="s">
        <v>321</v>
      </c>
      <c r="R72" s="1">
        <v>62.820000000000007</v>
      </c>
      <c r="S72" s="1">
        <v>3</v>
      </c>
      <c r="T72" s="1">
        <v>0</v>
      </c>
      <c r="U72" s="1">
        <v>30.7818</v>
      </c>
    </row>
    <row r="73" spans="1:21" ht="15.75" x14ac:dyDescent="0.25">
      <c r="A73" s="1">
        <v>72</v>
      </c>
      <c r="B73" s="2" t="s">
        <v>307</v>
      </c>
      <c r="C73" s="3">
        <v>44952</v>
      </c>
      <c r="D73" s="3">
        <v>44955</v>
      </c>
      <c r="E73" s="1" t="s">
        <v>71</v>
      </c>
      <c r="F73" s="1" t="s">
        <v>308</v>
      </c>
      <c r="G73" s="1" t="s">
        <v>309</v>
      </c>
      <c r="H73" s="1" t="s">
        <v>74</v>
      </c>
      <c r="I73" s="1" t="s">
        <v>26</v>
      </c>
      <c r="J73" s="1" t="s">
        <v>310</v>
      </c>
      <c r="K73" s="1" t="s">
        <v>311</v>
      </c>
      <c r="L73" s="1">
        <v>57701</v>
      </c>
      <c r="M73" s="1" t="s">
        <v>29</v>
      </c>
      <c r="N73" s="1" t="s">
        <v>322</v>
      </c>
      <c r="O73" s="1" t="s">
        <v>31</v>
      </c>
      <c r="P73" s="1" t="s">
        <v>41</v>
      </c>
      <c r="Q73" s="1" t="s">
        <v>323</v>
      </c>
      <c r="R73" s="1">
        <v>10.68</v>
      </c>
      <c r="S73" s="1">
        <v>2</v>
      </c>
      <c r="T73" s="1">
        <v>0</v>
      </c>
      <c r="U73" s="1">
        <v>5.0195999999999996</v>
      </c>
    </row>
    <row r="74" spans="1:21" ht="15.75" x14ac:dyDescent="0.25">
      <c r="A74" s="1">
        <v>73</v>
      </c>
      <c r="B74" s="2" t="s">
        <v>314</v>
      </c>
      <c r="C74" s="3">
        <v>44952</v>
      </c>
      <c r="D74" s="3">
        <v>44957</v>
      </c>
      <c r="E74" s="1" t="s">
        <v>22</v>
      </c>
      <c r="F74" s="1" t="s">
        <v>315</v>
      </c>
      <c r="G74" s="1" t="s">
        <v>316</v>
      </c>
      <c r="H74" s="1" t="s">
        <v>37</v>
      </c>
      <c r="I74" s="1" t="s">
        <v>26</v>
      </c>
      <c r="J74" s="1" t="s">
        <v>317</v>
      </c>
      <c r="K74" s="1" t="s">
        <v>123</v>
      </c>
      <c r="L74" s="1">
        <v>22304</v>
      </c>
      <c r="M74" s="1" t="s">
        <v>63</v>
      </c>
      <c r="N74" s="1" t="s">
        <v>324</v>
      </c>
      <c r="O74" s="1" t="s">
        <v>31</v>
      </c>
      <c r="P74" s="1" t="s">
        <v>32</v>
      </c>
      <c r="Q74" s="1" t="s">
        <v>325</v>
      </c>
      <c r="R74" s="1">
        <v>16.68</v>
      </c>
      <c r="S74" s="1">
        <v>2</v>
      </c>
      <c r="T74" s="1">
        <v>0</v>
      </c>
      <c r="U74" s="1">
        <v>8.34</v>
      </c>
    </row>
    <row r="75" spans="1:21" ht="15.75" x14ac:dyDescent="0.25">
      <c r="A75" s="1">
        <v>74</v>
      </c>
      <c r="B75" s="2" t="s">
        <v>314</v>
      </c>
      <c r="C75" s="3">
        <v>44952</v>
      </c>
      <c r="D75" s="3">
        <v>44957</v>
      </c>
      <c r="E75" s="1" t="s">
        <v>22</v>
      </c>
      <c r="F75" s="1" t="s">
        <v>315</v>
      </c>
      <c r="G75" s="1" t="s">
        <v>316</v>
      </c>
      <c r="H75" s="1" t="s">
        <v>37</v>
      </c>
      <c r="I75" s="1" t="s">
        <v>26</v>
      </c>
      <c r="J75" s="1" t="s">
        <v>317</v>
      </c>
      <c r="K75" s="1" t="s">
        <v>123</v>
      </c>
      <c r="L75" s="1">
        <v>22304</v>
      </c>
      <c r="M75" s="1" t="s">
        <v>63</v>
      </c>
      <c r="N75" s="1" t="s">
        <v>326</v>
      </c>
      <c r="O75" s="1" t="s">
        <v>31</v>
      </c>
      <c r="P75" s="1" t="s">
        <v>32</v>
      </c>
      <c r="Q75" s="1" t="s">
        <v>327</v>
      </c>
      <c r="R75" s="1">
        <v>19.440000000000001</v>
      </c>
      <c r="S75" s="1">
        <v>3</v>
      </c>
      <c r="T75" s="1">
        <v>0</v>
      </c>
      <c r="U75" s="1">
        <v>9.3312000000000008</v>
      </c>
    </row>
    <row r="76" spans="1:21" ht="15.75" x14ac:dyDescent="0.25">
      <c r="A76" s="1">
        <v>75</v>
      </c>
      <c r="B76" s="2" t="s">
        <v>314</v>
      </c>
      <c r="C76" s="3">
        <v>44952</v>
      </c>
      <c r="D76" s="3">
        <v>44957</v>
      </c>
      <c r="E76" s="1" t="s">
        <v>22</v>
      </c>
      <c r="F76" s="1" t="s">
        <v>315</v>
      </c>
      <c r="G76" s="1" t="s">
        <v>316</v>
      </c>
      <c r="H76" s="1" t="s">
        <v>37</v>
      </c>
      <c r="I76" s="1" t="s">
        <v>26</v>
      </c>
      <c r="J76" s="1" t="s">
        <v>317</v>
      </c>
      <c r="K76" s="1" t="s">
        <v>123</v>
      </c>
      <c r="L76" s="1">
        <v>22304</v>
      </c>
      <c r="M76" s="1" t="s">
        <v>63</v>
      </c>
      <c r="N76" s="1" t="s">
        <v>328</v>
      </c>
      <c r="O76" s="1" t="s">
        <v>31</v>
      </c>
      <c r="P76" s="1" t="s">
        <v>47</v>
      </c>
      <c r="Q76" s="1" t="s">
        <v>329</v>
      </c>
      <c r="R76" s="1">
        <v>489.92</v>
      </c>
      <c r="S76" s="1">
        <v>8</v>
      </c>
      <c r="T76" s="1">
        <v>0</v>
      </c>
      <c r="U76" s="1">
        <v>0</v>
      </c>
    </row>
    <row r="77" spans="1:21" ht="15.75" x14ac:dyDescent="0.25">
      <c r="A77" s="1">
        <v>76</v>
      </c>
      <c r="B77" s="2" t="s">
        <v>314</v>
      </c>
      <c r="C77" s="3">
        <v>44952</v>
      </c>
      <c r="D77" s="3">
        <v>44957</v>
      </c>
      <c r="E77" s="1" t="s">
        <v>22</v>
      </c>
      <c r="F77" s="1" t="s">
        <v>315</v>
      </c>
      <c r="G77" s="1" t="s">
        <v>316</v>
      </c>
      <c r="H77" s="1" t="s">
        <v>37</v>
      </c>
      <c r="I77" s="1" t="s">
        <v>26</v>
      </c>
      <c r="J77" s="1" t="s">
        <v>317</v>
      </c>
      <c r="K77" s="1" t="s">
        <v>123</v>
      </c>
      <c r="L77" s="1">
        <v>22304</v>
      </c>
      <c r="M77" s="1" t="s">
        <v>63</v>
      </c>
      <c r="N77" s="1" t="s">
        <v>330</v>
      </c>
      <c r="O77" s="1" t="s">
        <v>96</v>
      </c>
      <c r="P77" s="1" t="s">
        <v>97</v>
      </c>
      <c r="Q77" s="1" t="s">
        <v>331</v>
      </c>
      <c r="R77" s="1">
        <v>187.98</v>
      </c>
      <c r="S77" s="1">
        <v>2</v>
      </c>
      <c r="T77" s="1">
        <v>0</v>
      </c>
      <c r="U77" s="1">
        <v>52.634399999999999</v>
      </c>
    </row>
    <row r="78" spans="1:21" ht="15.75" x14ac:dyDescent="0.25">
      <c r="A78" s="1">
        <v>77</v>
      </c>
      <c r="B78" s="2" t="s">
        <v>314</v>
      </c>
      <c r="C78" s="3">
        <v>44952</v>
      </c>
      <c r="D78" s="3">
        <v>44957</v>
      </c>
      <c r="E78" s="1" t="s">
        <v>22</v>
      </c>
      <c r="F78" s="1" t="s">
        <v>315</v>
      </c>
      <c r="G78" s="1" t="s">
        <v>316</v>
      </c>
      <c r="H78" s="1" t="s">
        <v>37</v>
      </c>
      <c r="I78" s="1" t="s">
        <v>26</v>
      </c>
      <c r="J78" s="1" t="s">
        <v>317</v>
      </c>
      <c r="K78" s="1" t="s">
        <v>123</v>
      </c>
      <c r="L78" s="1">
        <v>22304</v>
      </c>
      <c r="M78" s="1" t="s">
        <v>63</v>
      </c>
      <c r="N78" s="1" t="s">
        <v>332</v>
      </c>
      <c r="O78" s="1" t="s">
        <v>96</v>
      </c>
      <c r="P78" s="1" t="s">
        <v>97</v>
      </c>
      <c r="Q78" s="1" t="s">
        <v>333</v>
      </c>
      <c r="R78" s="1">
        <v>155.35</v>
      </c>
      <c r="S78" s="1">
        <v>13</v>
      </c>
      <c r="T78" s="1">
        <v>0</v>
      </c>
      <c r="U78" s="1">
        <v>0</v>
      </c>
    </row>
    <row r="79" spans="1:21" ht="15.75" x14ac:dyDescent="0.25">
      <c r="A79" s="1">
        <v>78</v>
      </c>
      <c r="B79" s="2" t="s">
        <v>334</v>
      </c>
      <c r="C79" s="3">
        <v>44953</v>
      </c>
      <c r="D79" s="3">
        <v>44959</v>
      </c>
      <c r="E79" s="1" t="s">
        <v>22</v>
      </c>
      <c r="F79" s="1" t="s">
        <v>335</v>
      </c>
      <c r="G79" s="1" t="s">
        <v>336</v>
      </c>
      <c r="H79" s="1" t="s">
        <v>25</v>
      </c>
      <c r="I79" s="1" t="s">
        <v>26</v>
      </c>
      <c r="J79" s="1" t="s">
        <v>337</v>
      </c>
      <c r="K79" s="1" t="s">
        <v>91</v>
      </c>
      <c r="L79" s="1">
        <v>92037</v>
      </c>
      <c r="M79" s="1" t="s">
        <v>92</v>
      </c>
      <c r="N79" s="1" t="s">
        <v>338</v>
      </c>
      <c r="O79" s="1" t="s">
        <v>65</v>
      </c>
      <c r="P79" s="1" t="s">
        <v>339</v>
      </c>
      <c r="Q79" s="1" t="s">
        <v>340</v>
      </c>
      <c r="R79" s="1">
        <v>333</v>
      </c>
      <c r="S79" s="1">
        <v>3</v>
      </c>
      <c r="T79" s="1">
        <v>0.2</v>
      </c>
      <c r="U79" s="1">
        <v>-16.649999999999991</v>
      </c>
    </row>
    <row r="80" spans="1:21" ht="15.75" x14ac:dyDescent="0.25">
      <c r="A80" s="1">
        <v>79</v>
      </c>
      <c r="B80" s="2" t="s">
        <v>334</v>
      </c>
      <c r="C80" s="3">
        <v>44953</v>
      </c>
      <c r="D80" s="3">
        <v>44959</v>
      </c>
      <c r="E80" s="1" t="s">
        <v>22</v>
      </c>
      <c r="F80" s="1" t="s">
        <v>335</v>
      </c>
      <c r="G80" s="1" t="s">
        <v>336</v>
      </c>
      <c r="H80" s="1" t="s">
        <v>25</v>
      </c>
      <c r="I80" s="1" t="s">
        <v>26</v>
      </c>
      <c r="J80" s="1" t="s">
        <v>337</v>
      </c>
      <c r="K80" s="1" t="s">
        <v>91</v>
      </c>
      <c r="L80" s="1">
        <v>92037</v>
      </c>
      <c r="M80" s="1" t="s">
        <v>92</v>
      </c>
      <c r="N80" s="1" t="s">
        <v>341</v>
      </c>
      <c r="O80" s="1" t="s">
        <v>31</v>
      </c>
      <c r="P80" s="1" t="s">
        <v>56</v>
      </c>
      <c r="Q80" s="1" t="s">
        <v>342</v>
      </c>
      <c r="R80" s="1">
        <v>36.44</v>
      </c>
      <c r="S80" s="1">
        <v>4</v>
      </c>
      <c r="T80" s="1">
        <v>0</v>
      </c>
      <c r="U80" s="1">
        <v>12.025199999999998</v>
      </c>
    </row>
    <row r="81" spans="1:21" ht="15.75" x14ac:dyDescent="0.25">
      <c r="A81" s="1">
        <v>80</v>
      </c>
      <c r="B81" s="2" t="s">
        <v>334</v>
      </c>
      <c r="C81" s="3">
        <v>44953</v>
      </c>
      <c r="D81" s="3">
        <v>44959</v>
      </c>
      <c r="E81" s="1" t="s">
        <v>22</v>
      </c>
      <c r="F81" s="1" t="s">
        <v>335</v>
      </c>
      <c r="G81" s="1" t="s">
        <v>336</v>
      </c>
      <c r="H81" s="1" t="s">
        <v>25</v>
      </c>
      <c r="I81" s="1" t="s">
        <v>26</v>
      </c>
      <c r="J81" s="1" t="s">
        <v>337</v>
      </c>
      <c r="K81" s="1" t="s">
        <v>91</v>
      </c>
      <c r="L81" s="1">
        <v>92037</v>
      </c>
      <c r="M81" s="1" t="s">
        <v>92</v>
      </c>
      <c r="N81" s="1" t="s">
        <v>343</v>
      </c>
      <c r="O81" s="1" t="s">
        <v>31</v>
      </c>
      <c r="P81" s="1" t="s">
        <v>47</v>
      </c>
      <c r="Q81" s="1" t="s">
        <v>344</v>
      </c>
      <c r="R81" s="1">
        <v>57.23</v>
      </c>
      <c r="S81" s="1">
        <v>1</v>
      </c>
      <c r="T81" s="1">
        <v>0</v>
      </c>
      <c r="U81" s="1">
        <v>14.307499999999997</v>
      </c>
    </row>
    <row r="82" spans="1:21" ht="15.75" x14ac:dyDescent="0.25">
      <c r="A82" s="1">
        <v>81</v>
      </c>
      <c r="B82" s="2" t="s">
        <v>345</v>
      </c>
      <c r="C82" s="3">
        <v>44954</v>
      </c>
      <c r="D82" s="3">
        <v>44960</v>
      </c>
      <c r="E82" s="1" t="s">
        <v>22</v>
      </c>
      <c r="F82" s="1" t="s">
        <v>346</v>
      </c>
      <c r="G82" s="1" t="s">
        <v>347</v>
      </c>
      <c r="H82" s="1" t="s">
        <v>25</v>
      </c>
      <c r="I82" s="1" t="s">
        <v>26</v>
      </c>
      <c r="J82" s="1" t="s">
        <v>348</v>
      </c>
      <c r="K82" s="1" t="s">
        <v>349</v>
      </c>
      <c r="L82" s="1">
        <v>10024</v>
      </c>
      <c r="M82" s="1" t="s">
        <v>54</v>
      </c>
      <c r="N82" s="1" t="s">
        <v>350</v>
      </c>
      <c r="O82" s="1" t="s">
        <v>31</v>
      </c>
      <c r="P82" s="1" t="s">
        <v>41</v>
      </c>
      <c r="Q82" s="1" t="s">
        <v>351</v>
      </c>
      <c r="R82" s="1">
        <v>3.9280000000000004</v>
      </c>
      <c r="S82" s="1">
        <v>1</v>
      </c>
      <c r="T82" s="1">
        <v>0.2</v>
      </c>
      <c r="U82" s="1">
        <v>1.3256999999999999</v>
      </c>
    </row>
    <row r="83" spans="1:21" ht="15.75" x14ac:dyDescent="0.25">
      <c r="A83" s="1">
        <v>82</v>
      </c>
      <c r="B83" s="2" t="s">
        <v>352</v>
      </c>
      <c r="C83" s="3">
        <v>44956</v>
      </c>
      <c r="D83" s="3">
        <v>44961</v>
      </c>
      <c r="E83" s="1" t="s">
        <v>22</v>
      </c>
      <c r="F83" s="1" t="s">
        <v>353</v>
      </c>
      <c r="G83" s="1" t="s">
        <v>354</v>
      </c>
      <c r="H83" s="1" t="s">
        <v>25</v>
      </c>
      <c r="I83" s="1" t="s">
        <v>26</v>
      </c>
      <c r="J83" s="1" t="s">
        <v>355</v>
      </c>
      <c r="K83" s="1" t="s">
        <v>231</v>
      </c>
      <c r="L83" s="1">
        <v>48234</v>
      </c>
      <c r="M83" s="1" t="s">
        <v>29</v>
      </c>
      <c r="N83" s="1" t="s">
        <v>356</v>
      </c>
      <c r="O83" s="1" t="s">
        <v>31</v>
      </c>
      <c r="P83" s="1" t="s">
        <v>32</v>
      </c>
      <c r="Q83" s="1" t="s">
        <v>357</v>
      </c>
      <c r="R83" s="1">
        <v>10.56</v>
      </c>
      <c r="S83" s="1">
        <v>2</v>
      </c>
      <c r="T83" s="1">
        <v>0</v>
      </c>
      <c r="U83" s="1">
        <v>4.7519999999999998</v>
      </c>
    </row>
    <row r="84" spans="1:21" ht="15.75" x14ac:dyDescent="0.25">
      <c r="A84" s="1">
        <v>83</v>
      </c>
      <c r="B84" s="2" t="s">
        <v>352</v>
      </c>
      <c r="C84" s="3">
        <v>44956</v>
      </c>
      <c r="D84" s="3">
        <v>44961</v>
      </c>
      <c r="E84" s="1" t="s">
        <v>22</v>
      </c>
      <c r="F84" s="1" t="s">
        <v>353</v>
      </c>
      <c r="G84" s="1" t="s">
        <v>354</v>
      </c>
      <c r="H84" s="1" t="s">
        <v>25</v>
      </c>
      <c r="I84" s="1" t="s">
        <v>26</v>
      </c>
      <c r="J84" s="1" t="s">
        <v>355</v>
      </c>
      <c r="K84" s="1" t="s">
        <v>231</v>
      </c>
      <c r="L84" s="1">
        <v>48234</v>
      </c>
      <c r="M84" s="1" t="s">
        <v>29</v>
      </c>
      <c r="N84" s="1" t="s">
        <v>358</v>
      </c>
      <c r="O84" s="1" t="s">
        <v>31</v>
      </c>
      <c r="P84" s="1" t="s">
        <v>47</v>
      </c>
      <c r="Q84" s="1" t="s">
        <v>359</v>
      </c>
      <c r="R84" s="1">
        <v>229.94</v>
      </c>
      <c r="S84" s="1">
        <v>2</v>
      </c>
      <c r="T84" s="1">
        <v>0</v>
      </c>
      <c r="U84" s="1">
        <v>6.8982000000000028</v>
      </c>
    </row>
    <row r="85" spans="1:21" ht="15.75" x14ac:dyDescent="0.25">
      <c r="A85" s="1">
        <v>84</v>
      </c>
      <c r="B85" s="2" t="s">
        <v>360</v>
      </c>
      <c r="C85" s="3">
        <v>44957</v>
      </c>
      <c r="D85" s="3">
        <v>44959</v>
      </c>
      <c r="E85" s="1" t="s">
        <v>71</v>
      </c>
      <c r="F85" s="1" t="s">
        <v>361</v>
      </c>
      <c r="G85" s="1" t="s">
        <v>362</v>
      </c>
      <c r="H85" s="1" t="s">
        <v>25</v>
      </c>
      <c r="I85" s="1" t="s">
        <v>26</v>
      </c>
      <c r="J85" s="1" t="s">
        <v>363</v>
      </c>
      <c r="K85" s="1" t="s">
        <v>91</v>
      </c>
      <c r="L85" s="1">
        <v>92691</v>
      </c>
      <c r="M85" s="1" t="s">
        <v>92</v>
      </c>
      <c r="N85" s="1" t="s">
        <v>364</v>
      </c>
      <c r="O85" s="1" t="s">
        <v>65</v>
      </c>
      <c r="P85" s="1" t="s">
        <v>140</v>
      </c>
      <c r="Q85" s="1" t="s">
        <v>365</v>
      </c>
      <c r="R85" s="1">
        <v>290.666</v>
      </c>
      <c r="S85" s="1">
        <v>2</v>
      </c>
      <c r="T85" s="1">
        <v>0.15</v>
      </c>
      <c r="U85" s="1">
        <v>3.4195999999999884</v>
      </c>
    </row>
    <row r="86" spans="1:21" ht="15.75" x14ac:dyDescent="0.25">
      <c r="A86" s="1">
        <v>85</v>
      </c>
      <c r="B86" s="2" t="s">
        <v>366</v>
      </c>
      <c r="C86" s="3">
        <v>44958</v>
      </c>
      <c r="D86" s="3">
        <v>44960</v>
      </c>
      <c r="E86" s="1" t="s">
        <v>71</v>
      </c>
      <c r="F86" s="1" t="s">
        <v>367</v>
      </c>
      <c r="G86" s="1" t="s">
        <v>368</v>
      </c>
      <c r="H86" s="1" t="s">
        <v>25</v>
      </c>
      <c r="I86" s="1" t="s">
        <v>26</v>
      </c>
      <c r="J86" s="1" t="s">
        <v>369</v>
      </c>
      <c r="K86" s="1" t="s">
        <v>370</v>
      </c>
      <c r="L86" s="1">
        <v>54302</v>
      </c>
      <c r="M86" s="1" t="s">
        <v>29</v>
      </c>
      <c r="N86" s="1" t="s">
        <v>371</v>
      </c>
      <c r="O86" s="1" t="s">
        <v>96</v>
      </c>
      <c r="P86" s="1" t="s">
        <v>117</v>
      </c>
      <c r="Q86" s="1" t="s">
        <v>372</v>
      </c>
      <c r="R86" s="1">
        <v>468.90000000000003</v>
      </c>
      <c r="S86" s="1">
        <v>6</v>
      </c>
      <c r="T86" s="1">
        <v>0</v>
      </c>
      <c r="U86" s="1">
        <v>206.31600000000006</v>
      </c>
    </row>
    <row r="87" spans="1:21" ht="15.75" x14ac:dyDescent="0.25">
      <c r="A87" s="1">
        <v>86</v>
      </c>
      <c r="B87" s="2" t="s">
        <v>373</v>
      </c>
      <c r="C87" s="3">
        <v>44959</v>
      </c>
      <c r="D87" s="3">
        <v>44966</v>
      </c>
      <c r="E87" s="1" t="s">
        <v>22</v>
      </c>
      <c r="F87" s="1" t="s">
        <v>374</v>
      </c>
      <c r="G87" s="1" t="s">
        <v>375</v>
      </c>
      <c r="H87" s="1" t="s">
        <v>25</v>
      </c>
      <c r="I87" s="1" t="s">
        <v>26</v>
      </c>
      <c r="J87" s="1" t="s">
        <v>376</v>
      </c>
      <c r="K87" s="1" t="s">
        <v>273</v>
      </c>
      <c r="L87" s="1">
        <v>33710</v>
      </c>
      <c r="M87" s="1" t="s">
        <v>63</v>
      </c>
      <c r="N87" s="1" t="s">
        <v>377</v>
      </c>
      <c r="O87" s="1" t="s">
        <v>31</v>
      </c>
      <c r="P87" s="1" t="s">
        <v>41</v>
      </c>
      <c r="Q87" s="1" t="s">
        <v>378</v>
      </c>
      <c r="R87" s="1">
        <v>18.336000000000002</v>
      </c>
      <c r="S87" s="1">
        <v>2</v>
      </c>
      <c r="T87" s="1">
        <v>0.7</v>
      </c>
      <c r="U87" s="1">
        <v>-12.224</v>
      </c>
    </row>
    <row r="88" spans="1:21" ht="15.75" x14ac:dyDescent="0.25">
      <c r="A88" s="1">
        <v>87</v>
      </c>
      <c r="B88" s="2" t="s">
        <v>379</v>
      </c>
      <c r="C88" s="3">
        <v>44959</v>
      </c>
      <c r="D88" s="3">
        <v>44963</v>
      </c>
      <c r="E88" s="1" t="s">
        <v>22</v>
      </c>
      <c r="F88" s="1" t="s">
        <v>380</v>
      </c>
      <c r="G88" s="1" t="s">
        <v>381</v>
      </c>
      <c r="H88" s="1" t="s">
        <v>37</v>
      </c>
      <c r="I88" s="1" t="s">
        <v>26</v>
      </c>
      <c r="J88" s="1" t="s">
        <v>337</v>
      </c>
      <c r="K88" s="1" t="s">
        <v>91</v>
      </c>
      <c r="L88" s="1">
        <v>92037</v>
      </c>
      <c r="M88" s="1" t="s">
        <v>92</v>
      </c>
      <c r="N88" s="1" t="s">
        <v>382</v>
      </c>
      <c r="O88" s="1" t="s">
        <v>31</v>
      </c>
      <c r="P88" s="1" t="s">
        <v>82</v>
      </c>
      <c r="Q88" s="1" t="s">
        <v>383</v>
      </c>
      <c r="R88" s="1">
        <v>12.350000000000001</v>
      </c>
      <c r="S88" s="1">
        <v>5</v>
      </c>
      <c r="T88" s="1">
        <v>0</v>
      </c>
      <c r="U88" s="1">
        <v>5.8045</v>
      </c>
    </row>
    <row r="89" spans="1:21" ht="15.75" x14ac:dyDescent="0.25">
      <c r="A89" s="1">
        <v>88</v>
      </c>
      <c r="B89" s="2" t="s">
        <v>373</v>
      </c>
      <c r="C89" s="3">
        <v>44959</v>
      </c>
      <c r="D89" s="3">
        <v>44966</v>
      </c>
      <c r="E89" s="1" t="s">
        <v>22</v>
      </c>
      <c r="F89" s="1" t="s">
        <v>374</v>
      </c>
      <c r="G89" s="1" t="s">
        <v>375</v>
      </c>
      <c r="H89" s="1" t="s">
        <v>25</v>
      </c>
      <c r="I89" s="1" t="s">
        <v>26</v>
      </c>
      <c r="J89" s="1" t="s">
        <v>376</v>
      </c>
      <c r="K89" s="1" t="s">
        <v>273</v>
      </c>
      <c r="L89" s="1">
        <v>33710</v>
      </c>
      <c r="M89" s="1" t="s">
        <v>63</v>
      </c>
      <c r="N89" s="1" t="s">
        <v>384</v>
      </c>
      <c r="O89" s="1" t="s">
        <v>96</v>
      </c>
      <c r="P89" s="1" t="s">
        <v>97</v>
      </c>
      <c r="Q89" s="1" t="s">
        <v>385</v>
      </c>
      <c r="R89" s="1">
        <v>180.96</v>
      </c>
      <c r="S89" s="1">
        <v>5</v>
      </c>
      <c r="T89" s="1">
        <v>0.2</v>
      </c>
      <c r="U89" s="1">
        <v>13.571999999999996</v>
      </c>
    </row>
    <row r="90" spans="1:21" ht="15.75" x14ac:dyDescent="0.25">
      <c r="A90" s="1">
        <v>89</v>
      </c>
      <c r="B90" s="2" t="s">
        <v>386</v>
      </c>
      <c r="C90" s="3">
        <v>44960</v>
      </c>
      <c r="D90" s="3">
        <v>44963</v>
      </c>
      <c r="E90" s="1" t="s">
        <v>87</v>
      </c>
      <c r="F90" s="1" t="s">
        <v>270</v>
      </c>
      <c r="G90" s="1" t="s">
        <v>271</v>
      </c>
      <c r="H90" s="1" t="s">
        <v>25</v>
      </c>
      <c r="I90" s="1" t="s">
        <v>26</v>
      </c>
      <c r="J90" s="1" t="s">
        <v>387</v>
      </c>
      <c r="K90" s="1" t="s">
        <v>388</v>
      </c>
      <c r="L90" s="1">
        <v>98105</v>
      </c>
      <c r="M90" s="1" t="s">
        <v>92</v>
      </c>
      <c r="N90" s="1" t="s">
        <v>389</v>
      </c>
      <c r="O90" s="1" t="s">
        <v>31</v>
      </c>
      <c r="P90" s="1" t="s">
        <v>41</v>
      </c>
      <c r="Q90" s="1" t="s">
        <v>390</v>
      </c>
      <c r="R90" s="1">
        <v>13.272000000000002</v>
      </c>
      <c r="S90" s="1">
        <v>3</v>
      </c>
      <c r="T90" s="1">
        <v>0.2</v>
      </c>
      <c r="U90" s="1">
        <v>4.3133999999999997</v>
      </c>
    </row>
    <row r="91" spans="1:21" ht="15.75" x14ac:dyDescent="0.25">
      <c r="A91" s="1">
        <v>90</v>
      </c>
      <c r="B91" s="2" t="s">
        <v>386</v>
      </c>
      <c r="C91" s="3">
        <v>44960</v>
      </c>
      <c r="D91" s="3">
        <v>44963</v>
      </c>
      <c r="E91" s="1" t="s">
        <v>87</v>
      </c>
      <c r="F91" s="1" t="s">
        <v>270</v>
      </c>
      <c r="G91" s="1" t="s">
        <v>271</v>
      </c>
      <c r="H91" s="1" t="s">
        <v>25</v>
      </c>
      <c r="I91" s="1" t="s">
        <v>26</v>
      </c>
      <c r="J91" s="1" t="s">
        <v>387</v>
      </c>
      <c r="K91" s="1" t="s">
        <v>388</v>
      </c>
      <c r="L91" s="1">
        <v>98105</v>
      </c>
      <c r="M91" s="1" t="s">
        <v>92</v>
      </c>
      <c r="N91" s="1" t="s">
        <v>391</v>
      </c>
      <c r="O91" s="1" t="s">
        <v>31</v>
      </c>
      <c r="P91" s="1" t="s">
        <v>41</v>
      </c>
      <c r="Q91" s="1" t="s">
        <v>392</v>
      </c>
      <c r="R91" s="1">
        <v>83.84</v>
      </c>
      <c r="S91" s="1">
        <v>2</v>
      </c>
      <c r="T91" s="1">
        <v>0.2</v>
      </c>
      <c r="U91" s="1">
        <v>27.247999999999998</v>
      </c>
    </row>
    <row r="92" spans="1:21" ht="15.75" x14ac:dyDescent="0.25">
      <c r="A92" s="1">
        <v>91</v>
      </c>
      <c r="B92" s="2" t="s">
        <v>393</v>
      </c>
      <c r="C92" s="3">
        <v>44961</v>
      </c>
      <c r="D92" s="3">
        <v>44965</v>
      </c>
      <c r="E92" s="1" t="s">
        <v>87</v>
      </c>
      <c r="F92" s="1" t="s">
        <v>394</v>
      </c>
      <c r="G92" s="1" t="s">
        <v>395</v>
      </c>
      <c r="H92" s="1" t="s">
        <v>74</v>
      </c>
      <c r="I92" s="1" t="s">
        <v>26</v>
      </c>
      <c r="J92" s="1" t="s">
        <v>396</v>
      </c>
      <c r="K92" s="1" t="s">
        <v>91</v>
      </c>
      <c r="L92" s="1">
        <v>92025</v>
      </c>
      <c r="M92" s="1" t="s">
        <v>92</v>
      </c>
      <c r="N92" s="1" t="s">
        <v>214</v>
      </c>
      <c r="O92" s="1" t="s">
        <v>31</v>
      </c>
      <c r="P92" s="1" t="s">
        <v>41</v>
      </c>
      <c r="Q92" s="1" t="s">
        <v>215</v>
      </c>
      <c r="R92" s="1">
        <v>17.248000000000001</v>
      </c>
      <c r="S92" s="1">
        <v>2</v>
      </c>
      <c r="T92" s="1">
        <v>0.2</v>
      </c>
      <c r="U92" s="1">
        <v>6.0367999999999986</v>
      </c>
    </row>
    <row r="93" spans="1:21" ht="15.75" x14ac:dyDescent="0.25">
      <c r="A93" s="1">
        <v>92</v>
      </c>
      <c r="B93" s="2" t="s">
        <v>397</v>
      </c>
      <c r="C93" s="3">
        <v>44961</v>
      </c>
      <c r="D93" s="3">
        <v>44965</v>
      </c>
      <c r="E93" s="1" t="s">
        <v>22</v>
      </c>
      <c r="F93" s="1" t="s">
        <v>398</v>
      </c>
      <c r="G93" s="1" t="s">
        <v>399</v>
      </c>
      <c r="H93" s="1" t="s">
        <v>37</v>
      </c>
      <c r="I93" s="1" t="s">
        <v>26</v>
      </c>
      <c r="J93" s="1" t="s">
        <v>337</v>
      </c>
      <c r="K93" s="1" t="s">
        <v>91</v>
      </c>
      <c r="L93" s="1">
        <v>92024</v>
      </c>
      <c r="M93" s="1" t="s">
        <v>92</v>
      </c>
      <c r="N93" s="1" t="s">
        <v>400</v>
      </c>
      <c r="O93" s="1" t="s">
        <v>31</v>
      </c>
      <c r="P93" s="1" t="s">
        <v>41</v>
      </c>
      <c r="Q93" s="1" t="s">
        <v>401</v>
      </c>
      <c r="R93" s="1">
        <v>82.896000000000001</v>
      </c>
      <c r="S93" s="1">
        <v>3</v>
      </c>
      <c r="T93" s="1">
        <v>0.2</v>
      </c>
      <c r="U93" s="1">
        <v>29.0136</v>
      </c>
    </row>
    <row r="94" spans="1:21" ht="15.75" x14ac:dyDescent="0.25">
      <c r="A94" s="1">
        <v>93</v>
      </c>
      <c r="B94" s="2" t="s">
        <v>397</v>
      </c>
      <c r="C94" s="3">
        <v>44961</v>
      </c>
      <c r="D94" s="3">
        <v>44965</v>
      </c>
      <c r="E94" s="1" t="s">
        <v>22</v>
      </c>
      <c r="F94" s="1" t="s">
        <v>398</v>
      </c>
      <c r="G94" s="1" t="s">
        <v>399</v>
      </c>
      <c r="H94" s="1" t="s">
        <v>37</v>
      </c>
      <c r="I94" s="1" t="s">
        <v>26</v>
      </c>
      <c r="J94" s="1" t="s">
        <v>337</v>
      </c>
      <c r="K94" s="1" t="s">
        <v>91</v>
      </c>
      <c r="L94" s="1">
        <v>92024</v>
      </c>
      <c r="M94" s="1" t="s">
        <v>92</v>
      </c>
      <c r="N94" s="1" t="s">
        <v>402</v>
      </c>
      <c r="O94" s="1" t="s">
        <v>31</v>
      </c>
      <c r="P94" s="1" t="s">
        <v>32</v>
      </c>
      <c r="Q94" s="1" t="s">
        <v>403</v>
      </c>
      <c r="R94" s="1">
        <v>34.24</v>
      </c>
      <c r="S94" s="1">
        <v>4</v>
      </c>
      <c r="T94" s="1">
        <v>0</v>
      </c>
      <c r="U94" s="1">
        <v>16.0928</v>
      </c>
    </row>
    <row r="95" spans="1:21" ht="15.75" x14ac:dyDescent="0.25">
      <c r="A95" s="1">
        <v>94</v>
      </c>
      <c r="B95" s="2" t="s">
        <v>404</v>
      </c>
      <c r="C95" s="3">
        <v>44963</v>
      </c>
      <c r="D95" s="3">
        <v>44967</v>
      </c>
      <c r="E95" s="1" t="s">
        <v>87</v>
      </c>
      <c r="F95" s="1" t="s">
        <v>190</v>
      </c>
      <c r="G95" s="1" t="s">
        <v>191</v>
      </c>
      <c r="H95" s="1" t="s">
        <v>25</v>
      </c>
      <c r="I95" s="1" t="s">
        <v>26</v>
      </c>
      <c r="J95" s="1" t="s">
        <v>405</v>
      </c>
      <c r="K95" s="1" t="s">
        <v>39</v>
      </c>
      <c r="L95" s="1">
        <v>60441</v>
      </c>
      <c r="M95" s="1" t="s">
        <v>29</v>
      </c>
      <c r="N95" s="1" t="s">
        <v>406</v>
      </c>
      <c r="O95" s="1" t="s">
        <v>31</v>
      </c>
      <c r="P95" s="1" t="s">
        <v>41</v>
      </c>
      <c r="Q95" s="1" t="s">
        <v>407</v>
      </c>
      <c r="R95" s="1">
        <v>8.9519999999999982</v>
      </c>
      <c r="S95" s="1">
        <v>2</v>
      </c>
      <c r="T95" s="1">
        <v>0.8</v>
      </c>
      <c r="U95" s="1">
        <v>-14.770800000000001</v>
      </c>
    </row>
    <row r="96" spans="1:21" ht="15.75" x14ac:dyDescent="0.25">
      <c r="A96" s="1">
        <v>95</v>
      </c>
      <c r="B96" s="2" t="s">
        <v>408</v>
      </c>
      <c r="C96" s="3">
        <v>44963</v>
      </c>
      <c r="D96" s="3">
        <v>44966</v>
      </c>
      <c r="E96" s="1" t="s">
        <v>71</v>
      </c>
      <c r="F96" s="1" t="s">
        <v>409</v>
      </c>
      <c r="G96" s="1" t="s">
        <v>410</v>
      </c>
      <c r="H96" s="1" t="s">
        <v>74</v>
      </c>
      <c r="I96" s="1" t="s">
        <v>26</v>
      </c>
      <c r="J96" s="1" t="s">
        <v>411</v>
      </c>
      <c r="K96" s="1" t="s">
        <v>123</v>
      </c>
      <c r="L96" s="1">
        <v>23320</v>
      </c>
      <c r="M96" s="1" t="s">
        <v>63</v>
      </c>
      <c r="N96" s="1" t="s">
        <v>412</v>
      </c>
      <c r="O96" s="1" t="s">
        <v>31</v>
      </c>
      <c r="P96" s="1" t="s">
        <v>44</v>
      </c>
      <c r="Q96" s="1" t="s">
        <v>413</v>
      </c>
      <c r="R96" s="1">
        <v>15</v>
      </c>
      <c r="S96" s="1">
        <v>4</v>
      </c>
      <c r="T96" s="1">
        <v>0</v>
      </c>
      <c r="U96" s="1">
        <v>7.1999999999999993</v>
      </c>
    </row>
    <row r="97" spans="1:21" ht="15.75" x14ac:dyDescent="0.25">
      <c r="A97" s="1">
        <v>96</v>
      </c>
      <c r="B97" s="2" t="s">
        <v>408</v>
      </c>
      <c r="C97" s="3">
        <v>44963</v>
      </c>
      <c r="D97" s="3">
        <v>44966</v>
      </c>
      <c r="E97" s="1" t="s">
        <v>71</v>
      </c>
      <c r="F97" s="1" t="s">
        <v>409</v>
      </c>
      <c r="G97" s="1" t="s">
        <v>410</v>
      </c>
      <c r="H97" s="1" t="s">
        <v>74</v>
      </c>
      <c r="I97" s="1" t="s">
        <v>26</v>
      </c>
      <c r="J97" s="1" t="s">
        <v>411</v>
      </c>
      <c r="K97" s="1" t="s">
        <v>123</v>
      </c>
      <c r="L97" s="1">
        <v>23320</v>
      </c>
      <c r="M97" s="1" t="s">
        <v>63</v>
      </c>
      <c r="N97" s="1" t="s">
        <v>414</v>
      </c>
      <c r="O97" s="1" t="s">
        <v>96</v>
      </c>
      <c r="P97" s="1" t="s">
        <v>97</v>
      </c>
      <c r="Q97" s="1" t="s">
        <v>415</v>
      </c>
      <c r="R97" s="1">
        <v>144.94999999999999</v>
      </c>
      <c r="S97" s="1">
        <v>5</v>
      </c>
      <c r="T97" s="1">
        <v>0</v>
      </c>
      <c r="U97" s="1">
        <v>42.035499999999985</v>
      </c>
    </row>
    <row r="98" spans="1:21" ht="15.75" x14ac:dyDescent="0.25">
      <c r="A98" s="1">
        <v>97</v>
      </c>
      <c r="B98" s="2" t="s">
        <v>408</v>
      </c>
      <c r="C98" s="3">
        <v>44963</v>
      </c>
      <c r="D98" s="3">
        <v>44966</v>
      </c>
      <c r="E98" s="1" t="s">
        <v>71</v>
      </c>
      <c r="F98" s="1" t="s">
        <v>409</v>
      </c>
      <c r="G98" s="1" t="s">
        <v>410</v>
      </c>
      <c r="H98" s="1" t="s">
        <v>74</v>
      </c>
      <c r="I98" s="1" t="s">
        <v>26</v>
      </c>
      <c r="J98" s="1" t="s">
        <v>411</v>
      </c>
      <c r="K98" s="1" t="s">
        <v>123</v>
      </c>
      <c r="L98" s="1">
        <v>23320</v>
      </c>
      <c r="M98" s="1" t="s">
        <v>63</v>
      </c>
      <c r="N98" s="1" t="s">
        <v>416</v>
      </c>
      <c r="O98" s="1" t="s">
        <v>96</v>
      </c>
      <c r="P98" s="1" t="s">
        <v>97</v>
      </c>
      <c r="Q98" s="1" t="s">
        <v>417</v>
      </c>
      <c r="R98" s="1">
        <v>161.61000000000001</v>
      </c>
      <c r="S98" s="1">
        <v>1</v>
      </c>
      <c r="T98" s="1">
        <v>0</v>
      </c>
      <c r="U98" s="1">
        <v>42.018600000000006</v>
      </c>
    </row>
    <row r="99" spans="1:21" ht="15.75" x14ac:dyDescent="0.25">
      <c r="A99" s="1">
        <v>98</v>
      </c>
      <c r="B99" s="2" t="s">
        <v>418</v>
      </c>
      <c r="C99" s="3">
        <v>44964</v>
      </c>
      <c r="D99" s="3">
        <v>44967</v>
      </c>
      <c r="E99" s="1" t="s">
        <v>87</v>
      </c>
      <c r="F99" s="1" t="s">
        <v>159</v>
      </c>
      <c r="G99" s="1" t="s">
        <v>160</v>
      </c>
      <c r="H99" s="1" t="s">
        <v>74</v>
      </c>
      <c r="I99" s="1" t="s">
        <v>26</v>
      </c>
      <c r="J99" s="1" t="s">
        <v>348</v>
      </c>
      <c r="K99" s="1" t="s">
        <v>349</v>
      </c>
      <c r="L99" s="1">
        <v>10024</v>
      </c>
      <c r="M99" s="1" t="s">
        <v>54</v>
      </c>
      <c r="N99" s="1" t="s">
        <v>419</v>
      </c>
      <c r="O99" s="1" t="s">
        <v>31</v>
      </c>
      <c r="P99" s="1" t="s">
        <v>47</v>
      </c>
      <c r="Q99" s="1" t="s">
        <v>420</v>
      </c>
      <c r="R99" s="1">
        <v>64.959999999999994</v>
      </c>
      <c r="S99" s="1">
        <v>4</v>
      </c>
      <c r="T99" s="1">
        <v>0</v>
      </c>
      <c r="U99" s="1">
        <v>9.7439999999999998</v>
      </c>
    </row>
    <row r="100" spans="1:21" ht="15.75" x14ac:dyDescent="0.25">
      <c r="A100" s="1">
        <v>99</v>
      </c>
      <c r="B100" s="2" t="s">
        <v>421</v>
      </c>
      <c r="C100" s="3">
        <v>44964</v>
      </c>
      <c r="D100" s="3">
        <v>44969</v>
      </c>
      <c r="E100" s="1" t="s">
        <v>22</v>
      </c>
      <c r="F100" s="1" t="s">
        <v>422</v>
      </c>
      <c r="G100" s="1" t="s">
        <v>423</v>
      </c>
      <c r="H100" s="1" t="s">
        <v>74</v>
      </c>
      <c r="I100" s="1" t="s">
        <v>26</v>
      </c>
      <c r="J100" s="1" t="s">
        <v>424</v>
      </c>
      <c r="K100" s="1" t="s">
        <v>425</v>
      </c>
      <c r="L100" s="1">
        <v>7036</v>
      </c>
      <c r="M100" s="1" t="s">
        <v>54</v>
      </c>
      <c r="N100" s="1" t="s">
        <v>426</v>
      </c>
      <c r="O100" s="1" t="s">
        <v>96</v>
      </c>
      <c r="P100" s="1" t="s">
        <v>117</v>
      </c>
      <c r="Q100" s="1" t="s">
        <v>427</v>
      </c>
      <c r="R100" s="1">
        <v>115.36</v>
      </c>
      <c r="S100" s="1">
        <v>7</v>
      </c>
      <c r="T100" s="1">
        <v>0</v>
      </c>
      <c r="U100" s="1">
        <v>49.604800000000012</v>
      </c>
    </row>
    <row r="101" spans="1:21" ht="15.75" x14ac:dyDescent="0.25">
      <c r="A101" s="1">
        <v>100</v>
      </c>
      <c r="B101" s="2" t="s">
        <v>428</v>
      </c>
      <c r="C101" s="3">
        <v>44965</v>
      </c>
      <c r="D101" s="3">
        <v>44966</v>
      </c>
      <c r="E101" s="1" t="s">
        <v>71</v>
      </c>
      <c r="F101" s="1" t="s">
        <v>429</v>
      </c>
      <c r="G101" s="1" t="s">
        <v>430</v>
      </c>
      <c r="H101" s="1" t="s">
        <v>37</v>
      </c>
      <c r="I101" s="1" t="s">
        <v>26</v>
      </c>
      <c r="J101" s="1" t="s">
        <v>431</v>
      </c>
      <c r="K101" s="1" t="s">
        <v>304</v>
      </c>
      <c r="L101" s="1">
        <v>89031</v>
      </c>
      <c r="M101" s="1" t="s">
        <v>92</v>
      </c>
      <c r="N101" s="1" t="s">
        <v>432</v>
      </c>
      <c r="O101" s="1" t="s">
        <v>65</v>
      </c>
      <c r="P101" s="1" t="s">
        <v>106</v>
      </c>
      <c r="Q101" s="1" t="s">
        <v>433</v>
      </c>
      <c r="R101" s="1">
        <v>14.56</v>
      </c>
      <c r="S101" s="1">
        <v>2</v>
      </c>
      <c r="T101" s="1">
        <v>0</v>
      </c>
      <c r="U101" s="1">
        <v>5.5327999999999999</v>
      </c>
    </row>
    <row r="102" spans="1:21" ht="15.75" x14ac:dyDescent="0.25">
      <c r="A102" s="1">
        <v>101</v>
      </c>
      <c r="B102" s="2" t="s">
        <v>434</v>
      </c>
      <c r="C102" s="3">
        <v>44968</v>
      </c>
      <c r="D102" s="3">
        <v>44972</v>
      </c>
      <c r="E102" s="1" t="s">
        <v>87</v>
      </c>
      <c r="F102" s="1" t="s">
        <v>435</v>
      </c>
      <c r="G102" s="1" t="s">
        <v>436</v>
      </c>
      <c r="H102" s="1" t="s">
        <v>25</v>
      </c>
      <c r="I102" s="1" t="s">
        <v>26</v>
      </c>
      <c r="J102" s="1" t="s">
        <v>437</v>
      </c>
      <c r="K102" s="1" t="s">
        <v>438</v>
      </c>
      <c r="L102" s="1">
        <v>65203</v>
      </c>
      <c r="M102" s="1" t="s">
        <v>29</v>
      </c>
      <c r="N102" s="1" t="s">
        <v>439</v>
      </c>
      <c r="O102" s="1" t="s">
        <v>65</v>
      </c>
      <c r="P102" s="1" t="s">
        <v>66</v>
      </c>
      <c r="Q102" s="1" t="s">
        <v>440</v>
      </c>
      <c r="R102" s="1">
        <v>60.89</v>
      </c>
      <c r="S102" s="1">
        <v>1</v>
      </c>
      <c r="T102" s="1">
        <v>0</v>
      </c>
      <c r="U102" s="1">
        <v>15.222499999999997</v>
      </c>
    </row>
    <row r="103" spans="1:21" ht="15.75" x14ac:dyDescent="0.25">
      <c r="A103" s="1">
        <v>102</v>
      </c>
      <c r="B103" s="2" t="s">
        <v>434</v>
      </c>
      <c r="C103" s="3">
        <v>44968</v>
      </c>
      <c r="D103" s="3">
        <v>44972</v>
      </c>
      <c r="E103" s="1" t="s">
        <v>87</v>
      </c>
      <c r="F103" s="1" t="s">
        <v>435</v>
      </c>
      <c r="G103" s="1" t="s">
        <v>436</v>
      </c>
      <c r="H103" s="1" t="s">
        <v>25</v>
      </c>
      <c r="I103" s="1" t="s">
        <v>26</v>
      </c>
      <c r="J103" s="1" t="s">
        <v>437</v>
      </c>
      <c r="K103" s="1" t="s">
        <v>438</v>
      </c>
      <c r="L103" s="1">
        <v>65203</v>
      </c>
      <c r="M103" s="1" t="s">
        <v>29</v>
      </c>
      <c r="N103" s="1" t="s">
        <v>441</v>
      </c>
      <c r="O103" s="1" t="s">
        <v>65</v>
      </c>
      <c r="P103" s="1" t="s">
        <v>106</v>
      </c>
      <c r="Q103" s="1" t="s">
        <v>442</v>
      </c>
      <c r="R103" s="1">
        <v>332.94</v>
      </c>
      <c r="S103" s="1">
        <v>3</v>
      </c>
      <c r="T103" s="1">
        <v>0</v>
      </c>
      <c r="U103" s="1">
        <v>53.270399999999995</v>
      </c>
    </row>
    <row r="104" spans="1:21" ht="15.75" x14ac:dyDescent="0.25">
      <c r="A104" s="1">
        <v>103</v>
      </c>
      <c r="B104" s="2" t="s">
        <v>443</v>
      </c>
      <c r="C104" s="3">
        <v>44968</v>
      </c>
      <c r="D104" s="3">
        <v>44972</v>
      </c>
      <c r="E104" s="1" t="s">
        <v>22</v>
      </c>
      <c r="F104" s="1" t="s">
        <v>444</v>
      </c>
      <c r="G104" s="1" t="s">
        <v>445</v>
      </c>
      <c r="H104" s="1" t="s">
        <v>25</v>
      </c>
      <c r="I104" s="1" t="s">
        <v>26</v>
      </c>
      <c r="J104" s="1" t="s">
        <v>411</v>
      </c>
      <c r="K104" s="1" t="s">
        <v>123</v>
      </c>
      <c r="L104" s="1">
        <v>23320</v>
      </c>
      <c r="M104" s="1" t="s">
        <v>63</v>
      </c>
      <c r="N104" s="1" t="s">
        <v>446</v>
      </c>
      <c r="O104" s="1" t="s">
        <v>65</v>
      </c>
      <c r="P104" s="1" t="s">
        <v>339</v>
      </c>
      <c r="Q104" s="1" t="s">
        <v>447</v>
      </c>
      <c r="R104" s="1">
        <v>1256.22</v>
      </c>
      <c r="S104" s="1">
        <v>6</v>
      </c>
      <c r="T104" s="1">
        <v>0</v>
      </c>
      <c r="U104" s="1">
        <v>75.37319999999994</v>
      </c>
    </row>
    <row r="105" spans="1:21" ht="15.75" x14ac:dyDescent="0.25">
      <c r="A105" s="1">
        <v>104</v>
      </c>
      <c r="B105" s="2" t="s">
        <v>443</v>
      </c>
      <c r="C105" s="3">
        <v>44968</v>
      </c>
      <c r="D105" s="3">
        <v>44972</v>
      </c>
      <c r="E105" s="1" t="s">
        <v>22</v>
      </c>
      <c r="F105" s="1" t="s">
        <v>444</v>
      </c>
      <c r="G105" s="1" t="s">
        <v>445</v>
      </c>
      <c r="H105" s="1" t="s">
        <v>25</v>
      </c>
      <c r="I105" s="1" t="s">
        <v>26</v>
      </c>
      <c r="J105" s="1" t="s">
        <v>411</v>
      </c>
      <c r="K105" s="1" t="s">
        <v>123</v>
      </c>
      <c r="L105" s="1">
        <v>23320</v>
      </c>
      <c r="M105" s="1" t="s">
        <v>63</v>
      </c>
      <c r="N105" s="1" t="s">
        <v>448</v>
      </c>
      <c r="O105" s="1" t="s">
        <v>31</v>
      </c>
      <c r="P105" s="1" t="s">
        <v>41</v>
      </c>
      <c r="Q105" s="1" t="s">
        <v>449</v>
      </c>
      <c r="R105" s="1">
        <v>17.46</v>
      </c>
      <c r="S105" s="1">
        <v>2</v>
      </c>
      <c r="T105" s="1">
        <v>0</v>
      </c>
      <c r="U105" s="1">
        <v>8.2061999999999991</v>
      </c>
    </row>
    <row r="106" spans="1:21" ht="15.75" x14ac:dyDescent="0.25">
      <c r="A106" s="1">
        <v>105</v>
      </c>
      <c r="B106" s="2" t="s">
        <v>434</v>
      </c>
      <c r="C106" s="3">
        <v>44968</v>
      </c>
      <c r="D106" s="3">
        <v>44972</v>
      </c>
      <c r="E106" s="1" t="s">
        <v>87</v>
      </c>
      <c r="F106" s="1" t="s">
        <v>435</v>
      </c>
      <c r="G106" s="1" t="s">
        <v>436</v>
      </c>
      <c r="H106" s="1" t="s">
        <v>25</v>
      </c>
      <c r="I106" s="1" t="s">
        <v>26</v>
      </c>
      <c r="J106" s="1" t="s">
        <v>437</v>
      </c>
      <c r="K106" s="1" t="s">
        <v>438</v>
      </c>
      <c r="L106" s="1">
        <v>65203</v>
      </c>
      <c r="M106" s="1" t="s">
        <v>29</v>
      </c>
      <c r="N106" s="1" t="s">
        <v>450</v>
      </c>
      <c r="O106" s="1" t="s">
        <v>31</v>
      </c>
      <c r="P106" s="1" t="s">
        <v>41</v>
      </c>
      <c r="Q106" s="1" t="s">
        <v>451</v>
      </c>
      <c r="R106" s="1">
        <v>51.900000000000006</v>
      </c>
      <c r="S106" s="1">
        <v>3</v>
      </c>
      <c r="T106" s="1">
        <v>0</v>
      </c>
      <c r="U106" s="1">
        <v>24.393000000000001</v>
      </c>
    </row>
    <row r="107" spans="1:21" ht="15.75" x14ac:dyDescent="0.25">
      <c r="A107" s="1">
        <v>106</v>
      </c>
      <c r="B107" s="2" t="s">
        <v>434</v>
      </c>
      <c r="C107" s="3">
        <v>44968</v>
      </c>
      <c r="D107" s="3">
        <v>44972</v>
      </c>
      <c r="E107" s="1" t="s">
        <v>87</v>
      </c>
      <c r="F107" s="1" t="s">
        <v>435</v>
      </c>
      <c r="G107" s="1" t="s">
        <v>436</v>
      </c>
      <c r="H107" s="1" t="s">
        <v>25</v>
      </c>
      <c r="I107" s="1" t="s">
        <v>26</v>
      </c>
      <c r="J107" s="1" t="s">
        <v>437</v>
      </c>
      <c r="K107" s="1" t="s">
        <v>438</v>
      </c>
      <c r="L107" s="1">
        <v>65203</v>
      </c>
      <c r="M107" s="1" t="s">
        <v>29</v>
      </c>
      <c r="N107" s="1" t="s">
        <v>452</v>
      </c>
      <c r="O107" s="1" t="s">
        <v>31</v>
      </c>
      <c r="P107" s="1" t="s">
        <v>41</v>
      </c>
      <c r="Q107" s="1" t="s">
        <v>453</v>
      </c>
      <c r="R107" s="1">
        <v>9.64</v>
      </c>
      <c r="S107" s="1">
        <v>2</v>
      </c>
      <c r="T107" s="1">
        <v>0</v>
      </c>
      <c r="U107" s="1">
        <v>4.4344000000000001</v>
      </c>
    </row>
    <row r="108" spans="1:21" ht="15.75" x14ac:dyDescent="0.25">
      <c r="A108" s="1">
        <v>107</v>
      </c>
      <c r="B108" s="2" t="s">
        <v>434</v>
      </c>
      <c r="C108" s="3">
        <v>44968</v>
      </c>
      <c r="D108" s="3">
        <v>44972</v>
      </c>
      <c r="E108" s="1" t="s">
        <v>87</v>
      </c>
      <c r="F108" s="1" t="s">
        <v>435</v>
      </c>
      <c r="G108" s="1" t="s">
        <v>436</v>
      </c>
      <c r="H108" s="1" t="s">
        <v>25</v>
      </c>
      <c r="I108" s="1" t="s">
        <v>26</v>
      </c>
      <c r="J108" s="1" t="s">
        <v>437</v>
      </c>
      <c r="K108" s="1" t="s">
        <v>438</v>
      </c>
      <c r="L108" s="1">
        <v>65203</v>
      </c>
      <c r="M108" s="1" t="s">
        <v>29</v>
      </c>
      <c r="N108" s="1" t="s">
        <v>454</v>
      </c>
      <c r="O108" s="1" t="s">
        <v>31</v>
      </c>
      <c r="P108" s="1" t="s">
        <v>44</v>
      </c>
      <c r="Q108" s="1" t="s">
        <v>455</v>
      </c>
      <c r="R108" s="1">
        <v>14.940000000000001</v>
      </c>
      <c r="S108" s="1">
        <v>3</v>
      </c>
      <c r="T108" s="1">
        <v>0</v>
      </c>
      <c r="U108" s="1">
        <v>6.8723999999999998</v>
      </c>
    </row>
    <row r="109" spans="1:21" ht="15.75" x14ac:dyDescent="0.25">
      <c r="A109" s="1">
        <v>108</v>
      </c>
      <c r="B109" s="2" t="s">
        <v>434</v>
      </c>
      <c r="C109" s="3">
        <v>44968</v>
      </c>
      <c r="D109" s="3">
        <v>44972</v>
      </c>
      <c r="E109" s="1" t="s">
        <v>87</v>
      </c>
      <c r="F109" s="1" t="s">
        <v>435</v>
      </c>
      <c r="G109" s="1" t="s">
        <v>436</v>
      </c>
      <c r="H109" s="1" t="s">
        <v>25</v>
      </c>
      <c r="I109" s="1" t="s">
        <v>26</v>
      </c>
      <c r="J109" s="1" t="s">
        <v>437</v>
      </c>
      <c r="K109" s="1" t="s">
        <v>438</v>
      </c>
      <c r="L109" s="1">
        <v>65203</v>
      </c>
      <c r="M109" s="1" t="s">
        <v>29</v>
      </c>
      <c r="N109" s="1" t="s">
        <v>456</v>
      </c>
      <c r="O109" s="1" t="s">
        <v>31</v>
      </c>
      <c r="P109" s="1" t="s">
        <v>47</v>
      </c>
      <c r="Q109" s="1" t="s">
        <v>457</v>
      </c>
      <c r="R109" s="1">
        <v>64.959999999999994</v>
      </c>
      <c r="S109" s="1">
        <v>2</v>
      </c>
      <c r="T109" s="1">
        <v>0</v>
      </c>
      <c r="U109" s="1">
        <v>2.598399999999998</v>
      </c>
    </row>
    <row r="110" spans="1:21" ht="15.75" x14ac:dyDescent="0.25">
      <c r="A110" s="1">
        <v>109</v>
      </c>
      <c r="B110" s="2" t="s">
        <v>443</v>
      </c>
      <c r="C110" s="3">
        <v>44968</v>
      </c>
      <c r="D110" s="3">
        <v>44972</v>
      </c>
      <c r="E110" s="1" t="s">
        <v>22</v>
      </c>
      <c r="F110" s="1" t="s">
        <v>444</v>
      </c>
      <c r="G110" s="1" t="s">
        <v>445</v>
      </c>
      <c r="H110" s="1" t="s">
        <v>25</v>
      </c>
      <c r="I110" s="1" t="s">
        <v>26</v>
      </c>
      <c r="J110" s="1" t="s">
        <v>411</v>
      </c>
      <c r="K110" s="1" t="s">
        <v>123</v>
      </c>
      <c r="L110" s="1">
        <v>23320</v>
      </c>
      <c r="M110" s="1" t="s">
        <v>63</v>
      </c>
      <c r="N110" s="1" t="s">
        <v>371</v>
      </c>
      <c r="O110" s="1" t="s">
        <v>96</v>
      </c>
      <c r="P110" s="1" t="s">
        <v>117</v>
      </c>
      <c r="Q110" s="1" t="s">
        <v>372</v>
      </c>
      <c r="R110" s="1">
        <v>234.45000000000002</v>
      </c>
      <c r="S110" s="1">
        <v>3</v>
      </c>
      <c r="T110" s="1">
        <v>0</v>
      </c>
      <c r="U110" s="1">
        <v>103.15800000000003</v>
      </c>
    </row>
    <row r="111" spans="1:21" ht="15.75" x14ac:dyDescent="0.25">
      <c r="A111" s="1">
        <v>110</v>
      </c>
      <c r="B111" s="2" t="s">
        <v>458</v>
      </c>
      <c r="C111" s="3">
        <v>44969</v>
      </c>
      <c r="D111" s="3">
        <v>44975</v>
      </c>
      <c r="E111" s="1" t="s">
        <v>22</v>
      </c>
      <c r="F111" s="1" t="s">
        <v>459</v>
      </c>
      <c r="G111" s="1" t="s">
        <v>460</v>
      </c>
      <c r="H111" s="1" t="s">
        <v>25</v>
      </c>
      <c r="I111" s="1" t="s">
        <v>26</v>
      </c>
      <c r="J111" s="1" t="s">
        <v>461</v>
      </c>
      <c r="K111" s="1" t="s">
        <v>91</v>
      </c>
      <c r="L111" s="1">
        <v>94521</v>
      </c>
      <c r="M111" s="1" t="s">
        <v>92</v>
      </c>
      <c r="N111" s="1" t="s">
        <v>462</v>
      </c>
      <c r="O111" s="1" t="s">
        <v>65</v>
      </c>
      <c r="P111" s="1" t="s">
        <v>66</v>
      </c>
      <c r="Q111" s="1" t="s">
        <v>463</v>
      </c>
      <c r="R111" s="1">
        <v>129.56800000000001</v>
      </c>
      <c r="S111" s="1">
        <v>2</v>
      </c>
      <c r="T111" s="1">
        <v>0.2</v>
      </c>
      <c r="U111" s="1">
        <v>-24.294000000000018</v>
      </c>
    </row>
    <row r="112" spans="1:21" ht="15.75" x14ac:dyDescent="0.25">
      <c r="A112" s="1">
        <v>111</v>
      </c>
      <c r="B112" s="2" t="s">
        <v>464</v>
      </c>
      <c r="C112" s="3">
        <v>44971</v>
      </c>
      <c r="D112" s="3">
        <v>44975</v>
      </c>
      <c r="E112" s="1" t="s">
        <v>22</v>
      </c>
      <c r="F112" s="1" t="s">
        <v>465</v>
      </c>
      <c r="G112" s="1" t="s">
        <v>466</v>
      </c>
      <c r="H112" s="1" t="s">
        <v>74</v>
      </c>
      <c r="I112" s="1" t="s">
        <v>26</v>
      </c>
      <c r="J112" s="1" t="s">
        <v>387</v>
      </c>
      <c r="K112" s="1" t="s">
        <v>388</v>
      </c>
      <c r="L112" s="1">
        <v>98103</v>
      </c>
      <c r="M112" s="1" t="s">
        <v>92</v>
      </c>
      <c r="N112" s="1" t="s">
        <v>467</v>
      </c>
      <c r="O112" s="1" t="s">
        <v>31</v>
      </c>
      <c r="P112" s="1" t="s">
        <v>205</v>
      </c>
      <c r="Q112" s="1" t="s">
        <v>468</v>
      </c>
      <c r="R112" s="1">
        <v>81.96</v>
      </c>
      <c r="S112" s="1">
        <v>2</v>
      </c>
      <c r="T112" s="1">
        <v>0</v>
      </c>
      <c r="U112" s="1">
        <v>22.948799999999999</v>
      </c>
    </row>
    <row r="113" spans="1:21" ht="15.75" x14ac:dyDescent="0.25">
      <c r="A113" s="1">
        <v>112</v>
      </c>
      <c r="B113" s="2" t="s">
        <v>469</v>
      </c>
      <c r="C113" s="3">
        <v>44971</v>
      </c>
      <c r="D113" s="3">
        <v>44976</v>
      </c>
      <c r="E113" s="1" t="s">
        <v>87</v>
      </c>
      <c r="F113" s="1" t="s">
        <v>470</v>
      </c>
      <c r="G113" s="1" t="s">
        <v>471</v>
      </c>
      <c r="H113" s="1" t="s">
        <v>25</v>
      </c>
      <c r="I113" s="1" t="s">
        <v>26</v>
      </c>
      <c r="J113" s="1" t="s">
        <v>27</v>
      </c>
      <c r="K113" s="1" t="s">
        <v>28</v>
      </c>
      <c r="L113" s="1">
        <v>77095</v>
      </c>
      <c r="M113" s="1" t="s">
        <v>29</v>
      </c>
      <c r="N113" s="1" t="s">
        <v>472</v>
      </c>
      <c r="O113" s="1" t="s">
        <v>31</v>
      </c>
      <c r="P113" s="1" t="s">
        <v>32</v>
      </c>
      <c r="Q113" s="1" t="s">
        <v>473</v>
      </c>
      <c r="R113" s="1">
        <v>16.176000000000002</v>
      </c>
      <c r="S113" s="1">
        <v>3</v>
      </c>
      <c r="T113" s="1">
        <v>0.2</v>
      </c>
      <c r="U113" s="1">
        <v>6.0659999999999989</v>
      </c>
    </row>
    <row r="114" spans="1:21" ht="15.75" x14ac:dyDescent="0.25">
      <c r="A114" s="1">
        <v>113</v>
      </c>
      <c r="B114" s="2" t="s">
        <v>464</v>
      </c>
      <c r="C114" s="3">
        <v>44971</v>
      </c>
      <c r="D114" s="3">
        <v>44975</v>
      </c>
      <c r="E114" s="1" t="s">
        <v>22</v>
      </c>
      <c r="F114" s="1" t="s">
        <v>465</v>
      </c>
      <c r="G114" s="1" t="s">
        <v>466</v>
      </c>
      <c r="H114" s="1" t="s">
        <v>74</v>
      </c>
      <c r="I114" s="1" t="s">
        <v>26</v>
      </c>
      <c r="J114" s="1" t="s">
        <v>387</v>
      </c>
      <c r="K114" s="1" t="s">
        <v>388</v>
      </c>
      <c r="L114" s="1">
        <v>98103</v>
      </c>
      <c r="M114" s="1" t="s">
        <v>92</v>
      </c>
      <c r="N114" s="1" t="s">
        <v>474</v>
      </c>
      <c r="O114" s="1" t="s">
        <v>31</v>
      </c>
      <c r="P114" s="1" t="s">
        <v>475</v>
      </c>
      <c r="Q114" s="1" t="s">
        <v>476</v>
      </c>
      <c r="R114" s="1">
        <v>238.62</v>
      </c>
      <c r="S114" s="1">
        <v>2</v>
      </c>
      <c r="T114" s="1">
        <v>0</v>
      </c>
      <c r="U114" s="1">
        <v>4.7724000000000046</v>
      </c>
    </row>
    <row r="115" spans="1:21" ht="15.75" x14ac:dyDescent="0.25">
      <c r="A115" s="1">
        <v>114</v>
      </c>
      <c r="B115" s="2" t="s">
        <v>464</v>
      </c>
      <c r="C115" s="3">
        <v>44971</v>
      </c>
      <c r="D115" s="3">
        <v>44975</v>
      </c>
      <c r="E115" s="1" t="s">
        <v>22</v>
      </c>
      <c r="F115" s="1" t="s">
        <v>465</v>
      </c>
      <c r="G115" s="1" t="s">
        <v>466</v>
      </c>
      <c r="H115" s="1" t="s">
        <v>74</v>
      </c>
      <c r="I115" s="1" t="s">
        <v>26</v>
      </c>
      <c r="J115" s="1" t="s">
        <v>387</v>
      </c>
      <c r="K115" s="1" t="s">
        <v>388</v>
      </c>
      <c r="L115" s="1">
        <v>98103</v>
      </c>
      <c r="M115" s="1" t="s">
        <v>92</v>
      </c>
      <c r="N115" s="1" t="s">
        <v>477</v>
      </c>
      <c r="O115" s="1" t="s">
        <v>96</v>
      </c>
      <c r="P115" s="1" t="s">
        <v>117</v>
      </c>
      <c r="Q115" s="1" t="s">
        <v>478</v>
      </c>
      <c r="R115" s="1">
        <v>239.96999999999997</v>
      </c>
      <c r="S115" s="1">
        <v>3</v>
      </c>
      <c r="T115" s="1">
        <v>0</v>
      </c>
      <c r="U115" s="1">
        <v>86.389199999999988</v>
      </c>
    </row>
    <row r="116" spans="1:21" ht="15.75" x14ac:dyDescent="0.25">
      <c r="A116" s="1">
        <v>115</v>
      </c>
      <c r="B116" s="2" t="s">
        <v>479</v>
      </c>
      <c r="C116" s="3">
        <v>44972</v>
      </c>
      <c r="D116" s="3">
        <v>44976</v>
      </c>
      <c r="E116" s="1" t="s">
        <v>22</v>
      </c>
      <c r="F116" s="1" t="s">
        <v>480</v>
      </c>
      <c r="G116" s="1" t="s">
        <v>481</v>
      </c>
      <c r="H116" s="1" t="s">
        <v>74</v>
      </c>
      <c r="I116" s="1" t="s">
        <v>26</v>
      </c>
      <c r="J116" s="1" t="s">
        <v>387</v>
      </c>
      <c r="K116" s="1" t="s">
        <v>388</v>
      </c>
      <c r="L116" s="1">
        <v>98105</v>
      </c>
      <c r="M116" s="1" t="s">
        <v>92</v>
      </c>
      <c r="N116" s="1" t="s">
        <v>482</v>
      </c>
      <c r="O116" s="1" t="s">
        <v>31</v>
      </c>
      <c r="P116" s="1" t="s">
        <v>41</v>
      </c>
      <c r="Q116" s="1" t="s">
        <v>483</v>
      </c>
      <c r="R116" s="1">
        <v>21.36</v>
      </c>
      <c r="S116" s="1">
        <v>5</v>
      </c>
      <c r="T116" s="1">
        <v>0.2</v>
      </c>
      <c r="U116" s="1">
        <v>7.2089999999999996</v>
      </c>
    </row>
    <row r="117" spans="1:21" ht="15.75" x14ac:dyDescent="0.25">
      <c r="A117" s="1">
        <v>116</v>
      </c>
      <c r="B117" s="2" t="s">
        <v>484</v>
      </c>
      <c r="C117" s="3">
        <v>44973</v>
      </c>
      <c r="D117" s="3">
        <v>44978</v>
      </c>
      <c r="E117" s="1" t="s">
        <v>22</v>
      </c>
      <c r="F117" s="1" t="s">
        <v>485</v>
      </c>
      <c r="G117" s="1" t="s">
        <v>486</v>
      </c>
      <c r="H117" s="1" t="s">
        <v>25</v>
      </c>
      <c r="I117" s="1" t="s">
        <v>26</v>
      </c>
      <c r="J117" s="1" t="s">
        <v>487</v>
      </c>
      <c r="K117" s="1" t="s">
        <v>28</v>
      </c>
      <c r="L117" s="1">
        <v>75220</v>
      </c>
      <c r="M117" s="1" t="s">
        <v>29</v>
      </c>
      <c r="N117" s="1" t="s">
        <v>488</v>
      </c>
      <c r="O117" s="1" t="s">
        <v>31</v>
      </c>
      <c r="P117" s="1" t="s">
        <v>205</v>
      </c>
      <c r="Q117" s="1" t="s">
        <v>489</v>
      </c>
      <c r="R117" s="1">
        <v>7.9599999999999973</v>
      </c>
      <c r="S117" s="1">
        <v>2</v>
      </c>
      <c r="T117" s="1">
        <v>0.8</v>
      </c>
      <c r="U117" s="1">
        <v>-13.930000000000003</v>
      </c>
    </row>
    <row r="118" spans="1:21" ht="15.75" x14ac:dyDescent="0.25">
      <c r="A118" s="1">
        <v>117</v>
      </c>
      <c r="B118" s="2" t="s">
        <v>484</v>
      </c>
      <c r="C118" s="3">
        <v>44973</v>
      </c>
      <c r="D118" s="3">
        <v>44978</v>
      </c>
      <c r="E118" s="1" t="s">
        <v>22</v>
      </c>
      <c r="F118" s="1" t="s">
        <v>485</v>
      </c>
      <c r="G118" s="1" t="s">
        <v>486</v>
      </c>
      <c r="H118" s="1" t="s">
        <v>25</v>
      </c>
      <c r="I118" s="1" t="s">
        <v>26</v>
      </c>
      <c r="J118" s="1" t="s">
        <v>487</v>
      </c>
      <c r="K118" s="1" t="s">
        <v>28</v>
      </c>
      <c r="L118" s="1">
        <v>75220</v>
      </c>
      <c r="M118" s="1" t="s">
        <v>29</v>
      </c>
      <c r="N118" s="1" t="s">
        <v>490</v>
      </c>
      <c r="O118" s="1" t="s">
        <v>31</v>
      </c>
      <c r="P118" s="1" t="s">
        <v>41</v>
      </c>
      <c r="Q118" s="1" t="s">
        <v>491</v>
      </c>
      <c r="R118" s="1">
        <v>1.0799999999999998</v>
      </c>
      <c r="S118" s="1">
        <v>3</v>
      </c>
      <c r="T118" s="1">
        <v>0.8</v>
      </c>
      <c r="U118" s="1">
        <v>-1.7280000000000002</v>
      </c>
    </row>
    <row r="119" spans="1:21" ht="15.75" x14ac:dyDescent="0.25">
      <c r="A119" s="1">
        <v>118</v>
      </c>
      <c r="B119" s="2" t="s">
        <v>492</v>
      </c>
      <c r="C119" s="3">
        <v>44974</v>
      </c>
      <c r="D119" s="3">
        <v>44981</v>
      </c>
      <c r="E119" s="1" t="s">
        <v>22</v>
      </c>
      <c r="F119" s="1" t="s">
        <v>190</v>
      </c>
      <c r="G119" s="1" t="s">
        <v>191</v>
      </c>
      <c r="H119" s="1" t="s">
        <v>25</v>
      </c>
      <c r="I119" s="1" t="s">
        <v>26</v>
      </c>
      <c r="J119" s="1" t="s">
        <v>493</v>
      </c>
      <c r="K119" s="1" t="s">
        <v>39</v>
      </c>
      <c r="L119" s="1">
        <v>60653</v>
      </c>
      <c r="M119" s="1" t="s">
        <v>29</v>
      </c>
      <c r="N119" s="1" t="s">
        <v>494</v>
      </c>
      <c r="O119" s="1" t="s">
        <v>31</v>
      </c>
      <c r="P119" s="1" t="s">
        <v>56</v>
      </c>
      <c r="Q119" s="1" t="s">
        <v>495</v>
      </c>
      <c r="R119" s="1">
        <v>54.207999999999998</v>
      </c>
      <c r="S119" s="1">
        <v>14</v>
      </c>
      <c r="T119" s="1">
        <v>0.2</v>
      </c>
      <c r="U119" s="1">
        <v>8.808799999999998</v>
      </c>
    </row>
    <row r="120" spans="1:21" ht="15.75" x14ac:dyDescent="0.25">
      <c r="A120" s="1">
        <v>119</v>
      </c>
      <c r="B120" s="2" t="s">
        <v>496</v>
      </c>
      <c r="C120" s="3">
        <v>44975</v>
      </c>
      <c r="D120" s="3">
        <v>44975</v>
      </c>
      <c r="E120" s="1" t="s">
        <v>497</v>
      </c>
      <c r="F120" s="1" t="s">
        <v>498</v>
      </c>
      <c r="G120" s="1" t="s">
        <v>499</v>
      </c>
      <c r="H120" s="1" t="s">
        <v>25</v>
      </c>
      <c r="I120" s="1" t="s">
        <v>26</v>
      </c>
      <c r="J120" s="1" t="s">
        <v>500</v>
      </c>
      <c r="K120" s="1" t="s">
        <v>28</v>
      </c>
      <c r="L120" s="1">
        <v>79424</v>
      </c>
      <c r="M120" s="1" t="s">
        <v>29</v>
      </c>
      <c r="N120" s="1" t="s">
        <v>501</v>
      </c>
      <c r="O120" s="1" t="s">
        <v>65</v>
      </c>
      <c r="P120" s="1" t="s">
        <v>106</v>
      </c>
      <c r="Q120" s="1" t="s">
        <v>502</v>
      </c>
      <c r="R120" s="1">
        <v>25.16</v>
      </c>
      <c r="S120" s="1">
        <v>5</v>
      </c>
      <c r="T120" s="1">
        <v>0.6</v>
      </c>
      <c r="U120" s="1">
        <v>-11.321999999999999</v>
      </c>
    </row>
    <row r="121" spans="1:21" ht="15.75" x14ac:dyDescent="0.25">
      <c r="A121" s="1">
        <v>120</v>
      </c>
      <c r="B121" s="2" t="s">
        <v>503</v>
      </c>
      <c r="C121" s="3">
        <v>44975</v>
      </c>
      <c r="D121" s="3">
        <v>44981</v>
      </c>
      <c r="E121" s="1" t="s">
        <v>22</v>
      </c>
      <c r="F121" s="1" t="s">
        <v>504</v>
      </c>
      <c r="G121" s="1" t="s">
        <v>505</v>
      </c>
      <c r="H121" s="1" t="s">
        <v>25</v>
      </c>
      <c r="I121" s="1" t="s">
        <v>26</v>
      </c>
      <c r="J121" s="1" t="s">
        <v>506</v>
      </c>
      <c r="K121" s="1" t="s">
        <v>28</v>
      </c>
      <c r="L121" s="1">
        <v>76017</v>
      </c>
      <c r="M121" s="1" t="s">
        <v>29</v>
      </c>
      <c r="N121" s="1" t="s">
        <v>507</v>
      </c>
      <c r="O121" s="1" t="s">
        <v>31</v>
      </c>
      <c r="P121" s="1" t="s">
        <v>47</v>
      </c>
      <c r="Q121" s="1" t="s">
        <v>508</v>
      </c>
      <c r="R121" s="1">
        <v>12.624000000000001</v>
      </c>
      <c r="S121" s="1">
        <v>2</v>
      </c>
      <c r="T121" s="1">
        <v>0.2</v>
      </c>
      <c r="U121" s="1">
        <v>-2.5248000000000022</v>
      </c>
    </row>
    <row r="122" spans="1:21" ht="15.75" x14ac:dyDescent="0.25">
      <c r="A122" s="1">
        <v>121</v>
      </c>
      <c r="B122" s="2" t="s">
        <v>509</v>
      </c>
      <c r="C122" s="3">
        <v>44977</v>
      </c>
      <c r="D122" s="3">
        <v>44983</v>
      </c>
      <c r="E122" s="1" t="s">
        <v>22</v>
      </c>
      <c r="F122" s="1" t="s">
        <v>510</v>
      </c>
      <c r="G122" s="1" t="s">
        <v>511</v>
      </c>
      <c r="H122" s="1" t="s">
        <v>74</v>
      </c>
      <c r="I122" s="1" t="s">
        <v>26</v>
      </c>
      <c r="J122" s="1" t="s">
        <v>512</v>
      </c>
      <c r="K122" s="1" t="s">
        <v>297</v>
      </c>
      <c r="L122" s="1">
        <v>47374</v>
      </c>
      <c r="M122" s="1" t="s">
        <v>29</v>
      </c>
      <c r="N122" s="1" t="s">
        <v>513</v>
      </c>
      <c r="O122" s="1" t="s">
        <v>65</v>
      </c>
      <c r="P122" s="1" t="s">
        <v>106</v>
      </c>
      <c r="Q122" s="1" t="s">
        <v>514</v>
      </c>
      <c r="R122" s="1">
        <v>20.32</v>
      </c>
      <c r="S122" s="1">
        <v>4</v>
      </c>
      <c r="T122" s="1">
        <v>0</v>
      </c>
      <c r="U122" s="1">
        <v>6.9087999999999994</v>
      </c>
    </row>
    <row r="123" spans="1:21" ht="15.75" x14ac:dyDescent="0.25">
      <c r="A123" s="1">
        <v>122</v>
      </c>
      <c r="B123" s="2" t="s">
        <v>515</v>
      </c>
      <c r="C123" s="3">
        <v>44977</v>
      </c>
      <c r="D123" s="3">
        <v>44981</v>
      </c>
      <c r="E123" s="1" t="s">
        <v>22</v>
      </c>
      <c r="F123" s="1" t="s">
        <v>516</v>
      </c>
      <c r="G123" s="1" t="s">
        <v>517</v>
      </c>
      <c r="H123" s="1" t="s">
        <v>37</v>
      </c>
      <c r="I123" s="1" t="s">
        <v>26</v>
      </c>
      <c r="J123" s="1" t="s">
        <v>90</v>
      </c>
      <c r="K123" s="1" t="s">
        <v>91</v>
      </c>
      <c r="L123" s="1">
        <v>90049</v>
      </c>
      <c r="M123" s="1" t="s">
        <v>92</v>
      </c>
      <c r="N123" s="1" t="s">
        <v>518</v>
      </c>
      <c r="O123" s="1" t="s">
        <v>31</v>
      </c>
      <c r="P123" s="1" t="s">
        <v>32</v>
      </c>
      <c r="Q123" s="1" t="s">
        <v>519</v>
      </c>
      <c r="R123" s="1">
        <v>12.96</v>
      </c>
      <c r="S123" s="1">
        <v>2</v>
      </c>
      <c r="T123" s="1">
        <v>0</v>
      </c>
      <c r="U123" s="1">
        <v>6.2208000000000006</v>
      </c>
    </row>
    <row r="124" spans="1:21" ht="15.75" x14ac:dyDescent="0.25">
      <c r="A124" s="1">
        <v>123</v>
      </c>
      <c r="B124" s="2" t="s">
        <v>509</v>
      </c>
      <c r="C124" s="3">
        <v>44977</v>
      </c>
      <c r="D124" s="3">
        <v>44983</v>
      </c>
      <c r="E124" s="1" t="s">
        <v>22</v>
      </c>
      <c r="F124" s="1" t="s">
        <v>510</v>
      </c>
      <c r="G124" s="1" t="s">
        <v>511</v>
      </c>
      <c r="H124" s="1" t="s">
        <v>74</v>
      </c>
      <c r="I124" s="1" t="s">
        <v>26</v>
      </c>
      <c r="J124" s="1" t="s">
        <v>512</v>
      </c>
      <c r="K124" s="1" t="s">
        <v>297</v>
      </c>
      <c r="L124" s="1">
        <v>47374</v>
      </c>
      <c r="M124" s="1" t="s">
        <v>29</v>
      </c>
      <c r="N124" s="1" t="s">
        <v>520</v>
      </c>
      <c r="O124" s="1" t="s">
        <v>96</v>
      </c>
      <c r="P124" s="1" t="s">
        <v>117</v>
      </c>
      <c r="Q124" s="1" t="s">
        <v>521</v>
      </c>
      <c r="R124" s="1">
        <v>62.31</v>
      </c>
      <c r="S124" s="1">
        <v>3</v>
      </c>
      <c r="T124" s="1">
        <v>0</v>
      </c>
      <c r="U124" s="1">
        <v>22.4316</v>
      </c>
    </row>
    <row r="125" spans="1:21" ht="15.75" x14ac:dyDescent="0.25">
      <c r="A125" s="1">
        <v>124</v>
      </c>
      <c r="B125" s="2" t="s">
        <v>522</v>
      </c>
      <c r="C125" s="3">
        <v>44978</v>
      </c>
      <c r="D125" s="3">
        <v>44982</v>
      </c>
      <c r="E125" s="1" t="s">
        <v>22</v>
      </c>
      <c r="F125" s="1" t="s">
        <v>523</v>
      </c>
      <c r="G125" s="1" t="s">
        <v>524</v>
      </c>
      <c r="H125" s="1" t="s">
        <v>25</v>
      </c>
      <c r="I125" s="1" t="s">
        <v>26</v>
      </c>
      <c r="J125" s="1" t="s">
        <v>525</v>
      </c>
      <c r="K125" s="1" t="s">
        <v>39</v>
      </c>
      <c r="L125" s="1">
        <v>60098</v>
      </c>
      <c r="M125" s="1" t="s">
        <v>29</v>
      </c>
      <c r="N125" s="1" t="s">
        <v>40</v>
      </c>
      <c r="O125" s="1" t="s">
        <v>31</v>
      </c>
      <c r="P125" s="1" t="s">
        <v>41</v>
      </c>
      <c r="Q125" s="1" t="s">
        <v>42</v>
      </c>
      <c r="R125" s="1">
        <v>8.8499999999999979</v>
      </c>
      <c r="S125" s="1">
        <v>5</v>
      </c>
      <c r="T125" s="1">
        <v>0.8</v>
      </c>
      <c r="U125" s="1">
        <v>-13.717499999999998</v>
      </c>
    </row>
    <row r="126" spans="1:21" ht="15.75" x14ac:dyDescent="0.25">
      <c r="A126" s="1">
        <v>125</v>
      </c>
      <c r="B126" s="2" t="s">
        <v>526</v>
      </c>
      <c r="C126" s="3">
        <v>44979</v>
      </c>
      <c r="D126" s="3">
        <v>44981</v>
      </c>
      <c r="E126" s="1" t="s">
        <v>71</v>
      </c>
      <c r="F126" s="1" t="s">
        <v>527</v>
      </c>
      <c r="G126" s="1" t="s">
        <v>528</v>
      </c>
      <c r="H126" s="1" t="s">
        <v>25</v>
      </c>
      <c r="I126" s="1" t="s">
        <v>26</v>
      </c>
      <c r="J126" s="1" t="s">
        <v>529</v>
      </c>
      <c r="K126" s="1" t="s">
        <v>91</v>
      </c>
      <c r="L126" s="1">
        <v>92553</v>
      </c>
      <c r="M126" s="1" t="s">
        <v>92</v>
      </c>
      <c r="N126" s="1" t="s">
        <v>530</v>
      </c>
      <c r="O126" s="1" t="s">
        <v>31</v>
      </c>
      <c r="P126" s="1" t="s">
        <v>32</v>
      </c>
      <c r="Q126" s="1" t="s">
        <v>531</v>
      </c>
      <c r="R126" s="1">
        <v>19.440000000000001</v>
      </c>
      <c r="S126" s="1">
        <v>3</v>
      </c>
      <c r="T126" s="1">
        <v>0</v>
      </c>
      <c r="U126" s="1">
        <v>9.3312000000000008</v>
      </c>
    </row>
    <row r="127" spans="1:21" ht="15.75" x14ac:dyDescent="0.25">
      <c r="A127" s="1">
        <v>126</v>
      </c>
      <c r="B127" s="2" t="s">
        <v>532</v>
      </c>
      <c r="C127" s="3">
        <v>44980</v>
      </c>
      <c r="D127" s="3">
        <v>44984</v>
      </c>
      <c r="E127" s="1" t="s">
        <v>22</v>
      </c>
      <c r="F127" s="1" t="s">
        <v>533</v>
      </c>
      <c r="G127" s="1" t="s">
        <v>534</v>
      </c>
      <c r="H127" s="1" t="s">
        <v>37</v>
      </c>
      <c r="I127" s="1" t="s">
        <v>26</v>
      </c>
      <c r="J127" s="1" t="s">
        <v>535</v>
      </c>
      <c r="K127" s="1" t="s">
        <v>28</v>
      </c>
      <c r="L127" s="1">
        <v>79907</v>
      </c>
      <c r="M127" s="1" t="s">
        <v>29</v>
      </c>
      <c r="N127" s="1" t="s">
        <v>536</v>
      </c>
      <c r="O127" s="1" t="s">
        <v>31</v>
      </c>
      <c r="P127" s="1" t="s">
        <v>41</v>
      </c>
      <c r="Q127" s="1" t="s">
        <v>537</v>
      </c>
      <c r="R127" s="1">
        <v>4.427999999999999</v>
      </c>
      <c r="S127" s="1">
        <v>3</v>
      </c>
      <c r="T127" s="1">
        <v>0.8</v>
      </c>
      <c r="U127" s="1">
        <v>-6.8633999999999986</v>
      </c>
    </row>
    <row r="128" spans="1:21" ht="15.75" x14ac:dyDescent="0.25">
      <c r="A128" s="1">
        <v>127</v>
      </c>
      <c r="B128" s="2" t="s">
        <v>532</v>
      </c>
      <c r="C128" s="3">
        <v>44980</v>
      </c>
      <c r="D128" s="3">
        <v>44984</v>
      </c>
      <c r="E128" s="1" t="s">
        <v>22</v>
      </c>
      <c r="F128" s="1" t="s">
        <v>533</v>
      </c>
      <c r="G128" s="1" t="s">
        <v>534</v>
      </c>
      <c r="H128" s="1" t="s">
        <v>37</v>
      </c>
      <c r="I128" s="1" t="s">
        <v>26</v>
      </c>
      <c r="J128" s="1" t="s">
        <v>535</v>
      </c>
      <c r="K128" s="1" t="s">
        <v>28</v>
      </c>
      <c r="L128" s="1">
        <v>79907</v>
      </c>
      <c r="M128" s="1" t="s">
        <v>29</v>
      </c>
      <c r="N128" s="1" t="s">
        <v>538</v>
      </c>
      <c r="O128" s="1" t="s">
        <v>31</v>
      </c>
      <c r="P128" s="1" t="s">
        <v>44</v>
      </c>
      <c r="Q128" s="1" t="s">
        <v>539</v>
      </c>
      <c r="R128" s="1">
        <v>6.9360000000000008</v>
      </c>
      <c r="S128" s="1">
        <v>3</v>
      </c>
      <c r="T128" s="1">
        <v>0.2</v>
      </c>
      <c r="U128" s="1">
        <v>2.3409000000000004</v>
      </c>
    </row>
    <row r="129" spans="1:21" ht="15.75" x14ac:dyDescent="0.25">
      <c r="A129" s="1">
        <v>128</v>
      </c>
      <c r="B129" s="2" t="s">
        <v>540</v>
      </c>
      <c r="C129" s="3">
        <v>44981</v>
      </c>
      <c r="D129" s="3">
        <v>44987</v>
      </c>
      <c r="E129" s="1" t="s">
        <v>22</v>
      </c>
      <c r="F129" s="1" t="s">
        <v>541</v>
      </c>
      <c r="G129" s="1" t="s">
        <v>542</v>
      </c>
      <c r="H129" s="1" t="s">
        <v>25</v>
      </c>
      <c r="I129" s="1" t="s">
        <v>26</v>
      </c>
      <c r="J129" s="1" t="s">
        <v>543</v>
      </c>
      <c r="K129" s="1" t="s">
        <v>203</v>
      </c>
      <c r="L129" s="1">
        <v>97504</v>
      </c>
      <c r="M129" s="1" t="s">
        <v>92</v>
      </c>
      <c r="N129" s="1" t="s">
        <v>544</v>
      </c>
      <c r="O129" s="1" t="s">
        <v>31</v>
      </c>
      <c r="P129" s="1" t="s">
        <v>32</v>
      </c>
      <c r="Q129" s="1" t="s">
        <v>545</v>
      </c>
      <c r="R129" s="1">
        <v>22.776000000000003</v>
      </c>
      <c r="S129" s="1">
        <v>3</v>
      </c>
      <c r="T129" s="1">
        <v>0.2</v>
      </c>
      <c r="U129" s="1">
        <v>7.6868999999999996</v>
      </c>
    </row>
    <row r="130" spans="1:21" ht="15.75" x14ac:dyDescent="0.25">
      <c r="A130" s="1">
        <v>129</v>
      </c>
      <c r="B130" s="2" t="s">
        <v>540</v>
      </c>
      <c r="C130" s="3">
        <v>44981</v>
      </c>
      <c r="D130" s="3">
        <v>44987</v>
      </c>
      <c r="E130" s="1" t="s">
        <v>22</v>
      </c>
      <c r="F130" s="1" t="s">
        <v>541</v>
      </c>
      <c r="G130" s="1" t="s">
        <v>542</v>
      </c>
      <c r="H130" s="1" t="s">
        <v>25</v>
      </c>
      <c r="I130" s="1" t="s">
        <v>26</v>
      </c>
      <c r="J130" s="1" t="s">
        <v>543</v>
      </c>
      <c r="K130" s="1" t="s">
        <v>203</v>
      </c>
      <c r="L130" s="1">
        <v>97504</v>
      </c>
      <c r="M130" s="1" t="s">
        <v>92</v>
      </c>
      <c r="N130" s="1" t="s">
        <v>30</v>
      </c>
      <c r="O130" s="1" t="s">
        <v>31</v>
      </c>
      <c r="P130" s="1" t="s">
        <v>32</v>
      </c>
      <c r="Q130" s="1" t="s">
        <v>33</v>
      </c>
      <c r="R130" s="1">
        <v>32.896000000000001</v>
      </c>
      <c r="S130" s="1">
        <v>4</v>
      </c>
      <c r="T130" s="1">
        <v>0.2</v>
      </c>
      <c r="U130" s="1">
        <v>11.102399999999996</v>
      </c>
    </row>
    <row r="131" spans="1:21" ht="15.75" x14ac:dyDescent="0.25">
      <c r="A131" s="1">
        <v>130</v>
      </c>
      <c r="B131" s="2" t="s">
        <v>546</v>
      </c>
      <c r="C131" s="3">
        <v>44984</v>
      </c>
      <c r="D131" s="3">
        <v>44988</v>
      </c>
      <c r="E131" s="1" t="s">
        <v>71</v>
      </c>
      <c r="F131" s="1" t="s">
        <v>547</v>
      </c>
      <c r="G131" s="1" t="s">
        <v>548</v>
      </c>
      <c r="H131" s="1" t="s">
        <v>25</v>
      </c>
      <c r="I131" s="1" t="s">
        <v>26</v>
      </c>
      <c r="J131" s="1" t="s">
        <v>549</v>
      </c>
      <c r="K131" s="1" t="s">
        <v>155</v>
      </c>
      <c r="L131" s="1">
        <v>43229</v>
      </c>
      <c r="M131" s="1" t="s">
        <v>54</v>
      </c>
      <c r="N131" s="1" t="s">
        <v>550</v>
      </c>
      <c r="O131" s="1" t="s">
        <v>31</v>
      </c>
      <c r="P131" s="1" t="s">
        <v>56</v>
      </c>
      <c r="Q131" s="1" t="s">
        <v>551</v>
      </c>
      <c r="R131" s="1">
        <v>19.456000000000003</v>
      </c>
      <c r="S131" s="1">
        <v>4</v>
      </c>
      <c r="T131" s="1">
        <v>0.2</v>
      </c>
      <c r="U131" s="1">
        <v>3.4047999999999981</v>
      </c>
    </row>
    <row r="132" spans="1:21" ht="15.75" x14ac:dyDescent="0.25">
      <c r="A132" s="1">
        <v>131</v>
      </c>
      <c r="B132" s="2" t="s">
        <v>552</v>
      </c>
      <c r="C132" s="3">
        <v>44986</v>
      </c>
      <c r="D132" s="3">
        <v>44990</v>
      </c>
      <c r="E132" s="1" t="s">
        <v>22</v>
      </c>
      <c r="F132" s="1" t="s">
        <v>553</v>
      </c>
      <c r="G132" s="1" t="s">
        <v>554</v>
      </c>
      <c r="H132" s="1" t="s">
        <v>37</v>
      </c>
      <c r="I132" s="1" t="s">
        <v>26</v>
      </c>
      <c r="J132" s="1" t="s">
        <v>555</v>
      </c>
      <c r="K132" s="1" t="s">
        <v>39</v>
      </c>
      <c r="L132" s="1">
        <v>60126</v>
      </c>
      <c r="M132" s="1" t="s">
        <v>29</v>
      </c>
      <c r="N132" s="1" t="s">
        <v>556</v>
      </c>
      <c r="O132" s="1" t="s">
        <v>65</v>
      </c>
      <c r="P132" s="1" t="s">
        <v>66</v>
      </c>
      <c r="Q132" s="1" t="s">
        <v>557</v>
      </c>
      <c r="R132" s="1">
        <v>634.11599999999999</v>
      </c>
      <c r="S132" s="1">
        <v>6</v>
      </c>
      <c r="T132" s="1">
        <v>0.3</v>
      </c>
      <c r="U132" s="1">
        <v>-172.11720000000003</v>
      </c>
    </row>
    <row r="133" spans="1:21" ht="15.75" x14ac:dyDescent="0.25">
      <c r="A133" s="1">
        <v>132</v>
      </c>
      <c r="B133" s="2" t="s">
        <v>558</v>
      </c>
      <c r="C133" s="3">
        <v>44986</v>
      </c>
      <c r="D133" s="3">
        <v>44990</v>
      </c>
      <c r="E133" s="1" t="s">
        <v>22</v>
      </c>
      <c r="F133" s="1" t="s">
        <v>559</v>
      </c>
      <c r="G133" s="1" t="s">
        <v>560</v>
      </c>
      <c r="H133" s="1" t="s">
        <v>25</v>
      </c>
      <c r="I133" s="1" t="s">
        <v>26</v>
      </c>
      <c r="J133" s="1" t="s">
        <v>535</v>
      </c>
      <c r="K133" s="1" t="s">
        <v>28</v>
      </c>
      <c r="L133" s="1">
        <v>79907</v>
      </c>
      <c r="M133" s="1" t="s">
        <v>29</v>
      </c>
      <c r="N133" s="1" t="s">
        <v>561</v>
      </c>
      <c r="O133" s="1" t="s">
        <v>65</v>
      </c>
      <c r="P133" s="1" t="s">
        <v>66</v>
      </c>
      <c r="Q133" s="1" t="s">
        <v>562</v>
      </c>
      <c r="R133" s="1">
        <v>362.24999999999994</v>
      </c>
      <c r="S133" s="1">
        <v>6</v>
      </c>
      <c r="T133" s="1">
        <v>0.3</v>
      </c>
      <c r="U133" s="1">
        <v>0</v>
      </c>
    </row>
    <row r="134" spans="1:21" ht="15.75" x14ac:dyDescent="0.25">
      <c r="A134" s="1">
        <v>133</v>
      </c>
      <c r="B134" s="2" t="s">
        <v>563</v>
      </c>
      <c r="C134" s="3">
        <v>44986</v>
      </c>
      <c r="D134" s="3">
        <v>44991</v>
      </c>
      <c r="E134" s="1" t="s">
        <v>87</v>
      </c>
      <c r="F134" s="1" t="s">
        <v>564</v>
      </c>
      <c r="G134" s="1" t="s">
        <v>565</v>
      </c>
      <c r="H134" s="1" t="s">
        <v>25</v>
      </c>
      <c r="I134" s="1" t="s">
        <v>26</v>
      </c>
      <c r="J134" s="1" t="s">
        <v>387</v>
      </c>
      <c r="K134" s="1" t="s">
        <v>388</v>
      </c>
      <c r="L134" s="1">
        <v>98115</v>
      </c>
      <c r="M134" s="1" t="s">
        <v>92</v>
      </c>
      <c r="N134" s="1" t="s">
        <v>64</v>
      </c>
      <c r="O134" s="1" t="s">
        <v>65</v>
      </c>
      <c r="P134" s="1" t="s">
        <v>66</v>
      </c>
      <c r="Q134" s="1" t="s">
        <v>67</v>
      </c>
      <c r="R134" s="1">
        <v>457.56800000000004</v>
      </c>
      <c r="S134" s="1">
        <v>2</v>
      </c>
      <c r="T134" s="1">
        <v>0.2</v>
      </c>
      <c r="U134" s="1">
        <v>51.476399999999941</v>
      </c>
    </row>
    <row r="135" spans="1:21" ht="15.75" x14ac:dyDescent="0.25">
      <c r="A135" s="1">
        <v>134</v>
      </c>
      <c r="B135" s="2" t="s">
        <v>558</v>
      </c>
      <c r="C135" s="3">
        <v>44986</v>
      </c>
      <c r="D135" s="3">
        <v>44990</v>
      </c>
      <c r="E135" s="1" t="s">
        <v>22</v>
      </c>
      <c r="F135" s="1" t="s">
        <v>559</v>
      </c>
      <c r="G135" s="1" t="s">
        <v>560</v>
      </c>
      <c r="H135" s="1" t="s">
        <v>25</v>
      </c>
      <c r="I135" s="1" t="s">
        <v>26</v>
      </c>
      <c r="J135" s="1" t="s">
        <v>535</v>
      </c>
      <c r="K135" s="1" t="s">
        <v>28</v>
      </c>
      <c r="L135" s="1">
        <v>79907</v>
      </c>
      <c r="M135" s="1" t="s">
        <v>29</v>
      </c>
      <c r="N135" s="1" t="s">
        <v>192</v>
      </c>
      <c r="O135" s="1" t="s">
        <v>65</v>
      </c>
      <c r="P135" s="1" t="s">
        <v>106</v>
      </c>
      <c r="Q135" s="1" t="s">
        <v>193</v>
      </c>
      <c r="R135" s="1">
        <v>63.552000000000007</v>
      </c>
      <c r="S135" s="1">
        <v>6</v>
      </c>
      <c r="T135" s="1">
        <v>0.6</v>
      </c>
      <c r="U135" s="1">
        <v>-34.953600000000002</v>
      </c>
    </row>
    <row r="136" spans="1:21" ht="15.75" x14ac:dyDescent="0.25">
      <c r="A136" s="1">
        <v>135</v>
      </c>
      <c r="B136" s="2" t="s">
        <v>566</v>
      </c>
      <c r="C136" s="3">
        <v>44986</v>
      </c>
      <c r="D136" s="3">
        <v>44992</v>
      </c>
      <c r="E136" s="1" t="s">
        <v>22</v>
      </c>
      <c r="F136" s="1" t="s">
        <v>567</v>
      </c>
      <c r="G136" s="1" t="s">
        <v>568</v>
      </c>
      <c r="H136" s="1" t="s">
        <v>25</v>
      </c>
      <c r="I136" s="1" t="s">
        <v>26</v>
      </c>
      <c r="J136" s="1" t="s">
        <v>27</v>
      </c>
      <c r="K136" s="1" t="s">
        <v>28</v>
      </c>
      <c r="L136" s="1">
        <v>77036</v>
      </c>
      <c r="M136" s="1" t="s">
        <v>29</v>
      </c>
      <c r="N136" s="1" t="s">
        <v>569</v>
      </c>
      <c r="O136" s="1" t="s">
        <v>65</v>
      </c>
      <c r="P136" s="1" t="s">
        <v>339</v>
      </c>
      <c r="Q136" s="1" t="s">
        <v>570</v>
      </c>
      <c r="R136" s="1">
        <v>376.50899999999996</v>
      </c>
      <c r="S136" s="1">
        <v>3</v>
      </c>
      <c r="T136" s="1">
        <v>0.3</v>
      </c>
      <c r="U136" s="1">
        <v>-43.029600000000045</v>
      </c>
    </row>
    <row r="137" spans="1:21" ht="15.75" x14ac:dyDescent="0.25">
      <c r="A137" s="1">
        <v>136</v>
      </c>
      <c r="B137" s="2" t="s">
        <v>558</v>
      </c>
      <c r="C137" s="3">
        <v>44986</v>
      </c>
      <c r="D137" s="3">
        <v>44990</v>
      </c>
      <c r="E137" s="1" t="s">
        <v>22</v>
      </c>
      <c r="F137" s="1" t="s">
        <v>559</v>
      </c>
      <c r="G137" s="1" t="s">
        <v>560</v>
      </c>
      <c r="H137" s="1" t="s">
        <v>25</v>
      </c>
      <c r="I137" s="1" t="s">
        <v>26</v>
      </c>
      <c r="J137" s="1" t="s">
        <v>535</v>
      </c>
      <c r="K137" s="1" t="s">
        <v>28</v>
      </c>
      <c r="L137" s="1">
        <v>79907</v>
      </c>
      <c r="M137" s="1" t="s">
        <v>29</v>
      </c>
      <c r="N137" s="1" t="s">
        <v>571</v>
      </c>
      <c r="O137" s="1" t="s">
        <v>31</v>
      </c>
      <c r="P137" s="1" t="s">
        <v>82</v>
      </c>
      <c r="Q137" s="1" t="s">
        <v>572</v>
      </c>
      <c r="R137" s="1">
        <v>18.84</v>
      </c>
      <c r="S137" s="1">
        <v>5</v>
      </c>
      <c r="T137" s="1">
        <v>0.2</v>
      </c>
      <c r="U137" s="1">
        <v>-3.5324999999999998</v>
      </c>
    </row>
    <row r="138" spans="1:21" ht="15.75" x14ac:dyDescent="0.25">
      <c r="A138" s="1">
        <v>137</v>
      </c>
      <c r="B138" s="2" t="s">
        <v>552</v>
      </c>
      <c r="C138" s="3">
        <v>44986</v>
      </c>
      <c r="D138" s="3">
        <v>44990</v>
      </c>
      <c r="E138" s="1" t="s">
        <v>22</v>
      </c>
      <c r="F138" s="1" t="s">
        <v>553</v>
      </c>
      <c r="G138" s="1" t="s">
        <v>554</v>
      </c>
      <c r="H138" s="1" t="s">
        <v>37</v>
      </c>
      <c r="I138" s="1" t="s">
        <v>26</v>
      </c>
      <c r="J138" s="1" t="s">
        <v>555</v>
      </c>
      <c r="K138" s="1" t="s">
        <v>39</v>
      </c>
      <c r="L138" s="1">
        <v>60126</v>
      </c>
      <c r="M138" s="1" t="s">
        <v>29</v>
      </c>
      <c r="N138" s="1" t="s">
        <v>573</v>
      </c>
      <c r="O138" s="1" t="s">
        <v>31</v>
      </c>
      <c r="P138" s="1" t="s">
        <v>32</v>
      </c>
      <c r="Q138" s="1" t="s">
        <v>574</v>
      </c>
      <c r="R138" s="1">
        <v>17.472000000000001</v>
      </c>
      <c r="S138" s="1">
        <v>3</v>
      </c>
      <c r="T138" s="1">
        <v>0.2</v>
      </c>
      <c r="U138" s="1">
        <v>5.6783999999999981</v>
      </c>
    </row>
    <row r="139" spans="1:21" ht="15.75" x14ac:dyDescent="0.25">
      <c r="A139" s="1">
        <v>138</v>
      </c>
      <c r="B139" s="2" t="s">
        <v>558</v>
      </c>
      <c r="C139" s="3">
        <v>44986</v>
      </c>
      <c r="D139" s="3">
        <v>44990</v>
      </c>
      <c r="E139" s="1" t="s">
        <v>22</v>
      </c>
      <c r="F139" s="1" t="s">
        <v>559</v>
      </c>
      <c r="G139" s="1" t="s">
        <v>560</v>
      </c>
      <c r="H139" s="1" t="s">
        <v>25</v>
      </c>
      <c r="I139" s="1" t="s">
        <v>26</v>
      </c>
      <c r="J139" s="1" t="s">
        <v>535</v>
      </c>
      <c r="K139" s="1" t="s">
        <v>28</v>
      </c>
      <c r="L139" s="1">
        <v>79907</v>
      </c>
      <c r="M139" s="1" t="s">
        <v>29</v>
      </c>
      <c r="N139" s="1" t="s">
        <v>575</v>
      </c>
      <c r="O139" s="1" t="s">
        <v>31</v>
      </c>
      <c r="P139" s="1" t="s">
        <v>47</v>
      </c>
      <c r="Q139" s="1" t="s">
        <v>576</v>
      </c>
      <c r="R139" s="1">
        <v>129.55199999999999</v>
      </c>
      <c r="S139" s="1">
        <v>3</v>
      </c>
      <c r="T139" s="1">
        <v>0.2</v>
      </c>
      <c r="U139" s="1">
        <v>-22.671600000000005</v>
      </c>
    </row>
    <row r="140" spans="1:21" ht="15.75" x14ac:dyDescent="0.25">
      <c r="A140" s="1">
        <v>139</v>
      </c>
      <c r="B140" s="2" t="s">
        <v>566</v>
      </c>
      <c r="C140" s="3">
        <v>44986</v>
      </c>
      <c r="D140" s="3">
        <v>44992</v>
      </c>
      <c r="E140" s="1" t="s">
        <v>22</v>
      </c>
      <c r="F140" s="1" t="s">
        <v>567</v>
      </c>
      <c r="G140" s="1" t="s">
        <v>568</v>
      </c>
      <c r="H140" s="1" t="s">
        <v>25</v>
      </c>
      <c r="I140" s="1" t="s">
        <v>26</v>
      </c>
      <c r="J140" s="1" t="s">
        <v>27</v>
      </c>
      <c r="K140" s="1" t="s">
        <v>28</v>
      </c>
      <c r="L140" s="1">
        <v>77036</v>
      </c>
      <c r="M140" s="1" t="s">
        <v>29</v>
      </c>
      <c r="N140" s="1" t="s">
        <v>343</v>
      </c>
      <c r="O140" s="1" t="s">
        <v>31</v>
      </c>
      <c r="P140" s="1" t="s">
        <v>47</v>
      </c>
      <c r="Q140" s="1" t="s">
        <v>344</v>
      </c>
      <c r="R140" s="1">
        <v>137.352</v>
      </c>
      <c r="S140" s="1">
        <v>3</v>
      </c>
      <c r="T140" s="1">
        <v>0.2</v>
      </c>
      <c r="U140" s="1">
        <v>8.5844999999999914</v>
      </c>
    </row>
    <row r="141" spans="1:21" ht="15.75" x14ac:dyDescent="0.25">
      <c r="A141" s="1">
        <v>140</v>
      </c>
      <c r="B141" s="2" t="s">
        <v>577</v>
      </c>
      <c r="C141" s="3">
        <v>44986</v>
      </c>
      <c r="D141" s="3">
        <v>44990</v>
      </c>
      <c r="E141" s="1" t="s">
        <v>22</v>
      </c>
      <c r="F141" s="1" t="s">
        <v>578</v>
      </c>
      <c r="G141" s="1" t="s">
        <v>579</v>
      </c>
      <c r="H141" s="1" t="s">
        <v>37</v>
      </c>
      <c r="I141" s="1" t="s">
        <v>26</v>
      </c>
      <c r="J141" s="1" t="s">
        <v>348</v>
      </c>
      <c r="K141" s="1" t="s">
        <v>349</v>
      </c>
      <c r="L141" s="1">
        <v>10035</v>
      </c>
      <c r="M141" s="1" t="s">
        <v>54</v>
      </c>
      <c r="N141" s="1" t="s">
        <v>580</v>
      </c>
      <c r="O141" s="1" t="s">
        <v>96</v>
      </c>
      <c r="P141" s="1" t="s">
        <v>97</v>
      </c>
      <c r="Q141" s="1" t="s">
        <v>581</v>
      </c>
      <c r="R141" s="1">
        <v>5.9399999999999995</v>
      </c>
      <c r="S141" s="1">
        <v>3</v>
      </c>
      <c r="T141" s="1">
        <v>0</v>
      </c>
      <c r="U141" s="1">
        <v>1.6037999999999999</v>
      </c>
    </row>
    <row r="142" spans="1:21" ht="15.75" x14ac:dyDescent="0.25">
      <c r="A142" s="1">
        <v>141</v>
      </c>
      <c r="B142" s="2" t="s">
        <v>582</v>
      </c>
      <c r="C142" s="3">
        <v>44987</v>
      </c>
      <c r="D142" s="3">
        <v>44993</v>
      </c>
      <c r="E142" s="1" t="s">
        <v>22</v>
      </c>
      <c r="F142" s="1" t="s">
        <v>583</v>
      </c>
      <c r="G142" s="1" t="s">
        <v>584</v>
      </c>
      <c r="H142" s="1" t="s">
        <v>37</v>
      </c>
      <c r="I142" s="1" t="s">
        <v>26</v>
      </c>
      <c r="J142" s="1" t="s">
        <v>348</v>
      </c>
      <c r="K142" s="1" t="s">
        <v>349</v>
      </c>
      <c r="L142" s="1">
        <v>10009</v>
      </c>
      <c r="M142" s="1" t="s">
        <v>54</v>
      </c>
      <c r="N142" s="1" t="s">
        <v>168</v>
      </c>
      <c r="O142" s="1" t="s">
        <v>31</v>
      </c>
      <c r="P142" s="1" t="s">
        <v>166</v>
      </c>
      <c r="Q142" s="1" t="s">
        <v>169</v>
      </c>
      <c r="R142" s="1">
        <v>11.36</v>
      </c>
      <c r="S142" s="1">
        <v>2</v>
      </c>
      <c r="T142" s="1">
        <v>0</v>
      </c>
      <c r="U142" s="1">
        <v>5.3391999999999991</v>
      </c>
    </row>
    <row r="143" spans="1:21" ht="15.75" x14ac:dyDescent="0.25">
      <c r="A143" s="1">
        <v>142</v>
      </c>
      <c r="B143" s="2" t="s">
        <v>585</v>
      </c>
      <c r="C143" s="3">
        <v>44987</v>
      </c>
      <c r="D143" s="3">
        <v>44991</v>
      </c>
      <c r="E143" s="1" t="s">
        <v>22</v>
      </c>
      <c r="F143" s="1" t="s">
        <v>586</v>
      </c>
      <c r="G143" s="1" t="s">
        <v>587</v>
      </c>
      <c r="H143" s="1" t="s">
        <v>74</v>
      </c>
      <c r="I143" s="1" t="s">
        <v>26</v>
      </c>
      <c r="J143" s="1" t="s">
        <v>52</v>
      </c>
      <c r="K143" s="1" t="s">
        <v>53</v>
      </c>
      <c r="L143" s="1">
        <v>19120</v>
      </c>
      <c r="M143" s="1" t="s">
        <v>54</v>
      </c>
      <c r="N143" s="1" t="s">
        <v>588</v>
      </c>
      <c r="O143" s="1" t="s">
        <v>31</v>
      </c>
      <c r="P143" s="1" t="s">
        <v>32</v>
      </c>
      <c r="Q143" s="1" t="s">
        <v>589</v>
      </c>
      <c r="R143" s="1">
        <v>3.4240000000000004</v>
      </c>
      <c r="S143" s="1">
        <v>1</v>
      </c>
      <c r="T143" s="1">
        <v>0.2</v>
      </c>
      <c r="U143" s="1">
        <v>1.0699999999999996</v>
      </c>
    </row>
    <row r="144" spans="1:21" ht="15.75" x14ac:dyDescent="0.25">
      <c r="A144" s="1">
        <v>143</v>
      </c>
      <c r="B144" s="2" t="s">
        <v>582</v>
      </c>
      <c r="C144" s="3">
        <v>44987</v>
      </c>
      <c r="D144" s="3">
        <v>44993</v>
      </c>
      <c r="E144" s="1" t="s">
        <v>22</v>
      </c>
      <c r="F144" s="1" t="s">
        <v>583</v>
      </c>
      <c r="G144" s="1" t="s">
        <v>584</v>
      </c>
      <c r="H144" s="1" t="s">
        <v>37</v>
      </c>
      <c r="I144" s="1" t="s">
        <v>26</v>
      </c>
      <c r="J144" s="1" t="s">
        <v>348</v>
      </c>
      <c r="K144" s="1" t="s">
        <v>349</v>
      </c>
      <c r="L144" s="1">
        <v>10009</v>
      </c>
      <c r="M144" s="1" t="s">
        <v>54</v>
      </c>
      <c r="N144" s="1" t="s">
        <v>590</v>
      </c>
      <c r="O144" s="1" t="s">
        <v>31</v>
      </c>
      <c r="P144" s="1" t="s">
        <v>32</v>
      </c>
      <c r="Q144" s="1" t="s">
        <v>591</v>
      </c>
      <c r="R144" s="1">
        <v>36.4</v>
      </c>
      <c r="S144" s="1">
        <v>5</v>
      </c>
      <c r="T144" s="1">
        <v>0</v>
      </c>
      <c r="U144" s="1">
        <v>17.472000000000001</v>
      </c>
    </row>
    <row r="145" spans="1:21" ht="15.75" x14ac:dyDescent="0.25">
      <c r="A145" s="1">
        <v>144</v>
      </c>
      <c r="B145" s="2" t="s">
        <v>585</v>
      </c>
      <c r="C145" s="3">
        <v>44987</v>
      </c>
      <c r="D145" s="3">
        <v>44991</v>
      </c>
      <c r="E145" s="1" t="s">
        <v>22</v>
      </c>
      <c r="F145" s="1" t="s">
        <v>586</v>
      </c>
      <c r="G145" s="1" t="s">
        <v>587</v>
      </c>
      <c r="H145" s="1" t="s">
        <v>74</v>
      </c>
      <c r="I145" s="1" t="s">
        <v>26</v>
      </c>
      <c r="J145" s="1" t="s">
        <v>52</v>
      </c>
      <c r="K145" s="1" t="s">
        <v>53</v>
      </c>
      <c r="L145" s="1">
        <v>19120</v>
      </c>
      <c r="M145" s="1" t="s">
        <v>54</v>
      </c>
      <c r="N145" s="1" t="s">
        <v>592</v>
      </c>
      <c r="O145" s="1" t="s">
        <v>96</v>
      </c>
      <c r="P145" s="1" t="s">
        <v>117</v>
      </c>
      <c r="Q145" s="1" t="s">
        <v>593</v>
      </c>
      <c r="R145" s="1">
        <v>151.20000000000002</v>
      </c>
      <c r="S145" s="1">
        <v>3</v>
      </c>
      <c r="T145" s="1">
        <v>0.2</v>
      </c>
      <c r="U145" s="1">
        <v>32.130000000000003</v>
      </c>
    </row>
    <row r="146" spans="1:21" ht="15.75" x14ac:dyDescent="0.25">
      <c r="A146" s="1">
        <v>145</v>
      </c>
      <c r="B146" s="2" t="s">
        <v>594</v>
      </c>
      <c r="C146" s="3">
        <v>44988</v>
      </c>
      <c r="D146" s="3">
        <v>44993</v>
      </c>
      <c r="E146" s="1" t="s">
        <v>22</v>
      </c>
      <c r="F146" s="1" t="s">
        <v>595</v>
      </c>
      <c r="G146" s="1" t="s">
        <v>596</v>
      </c>
      <c r="H146" s="1" t="s">
        <v>74</v>
      </c>
      <c r="I146" s="1" t="s">
        <v>26</v>
      </c>
      <c r="J146" s="1" t="s">
        <v>549</v>
      </c>
      <c r="K146" s="1" t="s">
        <v>155</v>
      </c>
      <c r="L146" s="1">
        <v>43229</v>
      </c>
      <c r="M146" s="1" t="s">
        <v>54</v>
      </c>
      <c r="N146" s="1" t="s">
        <v>212</v>
      </c>
      <c r="O146" s="1" t="s">
        <v>65</v>
      </c>
      <c r="P146" s="1" t="s">
        <v>140</v>
      </c>
      <c r="Q146" s="1" t="s">
        <v>213</v>
      </c>
      <c r="R146" s="1">
        <v>302.45</v>
      </c>
      <c r="S146" s="1">
        <v>5</v>
      </c>
      <c r="T146" s="1">
        <v>0.5</v>
      </c>
      <c r="U146" s="1">
        <v>-199.61700000000002</v>
      </c>
    </row>
    <row r="147" spans="1:21" ht="15.75" x14ac:dyDescent="0.25">
      <c r="A147" s="1">
        <v>146</v>
      </c>
      <c r="B147" s="2" t="s">
        <v>597</v>
      </c>
      <c r="C147" s="3">
        <v>44988</v>
      </c>
      <c r="D147" s="3">
        <v>44992</v>
      </c>
      <c r="E147" s="1" t="s">
        <v>22</v>
      </c>
      <c r="F147" s="1" t="s">
        <v>598</v>
      </c>
      <c r="G147" s="1" t="s">
        <v>599</v>
      </c>
      <c r="H147" s="1" t="s">
        <v>25</v>
      </c>
      <c r="I147" s="1" t="s">
        <v>26</v>
      </c>
      <c r="J147" s="1" t="s">
        <v>337</v>
      </c>
      <c r="K147" s="1" t="s">
        <v>91</v>
      </c>
      <c r="L147" s="1">
        <v>92037</v>
      </c>
      <c r="M147" s="1" t="s">
        <v>92</v>
      </c>
      <c r="N147" s="1" t="s">
        <v>600</v>
      </c>
      <c r="O147" s="1" t="s">
        <v>65</v>
      </c>
      <c r="P147" s="1" t="s">
        <v>339</v>
      </c>
      <c r="Q147" s="1" t="s">
        <v>601</v>
      </c>
      <c r="R147" s="1">
        <v>626.35200000000009</v>
      </c>
      <c r="S147" s="1">
        <v>3</v>
      </c>
      <c r="T147" s="1">
        <v>0.2</v>
      </c>
      <c r="U147" s="1">
        <v>-23.488200000000091</v>
      </c>
    </row>
    <row r="148" spans="1:21" ht="15.75" x14ac:dyDescent="0.25">
      <c r="A148" s="1">
        <v>147</v>
      </c>
      <c r="B148" s="2" t="s">
        <v>602</v>
      </c>
      <c r="C148" s="3">
        <v>44988</v>
      </c>
      <c r="D148" s="3">
        <v>44992</v>
      </c>
      <c r="E148" s="1" t="s">
        <v>22</v>
      </c>
      <c r="F148" s="1" t="s">
        <v>603</v>
      </c>
      <c r="G148" s="1" t="s">
        <v>604</v>
      </c>
      <c r="H148" s="1" t="s">
        <v>25</v>
      </c>
      <c r="I148" s="1" t="s">
        <v>26</v>
      </c>
      <c r="J148" s="1" t="s">
        <v>27</v>
      </c>
      <c r="K148" s="1" t="s">
        <v>28</v>
      </c>
      <c r="L148" s="1">
        <v>77095</v>
      </c>
      <c r="M148" s="1" t="s">
        <v>29</v>
      </c>
      <c r="N148" s="1" t="s">
        <v>605</v>
      </c>
      <c r="O148" s="1" t="s">
        <v>31</v>
      </c>
      <c r="P148" s="1" t="s">
        <v>205</v>
      </c>
      <c r="Q148" s="1" t="s">
        <v>606</v>
      </c>
      <c r="R148" s="1">
        <v>176.77199999999996</v>
      </c>
      <c r="S148" s="1">
        <v>3</v>
      </c>
      <c r="T148" s="1">
        <v>0.8</v>
      </c>
      <c r="U148" s="1">
        <v>-459.60720000000003</v>
      </c>
    </row>
    <row r="149" spans="1:21" ht="15.75" x14ac:dyDescent="0.25">
      <c r="A149" s="1">
        <v>148</v>
      </c>
      <c r="B149" s="2" t="s">
        <v>607</v>
      </c>
      <c r="C149" s="3">
        <v>44988</v>
      </c>
      <c r="D149" s="3">
        <v>44992</v>
      </c>
      <c r="E149" s="1" t="s">
        <v>87</v>
      </c>
      <c r="F149" s="1" t="s">
        <v>608</v>
      </c>
      <c r="G149" s="1" t="s">
        <v>609</v>
      </c>
      <c r="H149" s="1" t="s">
        <v>25</v>
      </c>
      <c r="I149" s="1" t="s">
        <v>26</v>
      </c>
      <c r="J149" s="1" t="s">
        <v>610</v>
      </c>
      <c r="K149" s="1" t="s">
        <v>611</v>
      </c>
      <c r="L149" s="1">
        <v>28403</v>
      </c>
      <c r="M149" s="1" t="s">
        <v>63</v>
      </c>
      <c r="N149" s="1" t="s">
        <v>550</v>
      </c>
      <c r="O149" s="1" t="s">
        <v>31</v>
      </c>
      <c r="P149" s="1" t="s">
        <v>56</v>
      </c>
      <c r="Q149" s="1" t="s">
        <v>551</v>
      </c>
      <c r="R149" s="1">
        <v>19.456000000000003</v>
      </c>
      <c r="S149" s="1">
        <v>4</v>
      </c>
      <c r="T149" s="1">
        <v>0.2</v>
      </c>
      <c r="U149" s="1">
        <v>3.4047999999999981</v>
      </c>
    </row>
    <row r="150" spans="1:21" ht="15.75" x14ac:dyDescent="0.25">
      <c r="A150" s="1">
        <v>149</v>
      </c>
      <c r="B150" s="2" t="s">
        <v>612</v>
      </c>
      <c r="C150" s="3">
        <v>44988</v>
      </c>
      <c r="D150" s="3">
        <v>44993</v>
      </c>
      <c r="E150" s="1" t="s">
        <v>22</v>
      </c>
      <c r="F150" s="1" t="s">
        <v>613</v>
      </c>
      <c r="G150" s="1" t="s">
        <v>614</v>
      </c>
      <c r="H150" s="1" t="s">
        <v>37</v>
      </c>
      <c r="I150" s="1" t="s">
        <v>26</v>
      </c>
      <c r="J150" s="1" t="s">
        <v>348</v>
      </c>
      <c r="K150" s="1" t="s">
        <v>349</v>
      </c>
      <c r="L150" s="1">
        <v>10035</v>
      </c>
      <c r="M150" s="1" t="s">
        <v>54</v>
      </c>
      <c r="N150" s="1" t="s">
        <v>615</v>
      </c>
      <c r="O150" s="1" t="s">
        <v>31</v>
      </c>
      <c r="P150" s="1" t="s">
        <v>41</v>
      </c>
      <c r="Q150" s="1" t="s">
        <v>616</v>
      </c>
      <c r="R150" s="1">
        <v>25.32</v>
      </c>
      <c r="S150" s="1">
        <v>5</v>
      </c>
      <c r="T150" s="1">
        <v>0.2</v>
      </c>
      <c r="U150" s="1">
        <v>9.1785000000000014</v>
      </c>
    </row>
    <row r="151" spans="1:21" ht="15.75" x14ac:dyDescent="0.25">
      <c r="A151" s="1">
        <v>150</v>
      </c>
      <c r="B151" s="2" t="s">
        <v>612</v>
      </c>
      <c r="C151" s="3">
        <v>44988</v>
      </c>
      <c r="D151" s="3">
        <v>44993</v>
      </c>
      <c r="E151" s="1" t="s">
        <v>22</v>
      </c>
      <c r="F151" s="1" t="s">
        <v>613</v>
      </c>
      <c r="G151" s="1" t="s">
        <v>614</v>
      </c>
      <c r="H151" s="1" t="s">
        <v>37</v>
      </c>
      <c r="I151" s="1" t="s">
        <v>26</v>
      </c>
      <c r="J151" s="1" t="s">
        <v>348</v>
      </c>
      <c r="K151" s="1" t="s">
        <v>349</v>
      </c>
      <c r="L151" s="1">
        <v>10035</v>
      </c>
      <c r="M151" s="1" t="s">
        <v>54</v>
      </c>
      <c r="N151" s="1" t="s">
        <v>391</v>
      </c>
      <c r="O151" s="1" t="s">
        <v>31</v>
      </c>
      <c r="P151" s="1" t="s">
        <v>41</v>
      </c>
      <c r="Q151" s="1" t="s">
        <v>392</v>
      </c>
      <c r="R151" s="1">
        <v>125.76</v>
      </c>
      <c r="S151" s="1">
        <v>3</v>
      </c>
      <c r="T151" s="1">
        <v>0.2</v>
      </c>
      <c r="U151" s="1">
        <v>40.872</v>
      </c>
    </row>
    <row r="152" spans="1:21" ht="15.75" x14ac:dyDescent="0.25">
      <c r="A152" s="1">
        <v>151</v>
      </c>
      <c r="B152" s="2" t="s">
        <v>594</v>
      </c>
      <c r="C152" s="3">
        <v>44988</v>
      </c>
      <c r="D152" s="3">
        <v>44993</v>
      </c>
      <c r="E152" s="1" t="s">
        <v>22</v>
      </c>
      <c r="F152" s="1" t="s">
        <v>595</v>
      </c>
      <c r="G152" s="1" t="s">
        <v>596</v>
      </c>
      <c r="H152" s="1" t="s">
        <v>74</v>
      </c>
      <c r="I152" s="1" t="s">
        <v>26</v>
      </c>
      <c r="J152" s="1" t="s">
        <v>549</v>
      </c>
      <c r="K152" s="1" t="s">
        <v>155</v>
      </c>
      <c r="L152" s="1">
        <v>43229</v>
      </c>
      <c r="M152" s="1" t="s">
        <v>54</v>
      </c>
      <c r="N152" s="1" t="s">
        <v>617</v>
      </c>
      <c r="O152" s="1" t="s">
        <v>31</v>
      </c>
      <c r="P152" s="1" t="s">
        <v>44</v>
      </c>
      <c r="Q152" s="1" t="s">
        <v>618</v>
      </c>
      <c r="R152" s="1">
        <v>15.120000000000001</v>
      </c>
      <c r="S152" s="1">
        <v>3</v>
      </c>
      <c r="T152" s="1">
        <v>0.2</v>
      </c>
      <c r="U152" s="1">
        <v>4.9139999999999988</v>
      </c>
    </row>
    <row r="153" spans="1:21" ht="15.75" x14ac:dyDescent="0.25">
      <c r="A153" s="1">
        <v>152</v>
      </c>
      <c r="B153" s="2" t="s">
        <v>594</v>
      </c>
      <c r="C153" s="3">
        <v>44988</v>
      </c>
      <c r="D153" s="3">
        <v>44993</v>
      </c>
      <c r="E153" s="1" t="s">
        <v>22</v>
      </c>
      <c r="F153" s="1" t="s">
        <v>595</v>
      </c>
      <c r="G153" s="1" t="s">
        <v>596</v>
      </c>
      <c r="H153" s="1" t="s">
        <v>74</v>
      </c>
      <c r="I153" s="1" t="s">
        <v>26</v>
      </c>
      <c r="J153" s="1" t="s">
        <v>549</v>
      </c>
      <c r="K153" s="1" t="s">
        <v>155</v>
      </c>
      <c r="L153" s="1">
        <v>43229</v>
      </c>
      <c r="M153" s="1" t="s">
        <v>54</v>
      </c>
      <c r="N153" s="1" t="s">
        <v>619</v>
      </c>
      <c r="O153" s="1" t="s">
        <v>31</v>
      </c>
      <c r="P153" s="1" t="s">
        <v>47</v>
      </c>
      <c r="Q153" s="1" t="s">
        <v>620</v>
      </c>
      <c r="R153" s="1">
        <v>44.672000000000004</v>
      </c>
      <c r="S153" s="1">
        <v>8</v>
      </c>
      <c r="T153" s="1">
        <v>0.2</v>
      </c>
      <c r="U153" s="1">
        <v>-10.051200000000003</v>
      </c>
    </row>
    <row r="154" spans="1:21" ht="15.75" x14ac:dyDescent="0.25">
      <c r="A154" s="1">
        <v>153</v>
      </c>
      <c r="B154" s="2" t="s">
        <v>612</v>
      </c>
      <c r="C154" s="3">
        <v>44988</v>
      </c>
      <c r="D154" s="3">
        <v>44993</v>
      </c>
      <c r="E154" s="1" t="s">
        <v>22</v>
      </c>
      <c r="F154" s="1" t="s">
        <v>613</v>
      </c>
      <c r="G154" s="1" t="s">
        <v>614</v>
      </c>
      <c r="H154" s="1" t="s">
        <v>37</v>
      </c>
      <c r="I154" s="1" t="s">
        <v>26</v>
      </c>
      <c r="J154" s="1" t="s">
        <v>348</v>
      </c>
      <c r="K154" s="1" t="s">
        <v>349</v>
      </c>
      <c r="L154" s="1">
        <v>10035</v>
      </c>
      <c r="M154" s="1" t="s">
        <v>54</v>
      </c>
      <c r="N154" s="1" t="s">
        <v>621</v>
      </c>
      <c r="O154" s="1" t="s">
        <v>96</v>
      </c>
      <c r="P154" s="1" t="s">
        <v>97</v>
      </c>
      <c r="Q154" s="1" t="s">
        <v>622</v>
      </c>
      <c r="R154" s="1">
        <v>9.99</v>
      </c>
      <c r="S154" s="1">
        <v>1</v>
      </c>
      <c r="T154" s="1">
        <v>0</v>
      </c>
      <c r="U154" s="1">
        <v>4.5953999999999997</v>
      </c>
    </row>
    <row r="155" spans="1:21" ht="15.75" x14ac:dyDescent="0.25">
      <c r="A155" s="1">
        <v>154</v>
      </c>
      <c r="B155" s="2" t="s">
        <v>623</v>
      </c>
      <c r="C155" s="3">
        <v>44989</v>
      </c>
      <c r="D155" s="3">
        <v>44994</v>
      </c>
      <c r="E155" s="1" t="s">
        <v>22</v>
      </c>
      <c r="F155" s="1" t="s">
        <v>459</v>
      </c>
      <c r="G155" s="1" t="s">
        <v>460</v>
      </c>
      <c r="H155" s="1" t="s">
        <v>25</v>
      </c>
      <c r="I155" s="1" t="s">
        <v>26</v>
      </c>
      <c r="J155" s="1" t="s">
        <v>624</v>
      </c>
      <c r="K155" s="1" t="s">
        <v>273</v>
      </c>
      <c r="L155" s="1">
        <v>33063</v>
      </c>
      <c r="M155" s="1" t="s">
        <v>63</v>
      </c>
      <c r="N155" s="1" t="s">
        <v>625</v>
      </c>
      <c r="O155" s="1" t="s">
        <v>31</v>
      </c>
      <c r="P155" s="1" t="s">
        <v>56</v>
      </c>
      <c r="Q155" s="1" t="s">
        <v>626</v>
      </c>
      <c r="R155" s="1">
        <v>15.552000000000003</v>
      </c>
      <c r="S155" s="1">
        <v>3</v>
      </c>
      <c r="T155" s="1">
        <v>0.2</v>
      </c>
      <c r="U155" s="1">
        <v>2.3327999999999989</v>
      </c>
    </row>
    <row r="156" spans="1:21" ht="15.75" x14ac:dyDescent="0.25">
      <c r="A156" s="1">
        <v>155</v>
      </c>
      <c r="B156" s="2" t="s">
        <v>627</v>
      </c>
      <c r="C156" s="3">
        <v>44989</v>
      </c>
      <c r="D156" s="3">
        <v>44989</v>
      </c>
      <c r="E156" s="1" t="s">
        <v>497</v>
      </c>
      <c r="F156" s="1" t="s">
        <v>628</v>
      </c>
      <c r="G156" s="1" t="s">
        <v>629</v>
      </c>
      <c r="H156" s="1" t="s">
        <v>25</v>
      </c>
      <c r="I156" s="1" t="s">
        <v>26</v>
      </c>
      <c r="J156" s="1" t="s">
        <v>437</v>
      </c>
      <c r="K156" s="1" t="s">
        <v>146</v>
      </c>
      <c r="L156" s="1">
        <v>29203</v>
      </c>
      <c r="M156" s="1" t="s">
        <v>63</v>
      </c>
      <c r="N156" s="1" t="s">
        <v>630</v>
      </c>
      <c r="O156" s="1" t="s">
        <v>31</v>
      </c>
      <c r="P156" s="1" t="s">
        <v>47</v>
      </c>
      <c r="Q156" s="1" t="s">
        <v>631</v>
      </c>
      <c r="R156" s="1">
        <v>354.90000000000003</v>
      </c>
      <c r="S156" s="1">
        <v>5</v>
      </c>
      <c r="T156" s="1">
        <v>0</v>
      </c>
      <c r="U156" s="1">
        <v>17.744999999999962</v>
      </c>
    </row>
    <row r="157" spans="1:21" ht="15.75" x14ac:dyDescent="0.25">
      <c r="A157" s="1">
        <v>156</v>
      </c>
      <c r="B157" s="2" t="s">
        <v>632</v>
      </c>
      <c r="C157" s="3">
        <v>44990</v>
      </c>
      <c r="D157" s="3">
        <v>44993</v>
      </c>
      <c r="E157" s="1" t="s">
        <v>87</v>
      </c>
      <c r="F157" s="1" t="s">
        <v>633</v>
      </c>
      <c r="G157" s="1" t="s">
        <v>634</v>
      </c>
      <c r="H157" s="1" t="s">
        <v>25</v>
      </c>
      <c r="I157" s="1" t="s">
        <v>26</v>
      </c>
      <c r="J157" s="1" t="s">
        <v>635</v>
      </c>
      <c r="K157" s="1" t="s">
        <v>349</v>
      </c>
      <c r="L157" s="1">
        <v>10701</v>
      </c>
      <c r="M157" s="1" t="s">
        <v>54</v>
      </c>
      <c r="N157" s="1" t="s">
        <v>636</v>
      </c>
      <c r="O157" s="1" t="s">
        <v>31</v>
      </c>
      <c r="P157" s="1" t="s">
        <v>56</v>
      </c>
      <c r="Q157" s="1" t="s">
        <v>637</v>
      </c>
      <c r="R157" s="1">
        <v>59.519999999999996</v>
      </c>
      <c r="S157" s="1">
        <v>3</v>
      </c>
      <c r="T157" s="1">
        <v>0</v>
      </c>
      <c r="U157" s="1">
        <v>15.475200000000001</v>
      </c>
    </row>
    <row r="158" spans="1:21" ht="15.75" x14ac:dyDescent="0.25">
      <c r="A158" s="1">
        <v>157</v>
      </c>
      <c r="B158" s="2" t="s">
        <v>632</v>
      </c>
      <c r="C158" s="3">
        <v>44990</v>
      </c>
      <c r="D158" s="3">
        <v>44993</v>
      </c>
      <c r="E158" s="1" t="s">
        <v>87</v>
      </c>
      <c r="F158" s="1" t="s">
        <v>633</v>
      </c>
      <c r="G158" s="1" t="s">
        <v>634</v>
      </c>
      <c r="H158" s="1" t="s">
        <v>25</v>
      </c>
      <c r="I158" s="1" t="s">
        <v>26</v>
      </c>
      <c r="J158" s="1" t="s">
        <v>635</v>
      </c>
      <c r="K158" s="1" t="s">
        <v>349</v>
      </c>
      <c r="L158" s="1">
        <v>10701</v>
      </c>
      <c r="M158" s="1" t="s">
        <v>54</v>
      </c>
      <c r="N158" s="1" t="s">
        <v>638</v>
      </c>
      <c r="O158" s="1" t="s">
        <v>31</v>
      </c>
      <c r="P158" s="1" t="s">
        <v>41</v>
      </c>
      <c r="Q158" s="1" t="s">
        <v>639</v>
      </c>
      <c r="R158" s="1">
        <v>49.632000000000005</v>
      </c>
      <c r="S158" s="1">
        <v>6</v>
      </c>
      <c r="T158" s="1">
        <v>0.2</v>
      </c>
      <c r="U158" s="1">
        <v>16.750799999999998</v>
      </c>
    </row>
    <row r="159" spans="1:21" ht="15.75" x14ac:dyDescent="0.25">
      <c r="A159" s="1">
        <v>158</v>
      </c>
      <c r="B159" s="2" t="s">
        <v>632</v>
      </c>
      <c r="C159" s="3">
        <v>44990</v>
      </c>
      <c r="D159" s="3">
        <v>44993</v>
      </c>
      <c r="E159" s="1" t="s">
        <v>87</v>
      </c>
      <c r="F159" s="1" t="s">
        <v>633</v>
      </c>
      <c r="G159" s="1" t="s">
        <v>634</v>
      </c>
      <c r="H159" s="1" t="s">
        <v>25</v>
      </c>
      <c r="I159" s="1" t="s">
        <v>26</v>
      </c>
      <c r="J159" s="1" t="s">
        <v>635</v>
      </c>
      <c r="K159" s="1" t="s">
        <v>349</v>
      </c>
      <c r="L159" s="1">
        <v>10701</v>
      </c>
      <c r="M159" s="1" t="s">
        <v>54</v>
      </c>
      <c r="N159" s="1" t="s">
        <v>640</v>
      </c>
      <c r="O159" s="1" t="s">
        <v>31</v>
      </c>
      <c r="P159" s="1" t="s">
        <v>32</v>
      </c>
      <c r="Q159" s="1" t="s">
        <v>641</v>
      </c>
      <c r="R159" s="1">
        <v>97.82</v>
      </c>
      <c r="S159" s="1">
        <v>2</v>
      </c>
      <c r="T159" s="1">
        <v>0</v>
      </c>
      <c r="U159" s="1">
        <v>45.975399999999993</v>
      </c>
    </row>
    <row r="160" spans="1:21" ht="15.75" x14ac:dyDescent="0.25">
      <c r="A160" s="1">
        <v>159</v>
      </c>
      <c r="B160" s="2" t="s">
        <v>632</v>
      </c>
      <c r="C160" s="3">
        <v>44990</v>
      </c>
      <c r="D160" s="3">
        <v>44993</v>
      </c>
      <c r="E160" s="1" t="s">
        <v>87</v>
      </c>
      <c r="F160" s="1" t="s">
        <v>633</v>
      </c>
      <c r="G160" s="1" t="s">
        <v>634</v>
      </c>
      <c r="H160" s="1" t="s">
        <v>25</v>
      </c>
      <c r="I160" s="1" t="s">
        <v>26</v>
      </c>
      <c r="J160" s="1" t="s">
        <v>635</v>
      </c>
      <c r="K160" s="1" t="s">
        <v>349</v>
      </c>
      <c r="L160" s="1">
        <v>10701</v>
      </c>
      <c r="M160" s="1" t="s">
        <v>54</v>
      </c>
      <c r="N160" s="1" t="s">
        <v>642</v>
      </c>
      <c r="O160" s="1" t="s">
        <v>31</v>
      </c>
      <c r="P160" s="1" t="s">
        <v>475</v>
      </c>
      <c r="Q160" s="1" t="s">
        <v>643</v>
      </c>
      <c r="R160" s="1">
        <v>18.62</v>
      </c>
      <c r="S160" s="1">
        <v>2</v>
      </c>
      <c r="T160" s="1">
        <v>0</v>
      </c>
      <c r="U160" s="1">
        <v>5.399799999999999</v>
      </c>
    </row>
    <row r="161" spans="1:21" ht="15.75" x14ac:dyDescent="0.25">
      <c r="A161" s="1">
        <v>160</v>
      </c>
      <c r="B161" s="2" t="s">
        <v>632</v>
      </c>
      <c r="C161" s="3">
        <v>44990</v>
      </c>
      <c r="D161" s="3">
        <v>44993</v>
      </c>
      <c r="E161" s="1" t="s">
        <v>87</v>
      </c>
      <c r="F161" s="1" t="s">
        <v>633</v>
      </c>
      <c r="G161" s="1" t="s">
        <v>634</v>
      </c>
      <c r="H161" s="1" t="s">
        <v>25</v>
      </c>
      <c r="I161" s="1" t="s">
        <v>26</v>
      </c>
      <c r="J161" s="1" t="s">
        <v>635</v>
      </c>
      <c r="K161" s="1" t="s">
        <v>349</v>
      </c>
      <c r="L161" s="1">
        <v>10701</v>
      </c>
      <c r="M161" s="1" t="s">
        <v>54</v>
      </c>
      <c r="N161" s="1" t="s">
        <v>644</v>
      </c>
      <c r="O161" s="1" t="s">
        <v>96</v>
      </c>
      <c r="P161" s="1" t="s">
        <v>117</v>
      </c>
      <c r="Q161" s="1" t="s">
        <v>645</v>
      </c>
      <c r="R161" s="1">
        <v>479.97</v>
      </c>
      <c r="S161" s="1">
        <v>3</v>
      </c>
      <c r="T161" s="1">
        <v>0</v>
      </c>
      <c r="U161" s="1">
        <v>177.58890000000002</v>
      </c>
    </row>
    <row r="162" spans="1:21" ht="15.75" x14ac:dyDescent="0.25">
      <c r="A162" s="1">
        <v>161</v>
      </c>
      <c r="B162" s="2" t="s">
        <v>646</v>
      </c>
      <c r="C162" s="3">
        <v>44992</v>
      </c>
      <c r="D162" s="3">
        <v>44997</v>
      </c>
      <c r="E162" s="1" t="s">
        <v>22</v>
      </c>
      <c r="F162" s="1" t="s">
        <v>647</v>
      </c>
      <c r="G162" s="1" t="s">
        <v>648</v>
      </c>
      <c r="H162" s="1" t="s">
        <v>74</v>
      </c>
      <c r="I162" s="1" t="s">
        <v>26</v>
      </c>
      <c r="J162" s="1" t="s">
        <v>387</v>
      </c>
      <c r="K162" s="1" t="s">
        <v>388</v>
      </c>
      <c r="L162" s="1">
        <v>98103</v>
      </c>
      <c r="M162" s="1" t="s">
        <v>92</v>
      </c>
      <c r="N162" s="1" t="s">
        <v>649</v>
      </c>
      <c r="O162" s="1" t="s">
        <v>65</v>
      </c>
      <c r="P162" s="1" t="s">
        <v>66</v>
      </c>
      <c r="Q162" s="1" t="s">
        <v>650</v>
      </c>
      <c r="R162" s="1">
        <v>436.70400000000006</v>
      </c>
      <c r="S162" s="1">
        <v>6</v>
      </c>
      <c r="T162" s="1">
        <v>0.2</v>
      </c>
      <c r="U162" s="1">
        <v>21.835199999999986</v>
      </c>
    </row>
    <row r="163" spans="1:21" ht="15.75" x14ac:dyDescent="0.25">
      <c r="A163" s="1">
        <v>162</v>
      </c>
      <c r="B163" s="2" t="s">
        <v>651</v>
      </c>
      <c r="C163" s="3">
        <v>44992</v>
      </c>
      <c r="D163" s="3">
        <v>44993</v>
      </c>
      <c r="E163" s="1" t="s">
        <v>71</v>
      </c>
      <c r="F163" s="1" t="s">
        <v>504</v>
      </c>
      <c r="G163" s="1" t="s">
        <v>505</v>
      </c>
      <c r="H163" s="1" t="s">
        <v>25</v>
      </c>
      <c r="I163" s="1" t="s">
        <v>26</v>
      </c>
      <c r="J163" s="1" t="s">
        <v>387</v>
      </c>
      <c r="K163" s="1" t="s">
        <v>388</v>
      </c>
      <c r="L163" s="1">
        <v>98103</v>
      </c>
      <c r="M163" s="1" t="s">
        <v>92</v>
      </c>
      <c r="N163" s="1" t="s">
        <v>652</v>
      </c>
      <c r="O163" s="1" t="s">
        <v>65</v>
      </c>
      <c r="P163" s="1" t="s">
        <v>66</v>
      </c>
      <c r="Q163" s="1" t="s">
        <v>653</v>
      </c>
      <c r="R163" s="1">
        <v>48.712000000000003</v>
      </c>
      <c r="S163" s="1">
        <v>1</v>
      </c>
      <c r="T163" s="1">
        <v>0.2</v>
      </c>
      <c r="U163" s="1">
        <v>5.4800999999999966</v>
      </c>
    </row>
    <row r="164" spans="1:21" ht="15.75" x14ac:dyDescent="0.25">
      <c r="A164" s="1">
        <v>163</v>
      </c>
      <c r="B164" s="2" t="s">
        <v>646</v>
      </c>
      <c r="C164" s="3">
        <v>44992</v>
      </c>
      <c r="D164" s="3">
        <v>44997</v>
      </c>
      <c r="E164" s="1" t="s">
        <v>22</v>
      </c>
      <c r="F164" s="1" t="s">
        <v>647</v>
      </c>
      <c r="G164" s="1" t="s">
        <v>648</v>
      </c>
      <c r="H164" s="1" t="s">
        <v>74</v>
      </c>
      <c r="I164" s="1" t="s">
        <v>26</v>
      </c>
      <c r="J164" s="1" t="s">
        <v>387</v>
      </c>
      <c r="K164" s="1" t="s">
        <v>388</v>
      </c>
      <c r="L164" s="1">
        <v>98103</v>
      </c>
      <c r="M164" s="1" t="s">
        <v>92</v>
      </c>
      <c r="N164" s="1" t="s">
        <v>654</v>
      </c>
      <c r="O164" s="1" t="s">
        <v>65</v>
      </c>
      <c r="P164" s="1" t="s">
        <v>66</v>
      </c>
      <c r="Q164" s="1" t="s">
        <v>655</v>
      </c>
      <c r="R164" s="1">
        <v>481.56800000000004</v>
      </c>
      <c r="S164" s="1">
        <v>2</v>
      </c>
      <c r="T164" s="1">
        <v>0.2</v>
      </c>
      <c r="U164" s="1">
        <v>54.17639999999993</v>
      </c>
    </row>
    <row r="165" spans="1:21" ht="15.75" x14ac:dyDescent="0.25">
      <c r="A165" s="1">
        <v>164</v>
      </c>
      <c r="B165" s="2" t="s">
        <v>646</v>
      </c>
      <c r="C165" s="3">
        <v>44992</v>
      </c>
      <c r="D165" s="3">
        <v>44997</v>
      </c>
      <c r="E165" s="1" t="s">
        <v>22</v>
      </c>
      <c r="F165" s="1" t="s">
        <v>647</v>
      </c>
      <c r="G165" s="1" t="s">
        <v>648</v>
      </c>
      <c r="H165" s="1" t="s">
        <v>74</v>
      </c>
      <c r="I165" s="1" t="s">
        <v>26</v>
      </c>
      <c r="J165" s="1" t="s">
        <v>387</v>
      </c>
      <c r="K165" s="1" t="s">
        <v>388</v>
      </c>
      <c r="L165" s="1">
        <v>98103</v>
      </c>
      <c r="M165" s="1" t="s">
        <v>92</v>
      </c>
      <c r="N165" s="1" t="s">
        <v>656</v>
      </c>
      <c r="O165" s="1" t="s">
        <v>31</v>
      </c>
      <c r="P165" s="1" t="s">
        <v>56</v>
      </c>
      <c r="Q165" s="1" t="s">
        <v>657</v>
      </c>
      <c r="R165" s="1">
        <v>20.65</v>
      </c>
      <c r="S165" s="1">
        <v>5</v>
      </c>
      <c r="T165" s="1">
        <v>0</v>
      </c>
      <c r="U165" s="1">
        <v>9.4989999999999988</v>
      </c>
    </row>
    <row r="166" spans="1:21" ht="15.75" x14ac:dyDescent="0.25">
      <c r="A166" s="1">
        <v>165</v>
      </c>
      <c r="B166" s="2" t="s">
        <v>651</v>
      </c>
      <c r="C166" s="3">
        <v>44992</v>
      </c>
      <c r="D166" s="3">
        <v>44993</v>
      </c>
      <c r="E166" s="1" t="s">
        <v>71</v>
      </c>
      <c r="F166" s="1" t="s">
        <v>504</v>
      </c>
      <c r="G166" s="1" t="s">
        <v>505</v>
      </c>
      <c r="H166" s="1" t="s">
        <v>25</v>
      </c>
      <c r="I166" s="1" t="s">
        <v>26</v>
      </c>
      <c r="J166" s="1" t="s">
        <v>387</v>
      </c>
      <c r="K166" s="1" t="s">
        <v>388</v>
      </c>
      <c r="L166" s="1">
        <v>98103</v>
      </c>
      <c r="M166" s="1" t="s">
        <v>92</v>
      </c>
      <c r="N166" s="1" t="s">
        <v>658</v>
      </c>
      <c r="O166" s="1" t="s">
        <v>31</v>
      </c>
      <c r="P166" s="1" t="s">
        <v>56</v>
      </c>
      <c r="Q166" s="1" t="s">
        <v>659</v>
      </c>
      <c r="R166" s="1">
        <v>17.940000000000001</v>
      </c>
      <c r="S166" s="1">
        <v>3</v>
      </c>
      <c r="T166" s="1">
        <v>0</v>
      </c>
      <c r="U166" s="1">
        <v>4.6644000000000005</v>
      </c>
    </row>
    <row r="167" spans="1:21" ht="15.75" x14ac:dyDescent="0.25">
      <c r="A167" s="1">
        <v>166</v>
      </c>
      <c r="B167" s="2" t="s">
        <v>660</v>
      </c>
      <c r="C167" s="3">
        <v>44992</v>
      </c>
      <c r="D167" s="3">
        <v>44996</v>
      </c>
      <c r="E167" s="1" t="s">
        <v>87</v>
      </c>
      <c r="F167" s="1" t="s">
        <v>661</v>
      </c>
      <c r="G167" s="1" t="s">
        <v>662</v>
      </c>
      <c r="H167" s="1" t="s">
        <v>37</v>
      </c>
      <c r="I167" s="1" t="s">
        <v>26</v>
      </c>
      <c r="J167" s="1" t="s">
        <v>663</v>
      </c>
      <c r="K167" s="1" t="s">
        <v>388</v>
      </c>
      <c r="L167" s="1">
        <v>98198</v>
      </c>
      <c r="M167" s="1" t="s">
        <v>92</v>
      </c>
      <c r="N167" s="1" t="s">
        <v>664</v>
      </c>
      <c r="O167" s="1" t="s">
        <v>31</v>
      </c>
      <c r="P167" s="1" t="s">
        <v>41</v>
      </c>
      <c r="Q167" s="1" t="s">
        <v>665</v>
      </c>
      <c r="R167" s="1">
        <v>107.64800000000001</v>
      </c>
      <c r="S167" s="1">
        <v>2</v>
      </c>
      <c r="T167" s="1">
        <v>0.2</v>
      </c>
      <c r="U167" s="1">
        <v>33.639999999999986</v>
      </c>
    </row>
    <row r="168" spans="1:21" ht="15.75" x14ac:dyDescent="0.25">
      <c r="A168" s="1">
        <v>167</v>
      </c>
      <c r="B168" s="2" t="s">
        <v>646</v>
      </c>
      <c r="C168" s="3">
        <v>44992</v>
      </c>
      <c r="D168" s="3">
        <v>44997</v>
      </c>
      <c r="E168" s="1" t="s">
        <v>22</v>
      </c>
      <c r="F168" s="1" t="s">
        <v>647</v>
      </c>
      <c r="G168" s="1" t="s">
        <v>648</v>
      </c>
      <c r="H168" s="1" t="s">
        <v>74</v>
      </c>
      <c r="I168" s="1" t="s">
        <v>26</v>
      </c>
      <c r="J168" s="1" t="s">
        <v>387</v>
      </c>
      <c r="K168" s="1" t="s">
        <v>388</v>
      </c>
      <c r="L168" s="1">
        <v>98103</v>
      </c>
      <c r="M168" s="1" t="s">
        <v>92</v>
      </c>
      <c r="N168" s="1" t="s">
        <v>666</v>
      </c>
      <c r="O168" s="1" t="s">
        <v>31</v>
      </c>
      <c r="P168" s="1" t="s">
        <v>47</v>
      </c>
      <c r="Q168" s="1" t="s">
        <v>667</v>
      </c>
      <c r="R168" s="1">
        <v>204.89999999999998</v>
      </c>
      <c r="S168" s="1">
        <v>5</v>
      </c>
      <c r="T168" s="1">
        <v>0</v>
      </c>
      <c r="U168" s="1">
        <v>0</v>
      </c>
    </row>
    <row r="169" spans="1:21" ht="15.75" x14ac:dyDescent="0.25">
      <c r="A169" s="1">
        <v>168</v>
      </c>
      <c r="B169" s="2" t="s">
        <v>651</v>
      </c>
      <c r="C169" s="3">
        <v>44992</v>
      </c>
      <c r="D169" s="3">
        <v>44993</v>
      </c>
      <c r="E169" s="1" t="s">
        <v>71</v>
      </c>
      <c r="F169" s="1" t="s">
        <v>504</v>
      </c>
      <c r="G169" s="1" t="s">
        <v>505</v>
      </c>
      <c r="H169" s="1" t="s">
        <v>25</v>
      </c>
      <c r="I169" s="1" t="s">
        <v>26</v>
      </c>
      <c r="J169" s="1" t="s">
        <v>387</v>
      </c>
      <c r="K169" s="1" t="s">
        <v>388</v>
      </c>
      <c r="L169" s="1">
        <v>98103</v>
      </c>
      <c r="M169" s="1" t="s">
        <v>92</v>
      </c>
      <c r="N169" s="1" t="s">
        <v>668</v>
      </c>
      <c r="O169" s="1" t="s">
        <v>31</v>
      </c>
      <c r="P169" s="1" t="s">
        <v>47</v>
      </c>
      <c r="Q169" s="1" t="s">
        <v>669</v>
      </c>
      <c r="R169" s="1">
        <v>242.94</v>
      </c>
      <c r="S169" s="1">
        <v>3</v>
      </c>
      <c r="T169" s="1">
        <v>0</v>
      </c>
      <c r="U169" s="1">
        <v>4.8588000000000164</v>
      </c>
    </row>
    <row r="170" spans="1:21" ht="15.75" x14ac:dyDescent="0.25">
      <c r="A170" s="1">
        <v>169</v>
      </c>
      <c r="B170" s="2" t="s">
        <v>670</v>
      </c>
      <c r="C170" s="3">
        <v>44995</v>
      </c>
      <c r="D170" s="3">
        <v>45002</v>
      </c>
      <c r="E170" s="1" t="s">
        <v>22</v>
      </c>
      <c r="F170" s="1" t="s">
        <v>671</v>
      </c>
      <c r="G170" s="1" t="s">
        <v>672</v>
      </c>
      <c r="H170" s="1" t="s">
        <v>25</v>
      </c>
      <c r="I170" s="1" t="s">
        <v>26</v>
      </c>
      <c r="J170" s="1" t="s">
        <v>673</v>
      </c>
      <c r="K170" s="1" t="s">
        <v>674</v>
      </c>
      <c r="L170" s="1">
        <v>80219</v>
      </c>
      <c r="M170" s="1" t="s">
        <v>92</v>
      </c>
      <c r="N170" s="1" t="s">
        <v>675</v>
      </c>
      <c r="O170" s="1" t="s">
        <v>31</v>
      </c>
      <c r="P170" s="1" t="s">
        <v>56</v>
      </c>
      <c r="Q170" s="1" t="s">
        <v>676</v>
      </c>
      <c r="R170" s="1">
        <v>83.168000000000006</v>
      </c>
      <c r="S170" s="1">
        <v>4</v>
      </c>
      <c r="T170" s="1">
        <v>0.2</v>
      </c>
      <c r="U170" s="1">
        <v>9.3563999999999936</v>
      </c>
    </row>
    <row r="171" spans="1:21" ht="15.75" x14ac:dyDescent="0.25">
      <c r="A171" s="1">
        <v>170</v>
      </c>
      <c r="B171" s="2" t="s">
        <v>677</v>
      </c>
      <c r="C171" s="3">
        <v>44995</v>
      </c>
      <c r="D171" s="3">
        <v>44999</v>
      </c>
      <c r="E171" s="1" t="s">
        <v>22</v>
      </c>
      <c r="F171" s="1" t="s">
        <v>678</v>
      </c>
      <c r="G171" s="1" t="s">
        <v>679</v>
      </c>
      <c r="H171" s="1" t="s">
        <v>25</v>
      </c>
      <c r="I171" s="1" t="s">
        <v>26</v>
      </c>
      <c r="J171" s="1" t="s">
        <v>680</v>
      </c>
      <c r="K171" s="1" t="s">
        <v>231</v>
      </c>
      <c r="L171" s="1">
        <v>48073</v>
      </c>
      <c r="M171" s="1" t="s">
        <v>29</v>
      </c>
      <c r="N171" s="1" t="s">
        <v>681</v>
      </c>
      <c r="O171" s="1" t="s">
        <v>31</v>
      </c>
      <c r="P171" s="1" t="s">
        <v>32</v>
      </c>
      <c r="Q171" s="1" t="s">
        <v>682</v>
      </c>
      <c r="R171" s="1">
        <v>22.38</v>
      </c>
      <c r="S171" s="1">
        <v>2</v>
      </c>
      <c r="T171" s="1">
        <v>0</v>
      </c>
      <c r="U171" s="1">
        <v>10.7424</v>
      </c>
    </row>
    <row r="172" spans="1:21" ht="15.75" x14ac:dyDescent="0.25">
      <c r="A172" s="1">
        <v>171</v>
      </c>
      <c r="B172" s="2" t="s">
        <v>670</v>
      </c>
      <c r="C172" s="3">
        <v>44995</v>
      </c>
      <c r="D172" s="3">
        <v>45002</v>
      </c>
      <c r="E172" s="1" t="s">
        <v>22</v>
      </c>
      <c r="F172" s="1" t="s">
        <v>671</v>
      </c>
      <c r="G172" s="1" t="s">
        <v>672</v>
      </c>
      <c r="H172" s="1" t="s">
        <v>25</v>
      </c>
      <c r="I172" s="1" t="s">
        <v>26</v>
      </c>
      <c r="J172" s="1" t="s">
        <v>673</v>
      </c>
      <c r="K172" s="1" t="s">
        <v>674</v>
      </c>
      <c r="L172" s="1">
        <v>80219</v>
      </c>
      <c r="M172" s="1" t="s">
        <v>92</v>
      </c>
      <c r="N172" s="1" t="s">
        <v>174</v>
      </c>
      <c r="O172" s="1" t="s">
        <v>31</v>
      </c>
      <c r="P172" s="1" t="s">
        <v>47</v>
      </c>
      <c r="Q172" s="1" t="s">
        <v>175</v>
      </c>
      <c r="R172" s="1">
        <v>636.40800000000013</v>
      </c>
      <c r="S172" s="1">
        <v>3</v>
      </c>
      <c r="T172" s="1">
        <v>0.2</v>
      </c>
      <c r="U172" s="1">
        <v>-15.910200000000088</v>
      </c>
    </row>
    <row r="173" spans="1:21" ht="15.75" x14ac:dyDescent="0.25">
      <c r="A173" s="1">
        <v>172</v>
      </c>
      <c r="B173" s="2" t="s">
        <v>683</v>
      </c>
      <c r="C173" s="3">
        <v>44996</v>
      </c>
      <c r="D173" s="3">
        <v>45001</v>
      </c>
      <c r="E173" s="1" t="s">
        <v>87</v>
      </c>
      <c r="F173" s="1" t="s">
        <v>684</v>
      </c>
      <c r="G173" s="1" t="s">
        <v>685</v>
      </c>
      <c r="H173" s="1" t="s">
        <v>25</v>
      </c>
      <c r="I173" s="1" t="s">
        <v>26</v>
      </c>
      <c r="J173" s="1" t="s">
        <v>549</v>
      </c>
      <c r="K173" s="1" t="s">
        <v>155</v>
      </c>
      <c r="L173" s="1">
        <v>43229</v>
      </c>
      <c r="M173" s="1" t="s">
        <v>54</v>
      </c>
      <c r="N173" s="1" t="s">
        <v>686</v>
      </c>
      <c r="O173" s="1" t="s">
        <v>65</v>
      </c>
      <c r="P173" s="1" t="s">
        <v>106</v>
      </c>
      <c r="Q173" s="1" t="s">
        <v>687</v>
      </c>
      <c r="R173" s="1">
        <v>8.32</v>
      </c>
      <c r="S173" s="1">
        <v>5</v>
      </c>
      <c r="T173" s="1">
        <v>0.2</v>
      </c>
      <c r="U173" s="1">
        <v>2.2880000000000003</v>
      </c>
    </row>
    <row r="174" spans="1:21" ht="15.75" x14ac:dyDescent="0.25">
      <c r="A174" s="1">
        <v>173</v>
      </c>
      <c r="B174" s="2" t="s">
        <v>688</v>
      </c>
      <c r="C174" s="3">
        <v>44996</v>
      </c>
      <c r="D174" s="3">
        <v>44998</v>
      </c>
      <c r="E174" s="1" t="s">
        <v>87</v>
      </c>
      <c r="F174" s="1" t="s">
        <v>689</v>
      </c>
      <c r="G174" s="1" t="s">
        <v>690</v>
      </c>
      <c r="H174" s="1" t="s">
        <v>74</v>
      </c>
      <c r="I174" s="1" t="s">
        <v>26</v>
      </c>
      <c r="J174" s="1" t="s">
        <v>512</v>
      </c>
      <c r="K174" s="1" t="s">
        <v>62</v>
      </c>
      <c r="L174" s="1">
        <v>40475</v>
      </c>
      <c r="M174" s="1" t="s">
        <v>63</v>
      </c>
      <c r="N174" s="1" t="s">
        <v>691</v>
      </c>
      <c r="O174" s="1" t="s">
        <v>31</v>
      </c>
      <c r="P174" s="1" t="s">
        <v>205</v>
      </c>
      <c r="Q174" s="1" t="s">
        <v>692</v>
      </c>
      <c r="R174" s="1">
        <v>146.76</v>
      </c>
      <c r="S174" s="1">
        <v>3</v>
      </c>
      <c r="T174" s="1">
        <v>0</v>
      </c>
      <c r="U174" s="1">
        <v>38.157600000000002</v>
      </c>
    </row>
    <row r="175" spans="1:21" ht="15.75" x14ac:dyDescent="0.25">
      <c r="A175" s="1">
        <v>174</v>
      </c>
      <c r="B175" s="2" t="s">
        <v>693</v>
      </c>
      <c r="C175" s="3">
        <v>44996</v>
      </c>
      <c r="D175" s="3">
        <v>45000</v>
      </c>
      <c r="E175" s="1" t="s">
        <v>22</v>
      </c>
      <c r="F175" s="1" t="s">
        <v>694</v>
      </c>
      <c r="G175" s="1" t="s">
        <v>695</v>
      </c>
      <c r="H175" s="1" t="s">
        <v>25</v>
      </c>
      <c r="I175" s="1" t="s">
        <v>26</v>
      </c>
      <c r="J175" s="1" t="s">
        <v>696</v>
      </c>
      <c r="K175" s="1" t="s">
        <v>91</v>
      </c>
      <c r="L175" s="1">
        <v>95661</v>
      </c>
      <c r="M175" s="1" t="s">
        <v>92</v>
      </c>
      <c r="N175" s="1" t="s">
        <v>697</v>
      </c>
      <c r="O175" s="1" t="s">
        <v>31</v>
      </c>
      <c r="P175" s="1" t="s">
        <v>56</v>
      </c>
      <c r="Q175" s="1" t="s">
        <v>698</v>
      </c>
      <c r="R175" s="1">
        <v>7.98</v>
      </c>
      <c r="S175" s="1">
        <v>3</v>
      </c>
      <c r="T175" s="1">
        <v>0</v>
      </c>
      <c r="U175" s="1">
        <v>2.0747999999999998</v>
      </c>
    </row>
    <row r="176" spans="1:21" ht="15.75" x14ac:dyDescent="0.25">
      <c r="A176" s="1">
        <v>175</v>
      </c>
      <c r="B176" s="2" t="s">
        <v>683</v>
      </c>
      <c r="C176" s="3">
        <v>44996</v>
      </c>
      <c r="D176" s="3">
        <v>45001</v>
      </c>
      <c r="E176" s="1" t="s">
        <v>87</v>
      </c>
      <c r="F176" s="1" t="s">
        <v>684</v>
      </c>
      <c r="G176" s="1" t="s">
        <v>685</v>
      </c>
      <c r="H176" s="1" t="s">
        <v>25</v>
      </c>
      <c r="I176" s="1" t="s">
        <v>26</v>
      </c>
      <c r="J176" s="1" t="s">
        <v>549</v>
      </c>
      <c r="K176" s="1" t="s">
        <v>155</v>
      </c>
      <c r="L176" s="1">
        <v>43229</v>
      </c>
      <c r="M176" s="1" t="s">
        <v>54</v>
      </c>
      <c r="N176" s="1" t="s">
        <v>699</v>
      </c>
      <c r="O176" s="1" t="s">
        <v>31</v>
      </c>
      <c r="P176" s="1" t="s">
        <v>82</v>
      </c>
      <c r="Q176" s="1" t="s">
        <v>700</v>
      </c>
      <c r="R176" s="1">
        <v>10.464000000000002</v>
      </c>
      <c r="S176" s="1">
        <v>6</v>
      </c>
      <c r="T176" s="1">
        <v>0.2</v>
      </c>
      <c r="U176" s="1">
        <v>1.7003999999999992</v>
      </c>
    </row>
    <row r="177" spans="1:21" ht="15.75" x14ac:dyDescent="0.25">
      <c r="A177" s="1">
        <v>176</v>
      </c>
      <c r="B177" s="2" t="s">
        <v>688</v>
      </c>
      <c r="C177" s="3">
        <v>44996</v>
      </c>
      <c r="D177" s="3">
        <v>44998</v>
      </c>
      <c r="E177" s="1" t="s">
        <v>87</v>
      </c>
      <c r="F177" s="1" t="s">
        <v>689</v>
      </c>
      <c r="G177" s="1" t="s">
        <v>690</v>
      </c>
      <c r="H177" s="1" t="s">
        <v>74</v>
      </c>
      <c r="I177" s="1" t="s">
        <v>26</v>
      </c>
      <c r="J177" s="1" t="s">
        <v>512</v>
      </c>
      <c r="K177" s="1" t="s">
        <v>62</v>
      </c>
      <c r="L177" s="1">
        <v>40475</v>
      </c>
      <c r="M177" s="1" t="s">
        <v>63</v>
      </c>
      <c r="N177" s="1" t="s">
        <v>701</v>
      </c>
      <c r="O177" s="1" t="s">
        <v>31</v>
      </c>
      <c r="P177" s="1" t="s">
        <v>32</v>
      </c>
      <c r="Q177" s="1" t="s">
        <v>702</v>
      </c>
      <c r="R177" s="1">
        <v>14.940000000000001</v>
      </c>
      <c r="S177" s="1">
        <v>3</v>
      </c>
      <c r="T177" s="1">
        <v>0</v>
      </c>
      <c r="U177" s="1">
        <v>7.0218000000000007</v>
      </c>
    </row>
    <row r="178" spans="1:21" ht="15.75" x14ac:dyDescent="0.25">
      <c r="A178" s="1">
        <v>177</v>
      </c>
      <c r="B178" s="2" t="s">
        <v>703</v>
      </c>
      <c r="C178" s="3">
        <v>44996</v>
      </c>
      <c r="D178" s="3">
        <v>44999</v>
      </c>
      <c r="E178" s="1" t="s">
        <v>87</v>
      </c>
      <c r="F178" s="1" t="s">
        <v>704</v>
      </c>
      <c r="G178" s="1" t="s">
        <v>705</v>
      </c>
      <c r="H178" s="1" t="s">
        <v>25</v>
      </c>
      <c r="I178" s="1" t="s">
        <v>26</v>
      </c>
      <c r="J178" s="1" t="s">
        <v>348</v>
      </c>
      <c r="K178" s="1" t="s">
        <v>349</v>
      </c>
      <c r="L178" s="1">
        <v>10024</v>
      </c>
      <c r="M178" s="1" t="s">
        <v>54</v>
      </c>
      <c r="N178" s="1" t="s">
        <v>706</v>
      </c>
      <c r="O178" s="1" t="s">
        <v>31</v>
      </c>
      <c r="P178" s="1" t="s">
        <v>32</v>
      </c>
      <c r="Q178" s="1" t="s">
        <v>707</v>
      </c>
      <c r="R178" s="1">
        <v>108.92</v>
      </c>
      <c r="S178" s="1">
        <v>14</v>
      </c>
      <c r="T178" s="1">
        <v>0</v>
      </c>
      <c r="U178" s="1">
        <v>49.013999999999996</v>
      </c>
    </row>
    <row r="179" spans="1:21" ht="15.75" x14ac:dyDescent="0.25">
      <c r="A179" s="1">
        <v>178</v>
      </c>
      <c r="B179" s="2" t="s">
        <v>688</v>
      </c>
      <c r="C179" s="3">
        <v>44996</v>
      </c>
      <c r="D179" s="3">
        <v>44998</v>
      </c>
      <c r="E179" s="1" t="s">
        <v>87</v>
      </c>
      <c r="F179" s="1" t="s">
        <v>689</v>
      </c>
      <c r="G179" s="1" t="s">
        <v>690</v>
      </c>
      <c r="H179" s="1" t="s">
        <v>74</v>
      </c>
      <c r="I179" s="1" t="s">
        <v>26</v>
      </c>
      <c r="J179" s="1" t="s">
        <v>512</v>
      </c>
      <c r="K179" s="1" t="s">
        <v>62</v>
      </c>
      <c r="L179" s="1">
        <v>40475</v>
      </c>
      <c r="M179" s="1" t="s">
        <v>63</v>
      </c>
      <c r="N179" s="1" t="s">
        <v>426</v>
      </c>
      <c r="O179" s="1" t="s">
        <v>96</v>
      </c>
      <c r="P179" s="1" t="s">
        <v>117</v>
      </c>
      <c r="Q179" s="1" t="s">
        <v>427</v>
      </c>
      <c r="R179" s="1">
        <v>32.96</v>
      </c>
      <c r="S179" s="1">
        <v>2</v>
      </c>
      <c r="T179" s="1">
        <v>0</v>
      </c>
      <c r="U179" s="1">
        <v>14.172800000000002</v>
      </c>
    </row>
    <row r="180" spans="1:21" ht="15.75" x14ac:dyDescent="0.25">
      <c r="A180" s="1">
        <v>179</v>
      </c>
      <c r="B180" s="2" t="s">
        <v>688</v>
      </c>
      <c r="C180" s="3">
        <v>44996</v>
      </c>
      <c r="D180" s="3">
        <v>44998</v>
      </c>
      <c r="E180" s="1" t="s">
        <v>87</v>
      </c>
      <c r="F180" s="1" t="s">
        <v>689</v>
      </c>
      <c r="G180" s="1" t="s">
        <v>690</v>
      </c>
      <c r="H180" s="1" t="s">
        <v>74</v>
      </c>
      <c r="I180" s="1" t="s">
        <v>26</v>
      </c>
      <c r="J180" s="1" t="s">
        <v>512</v>
      </c>
      <c r="K180" s="1" t="s">
        <v>62</v>
      </c>
      <c r="L180" s="1">
        <v>40475</v>
      </c>
      <c r="M180" s="1" t="s">
        <v>63</v>
      </c>
      <c r="N180" s="1" t="s">
        <v>708</v>
      </c>
      <c r="O180" s="1" t="s">
        <v>96</v>
      </c>
      <c r="P180" s="1" t="s">
        <v>97</v>
      </c>
      <c r="Q180" s="1" t="s">
        <v>709</v>
      </c>
      <c r="R180" s="1">
        <v>587.97</v>
      </c>
      <c r="S180" s="1">
        <v>3</v>
      </c>
      <c r="T180" s="1">
        <v>0</v>
      </c>
      <c r="U180" s="1">
        <v>164.63160000000005</v>
      </c>
    </row>
    <row r="181" spans="1:21" ht="15.75" x14ac:dyDescent="0.25">
      <c r="A181" s="1">
        <v>180</v>
      </c>
      <c r="B181" s="2" t="s">
        <v>710</v>
      </c>
      <c r="C181" s="3">
        <v>44998</v>
      </c>
      <c r="D181" s="3">
        <v>45003</v>
      </c>
      <c r="E181" s="4" t="s">
        <v>87</v>
      </c>
      <c r="F181" s="4" t="s">
        <v>711</v>
      </c>
      <c r="G181" s="4" t="s">
        <v>712</v>
      </c>
      <c r="H181" s="4" t="s">
        <v>37</v>
      </c>
      <c r="I181" s="4" t="s">
        <v>279</v>
      </c>
      <c r="J181" s="4" t="s">
        <v>713</v>
      </c>
      <c r="K181" s="4" t="s">
        <v>714</v>
      </c>
      <c r="L181" s="5" t="s">
        <v>715</v>
      </c>
      <c r="M181" s="4" t="s">
        <v>92</v>
      </c>
      <c r="N181" s="4" t="s">
        <v>64</v>
      </c>
      <c r="O181" s="4" t="s">
        <v>65</v>
      </c>
      <c r="P181" s="4" t="s">
        <v>66</v>
      </c>
      <c r="Q181" s="4" t="s">
        <v>67</v>
      </c>
      <c r="R181" s="4">
        <v>915.14</v>
      </c>
      <c r="S181" s="4">
        <v>4</v>
      </c>
      <c r="T181" s="4">
        <v>0.2</v>
      </c>
      <c r="U181" s="4">
        <v>102.95</v>
      </c>
    </row>
    <row r="182" spans="1:21" ht="15.75" x14ac:dyDescent="0.25">
      <c r="A182" s="1">
        <v>181</v>
      </c>
      <c r="B182" s="2" t="s">
        <v>710</v>
      </c>
      <c r="C182" s="3">
        <v>44998</v>
      </c>
      <c r="D182" s="3">
        <v>45003</v>
      </c>
      <c r="E182" s="4" t="s">
        <v>87</v>
      </c>
      <c r="F182" s="4" t="s">
        <v>711</v>
      </c>
      <c r="G182" s="4" t="s">
        <v>712</v>
      </c>
      <c r="H182" s="4" t="s">
        <v>37</v>
      </c>
      <c r="I182" s="4" t="s">
        <v>279</v>
      </c>
      <c r="J182" s="4" t="s">
        <v>713</v>
      </c>
      <c r="K182" s="4" t="s">
        <v>714</v>
      </c>
      <c r="L182" s="5" t="s">
        <v>715</v>
      </c>
      <c r="M182" s="4" t="s">
        <v>92</v>
      </c>
      <c r="N182" s="4" t="s">
        <v>716</v>
      </c>
      <c r="O182" s="4" t="s">
        <v>65</v>
      </c>
      <c r="P182" s="4" t="s">
        <v>106</v>
      </c>
      <c r="Q182" s="4" t="s">
        <v>717</v>
      </c>
      <c r="R182" s="4">
        <v>327.76</v>
      </c>
      <c r="S182" s="4">
        <v>8</v>
      </c>
      <c r="T182" s="4">
        <v>0</v>
      </c>
      <c r="U182" s="4">
        <v>91.77</v>
      </c>
    </row>
    <row r="183" spans="1:21" ht="15.75" x14ac:dyDescent="0.25">
      <c r="A183" s="1">
        <v>182</v>
      </c>
      <c r="B183" s="2" t="s">
        <v>718</v>
      </c>
      <c r="C183" s="3">
        <v>44999</v>
      </c>
      <c r="D183" s="3">
        <v>45004</v>
      </c>
      <c r="E183" s="1" t="s">
        <v>22</v>
      </c>
      <c r="F183" s="1" t="s">
        <v>719</v>
      </c>
      <c r="G183" s="1" t="s">
        <v>720</v>
      </c>
      <c r="H183" s="1" t="s">
        <v>37</v>
      </c>
      <c r="I183" s="1" t="s">
        <v>26</v>
      </c>
      <c r="J183" s="1" t="s">
        <v>411</v>
      </c>
      <c r="K183" s="1" t="s">
        <v>123</v>
      </c>
      <c r="L183" s="1">
        <v>23320</v>
      </c>
      <c r="M183" s="1" t="s">
        <v>63</v>
      </c>
      <c r="N183" s="1" t="s">
        <v>721</v>
      </c>
      <c r="O183" s="1" t="s">
        <v>65</v>
      </c>
      <c r="P183" s="1" t="s">
        <v>66</v>
      </c>
      <c r="Q183" s="1" t="s">
        <v>722</v>
      </c>
      <c r="R183" s="1">
        <v>1139.92</v>
      </c>
      <c r="S183" s="1">
        <v>4</v>
      </c>
      <c r="T183" s="1">
        <v>0</v>
      </c>
      <c r="U183" s="1">
        <v>284.98</v>
      </c>
    </row>
    <row r="184" spans="1:21" ht="15.75" x14ac:dyDescent="0.25">
      <c r="A184" s="1">
        <v>183</v>
      </c>
      <c r="B184" s="2" t="s">
        <v>723</v>
      </c>
      <c r="C184" s="3">
        <v>44999</v>
      </c>
      <c r="D184" s="3">
        <v>45003</v>
      </c>
      <c r="E184" s="1" t="s">
        <v>22</v>
      </c>
      <c r="F184" s="1" t="s">
        <v>724</v>
      </c>
      <c r="G184" s="1" t="s">
        <v>725</v>
      </c>
      <c r="H184" s="1" t="s">
        <v>74</v>
      </c>
      <c r="I184" s="1" t="s">
        <v>26</v>
      </c>
      <c r="J184" s="1" t="s">
        <v>726</v>
      </c>
      <c r="K184" s="1" t="s">
        <v>91</v>
      </c>
      <c r="L184" s="1">
        <v>92646</v>
      </c>
      <c r="M184" s="1" t="s">
        <v>92</v>
      </c>
      <c r="N184" s="1" t="s">
        <v>727</v>
      </c>
      <c r="O184" s="1" t="s">
        <v>31</v>
      </c>
      <c r="P184" s="1" t="s">
        <v>56</v>
      </c>
      <c r="Q184" s="1" t="s">
        <v>728</v>
      </c>
      <c r="R184" s="1">
        <v>3.38</v>
      </c>
      <c r="S184" s="1">
        <v>1</v>
      </c>
      <c r="T184" s="1">
        <v>0</v>
      </c>
      <c r="U184" s="1">
        <v>1.2505999999999999</v>
      </c>
    </row>
    <row r="185" spans="1:21" ht="15.75" x14ac:dyDescent="0.25">
      <c r="A185" s="1">
        <v>184</v>
      </c>
      <c r="B185" s="2" t="s">
        <v>729</v>
      </c>
      <c r="C185" s="3">
        <v>44999</v>
      </c>
      <c r="D185" s="3">
        <v>45004</v>
      </c>
      <c r="E185" s="1" t="s">
        <v>22</v>
      </c>
      <c r="F185" s="1" t="s">
        <v>730</v>
      </c>
      <c r="G185" s="1" t="s">
        <v>731</v>
      </c>
      <c r="H185" s="1" t="s">
        <v>25</v>
      </c>
      <c r="I185" s="1" t="s">
        <v>26</v>
      </c>
      <c r="J185" s="1" t="s">
        <v>732</v>
      </c>
      <c r="K185" s="1" t="s">
        <v>733</v>
      </c>
      <c r="L185" s="1">
        <v>84321</v>
      </c>
      <c r="M185" s="1" t="s">
        <v>92</v>
      </c>
      <c r="N185" s="1" t="s">
        <v>638</v>
      </c>
      <c r="O185" s="1" t="s">
        <v>31</v>
      </c>
      <c r="P185" s="1" t="s">
        <v>41</v>
      </c>
      <c r="Q185" s="1" t="s">
        <v>639</v>
      </c>
      <c r="R185" s="1">
        <v>33.088000000000001</v>
      </c>
      <c r="S185" s="1">
        <v>4</v>
      </c>
      <c r="T185" s="1">
        <v>0.2</v>
      </c>
      <c r="U185" s="1">
        <v>11.167199999999999</v>
      </c>
    </row>
    <row r="186" spans="1:21" ht="15.75" x14ac:dyDescent="0.25">
      <c r="A186" s="1">
        <v>185</v>
      </c>
      <c r="B186" s="2" t="s">
        <v>729</v>
      </c>
      <c r="C186" s="3">
        <v>44999</v>
      </c>
      <c r="D186" s="3">
        <v>45004</v>
      </c>
      <c r="E186" s="1" t="s">
        <v>22</v>
      </c>
      <c r="F186" s="1" t="s">
        <v>730</v>
      </c>
      <c r="G186" s="1" t="s">
        <v>731</v>
      </c>
      <c r="H186" s="1" t="s">
        <v>25</v>
      </c>
      <c r="I186" s="1" t="s">
        <v>26</v>
      </c>
      <c r="J186" s="1" t="s">
        <v>732</v>
      </c>
      <c r="K186" s="1" t="s">
        <v>733</v>
      </c>
      <c r="L186" s="1">
        <v>84321</v>
      </c>
      <c r="M186" s="1" t="s">
        <v>92</v>
      </c>
      <c r="N186" s="1" t="s">
        <v>734</v>
      </c>
      <c r="O186" s="1" t="s">
        <v>31</v>
      </c>
      <c r="P186" s="1" t="s">
        <v>41</v>
      </c>
      <c r="Q186" s="1" t="s">
        <v>735</v>
      </c>
      <c r="R186" s="1">
        <v>62.048000000000002</v>
      </c>
      <c r="S186" s="1">
        <v>2</v>
      </c>
      <c r="T186" s="1">
        <v>0.2</v>
      </c>
      <c r="U186" s="1">
        <v>20.165599999999998</v>
      </c>
    </row>
    <row r="187" spans="1:21" ht="15.75" x14ac:dyDescent="0.25">
      <c r="A187" s="1">
        <v>186</v>
      </c>
      <c r="B187" s="2" t="s">
        <v>736</v>
      </c>
      <c r="C187" s="3">
        <v>44999</v>
      </c>
      <c r="D187" s="3">
        <v>45003</v>
      </c>
      <c r="E187" s="1" t="s">
        <v>22</v>
      </c>
      <c r="F187" s="1" t="s">
        <v>737</v>
      </c>
      <c r="G187" s="1" t="s">
        <v>738</v>
      </c>
      <c r="H187" s="1" t="s">
        <v>37</v>
      </c>
      <c r="I187" s="1" t="s">
        <v>26</v>
      </c>
      <c r="J187" s="1" t="s">
        <v>739</v>
      </c>
      <c r="K187" s="1" t="s">
        <v>273</v>
      </c>
      <c r="L187" s="1">
        <v>32216</v>
      </c>
      <c r="M187" s="1" t="s">
        <v>63</v>
      </c>
      <c r="N187" s="1" t="s">
        <v>740</v>
      </c>
      <c r="O187" s="1" t="s">
        <v>31</v>
      </c>
      <c r="P187" s="1" t="s">
        <v>32</v>
      </c>
      <c r="Q187" s="1" t="s">
        <v>741</v>
      </c>
      <c r="R187" s="1">
        <v>91.055999999999997</v>
      </c>
      <c r="S187" s="1">
        <v>6</v>
      </c>
      <c r="T187" s="1">
        <v>0.2</v>
      </c>
      <c r="U187" s="1">
        <v>31.869599999999995</v>
      </c>
    </row>
    <row r="188" spans="1:21" ht="15.75" x14ac:dyDescent="0.25">
      <c r="A188" s="1">
        <v>187</v>
      </c>
      <c r="B188" s="2" t="s">
        <v>723</v>
      </c>
      <c r="C188" s="3">
        <v>44999</v>
      </c>
      <c r="D188" s="3">
        <v>45003</v>
      </c>
      <c r="E188" s="1" t="s">
        <v>22</v>
      </c>
      <c r="F188" s="1" t="s">
        <v>724</v>
      </c>
      <c r="G188" s="1" t="s">
        <v>725</v>
      </c>
      <c r="H188" s="1" t="s">
        <v>74</v>
      </c>
      <c r="I188" s="1" t="s">
        <v>26</v>
      </c>
      <c r="J188" s="1" t="s">
        <v>726</v>
      </c>
      <c r="K188" s="1" t="s">
        <v>91</v>
      </c>
      <c r="L188" s="1">
        <v>92646</v>
      </c>
      <c r="M188" s="1" t="s">
        <v>92</v>
      </c>
      <c r="N188" s="1" t="s">
        <v>356</v>
      </c>
      <c r="O188" s="1" t="s">
        <v>31</v>
      </c>
      <c r="P188" s="1" t="s">
        <v>32</v>
      </c>
      <c r="Q188" s="1" t="s">
        <v>357</v>
      </c>
      <c r="R188" s="1">
        <v>10.56</v>
      </c>
      <c r="S188" s="1">
        <v>2</v>
      </c>
      <c r="T188" s="1">
        <v>0</v>
      </c>
      <c r="U188" s="1">
        <v>4.7519999999999998</v>
      </c>
    </row>
    <row r="189" spans="1:21" ht="15.75" x14ac:dyDescent="0.25">
      <c r="A189" s="1">
        <v>188</v>
      </c>
      <c r="B189" s="2" t="s">
        <v>742</v>
      </c>
      <c r="C189" s="3">
        <v>44999</v>
      </c>
      <c r="D189" s="3">
        <v>45002</v>
      </c>
      <c r="E189" s="1" t="s">
        <v>71</v>
      </c>
      <c r="F189" s="1" t="s">
        <v>743</v>
      </c>
      <c r="G189" s="1" t="s">
        <v>744</v>
      </c>
      <c r="H189" s="1" t="s">
        <v>37</v>
      </c>
      <c r="I189" s="1" t="s">
        <v>26</v>
      </c>
      <c r="J189" s="1" t="s">
        <v>493</v>
      </c>
      <c r="K189" s="1" t="s">
        <v>39</v>
      </c>
      <c r="L189" s="1">
        <v>60653</v>
      </c>
      <c r="M189" s="1" t="s">
        <v>29</v>
      </c>
      <c r="N189" s="1" t="s">
        <v>745</v>
      </c>
      <c r="O189" s="1" t="s">
        <v>31</v>
      </c>
      <c r="P189" s="1" t="s">
        <v>32</v>
      </c>
      <c r="Q189" s="1" t="s">
        <v>746</v>
      </c>
      <c r="R189" s="1">
        <v>8.4480000000000004</v>
      </c>
      <c r="S189" s="1">
        <v>2</v>
      </c>
      <c r="T189" s="1">
        <v>0.2</v>
      </c>
      <c r="U189" s="1">
        <v>2.6399999999999997</v>
      </c>
    </row>
    <row r="190" spans="1:21" ht="15.75" x14ac:dyDescent="0.25">
      <c r="A190" s="1">
        <v>189</v>
      </c>
      <c r="B190" s="2" t="s">
        <v>729</v>
      </c>
      <c r="C190" s="3">
        <v>44999</v>
      </c>
      <c r="D190" s="3">
        <v>45004</v>
      </c>
      <c r="E190" s="1" t="s">
        <v>22</v>
      </c>
      <c r="F190" s="1" t="s">
        <v>730</v>
      </c>
      <c r="G190" s="1" t="s">
        <v>731</v>
      </c>
      <c r="H190" s="1" t="s">
        <v>25</v>
      </c>
      <c r="I190" s="1" t="s">
        <v>26</v>
      </c>
      <c r="J190" s="1" t="s">
        <v>732</v>
      </c>
      <c r="K190" s="1" t="s">
        <v>733</v>
      </c>
      <c r="L190" s="1">
        <v>84321</v>
      </c>
      <c r="M190" s="1" t="s">
        <v>92</v>
      </c>
      <c r="N190" s="1" t="s">
        <v>747</v>
      </c>
      <c r="O190" s="1" t="s">
        <v>31</v>
      </c>
      <c r="P190" s="1" t="s">
        <v>47</v>
      </c>
      <c r="Q190" s="1" t="s">
        <v>748</v>
      </c>
      <c r="R190" s="1">
        <v>80.98</v>
      </c>
      <c r="S190" s="1">
        <v>1</v>
      </c>
      <c r="T190" s="1">
        <v>0</v>
      </c>
      <c r="U190" s="1">
        <v>3.2391999999999967</v>
      </c>
    </row>
    <row r="191" spans="1:21" ht="15.75" x14ac:dyDescent="0.25">
      <c r="A191" s="1">
        <v>190</v>
      </c>
      <c r="B191" s="2" t="s">
        <v>729</v>
      </c>
      <c r="C191" s="3">
        <v>44999</v>
      </c>
      <c r="D191" s="3">
        <v>45004</v>
      </c>
      <c r="E191" s="1" t="s">
        <v>22</v>
      </c>
      <c r="F191" s="1" t="s">
        <v>730</v>
      </c>
      <c r="G191" s="1" t="s">
        <v>731</v>
      </c>
      <c r="H191" s="1" t="s">
        <v>25</v>
      </c>
      <c r="I191" s="1" t="s">
        <v>26</v>
      </c>
      <c r="J191" s="1" t="s">
        <v>732</v>
      </c>
      <c r="K191" s="1" t="s">
        <v>733</v>
      </c>
      <c r="L191" s="1">
        <v>84321</v>
      </c>
      <c r="M191" s="1" t="s">
        <v>92</v>
      </c>
      <c r="N191" s="1" t="s">
        <v>749</v>
      </c>
      <c r="O191" s="1" t="s">
        <v>31</v>
      </c>
      <c r="P191" s="1" t="s">
        <v>47</v>
      </c>
      <c r="Q191" s="1" t="s">
        <v>750</v>
      </c>
      <c r="R191" s="1">
        <v>21.36</v>
      </c>
      <c r="S191" s="1">
        <v>2</v>
      </c>
      <c r="T191" s="1">
        <v>0</v>
      </c>
      <c r="U191" s="1">
        <v>5.7672000000000008</v>
      </c>
    </row>
    <row r="192" spans="1:21" ht="15.75" x14ac:dyDescent="0.25">
      <c r="A192" s="1">
        <v>191</v>
      </c>
      <c r="B192" s="2" t="s">
        <v>729</v>
      </c>
      <c r="C192" s="3">
        <v>44999</v>
      </c>
      <c r="D192" s="3">
        <v>45004</v>
      </c>
      <c r="E192" s="1" t="s">
        <v>22</v>
      </c>
      <c r="F192" s="1" t="s">
        <v>730</v>
      </c>
      <c r="G192" s="1" t="s">
        <v>731</v>
      </c>
      <c r="H192" s="1" t="s">
        <v>25</v>
      </c>
      <c r="I192" s="1" t="s">
        <v>26</v>
      </c>
      <c r="J192" s="1" t="s">
        <v>732</v>
      </c>
      <c r="K192" s="1" t="s">
        <v>733</v>
      </c>
      <c r="L192" s="1">
        <v>84321</v>
      </c>
      <c r="M192" s="1" t="s">
        <v>92</v>
      </c>
      <c r="N192" s="1" t="s">
        <v>751</v>
      </c>
      <c r="O192" s="1" t="s">
        <v>96</v>
      </c>
      <c r="P192" s="1" t="s">
        <v>117</v>
      </c>
      <c r="Q192" s="1" t="s">
        <v>752</v>
      </c>
      <c r="R192" s="1">
        <v>82.800000000000011</v>
      </c>
      <c r="S192" s="1">
        <v>12</v>
      </c>
      <c r="T192" s="1">
        <v>0</v>
      </c>
      <c r="U192" s="1">
        <v>6.6239999999999952</v>
      </c>
    </row>
    <row r="193" spans="1:21" ht="15.75" x14ac:dyDescent="0.25">
      <c r="A193" s="1">
        <v>192</v>
      </c>
      <c r="B193" s="2" t="s">
        <v>742</v>
      </c>
      <c r="C193" s="3">
        <v>44999</v>
      </c>
      <c r="D193" s="3">
        <v>45002</v>
      </c>
      <c r="E193" s="1" t="s">
        <v>71</v>
      </c>
      <c r="F193" s="1" t="s">
        <v>743</v>
      </c>
      <c r="G193" s="1" t="s">
        <v>744</v>
      </c>
      <c r="H193" s="1" t="s">
        <v>37</v>
      </c>
      <c r="I193" s="1" t="s">
        <v>26</v>
      </c>
      <c r="J193" s="1" t="s">
        <v>493</v>
      </c>
      <c r="K193" s="1" t="s">
        <v>39</v>
      </c>
      <c r="L193" s="1">
        <v>60653</v>
      </c>
      <c r="M193" s="1" t="s">
        <v>29</v>
      </c>
      <c r="N193" s="1" t="s">
        <v>753</v>
      </c>
      <c r="O193" s="1" t="s">
        <v>96</v>
      </c>
      <c r="P193" s="1" t="s">
        <v>754</v>
      </c>
      <c r="Q193" s="1" t="s">
        <v>755</v>
      </c>
      <c r="R193" s="1">
        <v>574.91</v>
      </c>
      <c r="S193" s="1">
        <v>2</v>
      </c>
      <c r="T193" s="1">
        <v>0.3</v>
      </c>
      <c r="U193" s="1">
        <v>156.04699999999997</v>
      </c>
    </row>
    <row r="194" spans="1:21" ht="15.75" x14ac:dyDescent="0.25">
      <c r="A194" s="1">
        <v>193</v>
      </c>
      <c r="B194" s="2" t="s">
        <v>756</v>
      </c>
      <c r="C194" s="3">
        <v>45000</v>
      </c>
      <c r="D194" s="3">
        <v>45004</v>
      </c>
      <c r="E194" s="1" t="s">
        <v>22</v>
      </c>
      <c r="F194" s="1" t="s">
        <v>757</v>
      </c>
      <c r="G194" s="1" t="s">
        <v>758</v>
      </c>
      <c r="H194" s="1" t="s">
        <v>25</v>
      </c>
      <c r="I194" s="1" t="s">
        <v>26</v>
      </c>
      <c r="J194" s="1" t="s">
        <v>759</v>
      </c>
      <c r="K194" s="1" t="s">
        <v>273</v>
      </c>
      <c r="L194" s="1">
        <v>33614</v>
      </c>
      <c r="M194" s="1" t="s">
        <v>63</v>
      </c>
      <c r="N194" s="1" t="s">
        <v>760</v>
      </c>
      <c r="O194" s="1" t="s">
        <v>65</v>
      </c>
      <c r="P194" s="1" t="s">
        <v>106</v>
      </c>
      <c r="Q194" s="1" t="s">
        <v>761</v>
      </c>
      <c r="R194" s="1">
        <v>45.695999999999998</v>
      </c>
      <c r="S194" s="1">
        <v>3</v>
      </c>
      <c r="T194" s="1">
        <v>0.2</v>
      </c>
      <c r="U194" s="1">
        <v>5.1407999999999916</v>
      </c>
    </row>
    <row r="195" spans="1:21" ht="15.75" x14ac:dyDescent="0.25">
      <c r="A195" s="1">
        <v>194</v>
      </c>
      <c r="B195" s="2" t="s">
        <v>756</v>
      </c>
      <c r="C195" s="3">
        <v>45000</v>
      </c>
      <c r="D195" s="3">
        <v>45004</v>
      </c>
      <c r="E195" s="1" t="s">
        <v>22</v>
      </c>
      <c r="F195" s="1" t="s">
        <v>757</v>
      </c>
      <c r="G195" s="1" t="s">
        <v>758</v>
      </c>
      <c r="H195" s="1" t="s">
        <v>25</v>
      </c>
      <c r="I195" s="1" t="s">
        <v>26</v>
      </c>
      <c r="J195" s="1" t="s">
        <v>759</v>
      </c>
      <c r="K195" s="1" t="s">
        <v>273</v>
      </c>
      <c r="L195" s="1">
        <v>33614</v>
      </c>
      <c r="M195" s="1" t="s">
        <v>63</v>
      </c>
      <c r="N195" s="1" t="s">
        <v>762</v>
      </c>
      <c r="O195" s="1" t="s">
        <v>31</v>
      </c>
      <c r="P195" s="1" t="s">
        <v>41</v>
      </c>
      <c r="Q195" s="1" t="s">
        <v>763</v>
      </c>
      <c r="R195" s="1">
        <v>7.218</v>
      </c>
      <c r="S195" s="1">
        <v>3</v>
      </c>
      <c r="T195" s="1">
        <v>0.7</v>
      </c>
      <c r="U195" s="1">
        <v>-5.5338000000000012</v>
      </c>
    </row>
    <row r="196" spans="1:21" ht="15.75" x14ac:dyDescent="0.25">
      <c r="A196" s="1">
        <v>195</v>
      </c>
      <c r="B196" s="2" t="s">
        <v>756</v>
      </c>
      <c r="C196" s="3">
        <v>45000</v>
      </c>
      <c r="D196" s="3">
        <v>45004</v>
      </c>
      <c r="E196" s="1" t="s">
        <v>22</v>
      </c>
      <c r="F196" s="1" t="s">
        <v>757</v>
      </c>
      <c r="G196" s="1" t="s">
        <v>758</v>
      </c>
      <c r="H196" s="1" t="s">
        <v>25</v>
      </c>
      <c r="I196" s="1" t="s">
        <v>26</v>
      </c>
      <c r="J196" s="1" t="s">
        <v>759</v>
      </c>
      <c r="K196" s="1" t="s">
        <v>273</v>
      </c>
      <c r="L196" s="1">
        <v>33614</v>
      </c>
      <c r="M196" s="1" t="s">
        <v>63</v>
      </c>
      <c r="N196" s="1" t="s">
        <v>764</v>
      </c>
      <c r="O196" s="1" t="s">
        <v>31</v>
      </c>
      <c r="P196" s="1" t="s">
        <v>41</v>
      </c>
      <c r="Q196" s="1" t="s">
        <v>765</v>
      </c>
      <c r="R196" s="1">
        <v>43.188000000000009</v>
      </c>
      <c r="S196" s="1">
        <v>4</v>
      </c>
      <c r="T196" s="1">
        <v>0.7</v>
      </c>
      <c r="U196" s="1">
        <v>-31.671199999999999</v>
      </c>
    </row>
    <row r="197" spans="1:21" ht="15.75" x14ac:dyDescent="0.25">
      <c r="A197" s="1">
        <v>196</v>
      </c>
      <c r="B197" s="2" t="s">
        <v>756</v>
      </c>
      <c r="C197" s="3">
        <v>45000</v>
      </c>
      <c r="D197" s="3">
        <v>45004</v>
      </c>
      <c r="E197" s="1" t="s">
        <v>22</v>
      </c>
      <c r="F197" s="1" t="s">
        <v>757</v>
      </c>
      <c r="G197" s="1" t="s">
        <v>758</v>
      </c>
      <c r="H197" s="1" t="s">
        <v>25</v>
      </c>
      <c r="I197" s="1" t="s">
        <v>26</v>
      </c>
      <c r="J197" s="1" t="s">
        <v>759</v>
      </c>
      <c r="K197" s="1" t="s">
        <v>273</v>
      </c>
      <c r="L197" s="1">
        <v>33614</v>
      </c>
      <c r="M197" s="1" t="s">
        <v>63</v>
      </c>
      <c r="N197" s="1" t="s">
        <v>766</v>
      </c>
      <c r="O197" s="1" t="s">
        <v>31</v>
      </c>
      <c r="P197" s="1" t="s">
        <v>32</v>
      </c>
      <c r="Q197" s="1" t="s">
        <v>767</v>
      </c>
      <c r="R197" s="1">
        <v>131.904</v>
      </c>
      <c r="S197" s="1">
        <v>3</v>
      </c>
      <c r="T197" s="1">
        <v>0.2</v>
      </c>
      <c r="U197" s="1">
        <v>47.815200000000004</v>
      </c>
    </row>
    <row r="198" spans="1:21" ht="15.75" x14ac:dyDescent="0.25">
      <c r="A198" s="1">
        <v>197</v>
      </c>
      <c r="B198" s="2" t="s">
        <v>756</v>
      </c>
      <c r="C198" s="3">
        <v>45000</v>
      </c>
      <c r="D198" s="3">
        <v>45004</v>
      </c>
      <c r="E198" s="1" t="s">
        <v>22</v>
      </c>
      <c r="F198" s="1" t="s">
        <v>757</v>
      </c>
      <c r="G198" s="1" t="s">
        <v>758</v>
      </c>
      <c r="H198" s="1" t="s">
        <v>25</v>
      </c>
      <c r="I198" s="1" t="s">
        <v>26</v>
      </c>
      <c r="J198" s="1" t="s">
        <v>759</v>
      </c>
      <c r="K198" s="1" t="s">
        <v>273</v>
      </c>
      <c r="L198" s="1">
        <v>33614</v>
      </c>
      <c r="M198" s="1" t="s">
        <v>63</v>
      </c>
      <c r="N198" s="1" t="s">
        <v>768</v>
      </c>
      <c r="O198" s="1" t="s">
        <v>31</v>
      </c>
      <c r="P198" s="1" t="s">
        <v>47</v>
      </c>
      <c r="Q198" s="1" t="s">
        <v>769</v>
      </c>
      <c r="R198" s="1">
        <v>142.77600000000001</v>
      </c>
      <c r="S198" s="1">
        <v>1</v>
      </c>
      <c r="T198" s="1">
        <v>0.2</v>
      </c>
      <c r="U198" s="1">
        <v>17.84699999999998</v>
      </c>
    </row>
    <row r="199" spans="1:21" ht="15.75" x14ac:dyDescent="0.25">
      <c r="A199" s="1">
        <v>198</v>
      </c>
      <c r="B199" s="2" t="s">
        <v>770</v>
      </c>
      <c r="C199" s="3">
        <v>45001</v>
      </c>
      <c r="D199" s="3">
        <v>45006</v>
      </c>
      <c r="E199" s="1" t="s">
        <v>87</v>
      </c>
      <c r="F199" s="1" t="s">
        <v>583</v>
      </c>
      <c r="G199" s="1" t="s">
        <v>584</v>
      </c>
      <c r="H199" s="1" t="s">
        <v>37</v>
      </c>
      <c r="I199" s="1" t="s">
        <v>26</v>
      </c>
      <c r="J199" s="1" t="s">
        <v>771</v>
      </c>
      <c r="K199" s="1" t="s">
        <v>611</v>
      </c>
      <c r="L199" s="1">
        <v>27604</v>
      </c>
      <c r="M199" s="1" t="s">
        <v>63</v>
      </c>
      <c r="N199" s="1" t="s">
        <v>772</v>
      </c>
      <c r="O199" s="1" t="s">
        <v>96</v>
      </c>
      <c r="P199" s="1" t="s">
        <v>97</v>
      </c>
      <c r="Q199" s="1" t="s">
        <v>773</v>
      </c>
      <c r="R199" s="1">
        <v>471.92</v>
      </c>
      <c r="S199" s="1">
        <v>2</v>
      </c>
      <c r="T199" s="1">
        <v>0.2</v>
      </c>
      <c r="U199" s="1">
        <v>29.495000000000019</v>
      </c>
    </row>
    <row r="200" spans="1:21" ht="15.75" x14ac:dyDescent="0.25">
      <c r="A200" s="1">
        <v>199</v>
      </c>
      <c r="B200" s="2" t="s">
        <v>774</v>
      </c>
      <c r="C200" s="3">
        <v>45002</v>
      </c>
      <c r="D200" s="3">
        <v>45006</v>
      </c>
      <c r="E200" s="1" t="s">
        <v>22</v>
      </c>
      <c r="F200" s="1" t="s">
        <v>775</v>
      </c>
      <c r="G200" s="1" t="s">
        <v>776</v>
      </c>
      <c r="H200" s="1" t="s">
        <v>74</v>
      </c>
      <c r="I200" s="1" t="s">
        <v>26</v>
      </c>
      <c r="J200" s="1" t="s">
        <v>348</v>
      </c>
      <c r="K200" s="1" t="s">
        <v>349</v>
      </c>
      <c r="L200" s="1">
        <v>10024</v>
      </c>
      <c r="M200" s="1" t="s">
        <v>54</v>
      </c>
      <c r="N200" s="1" t="s">
        <v>777</v>
      </c>
      <c r="O200" s="1" t="s">
        <v>65</v>
      </c>
      <c r="P200" s="1" t="s">
        <v>339</v>
      </c>
      <c r="Q200" s="1" t="s">
        <v>778</v>
      </c>
      <c r="R200" s="1">
        <v>1071.576</v>
      </c>
      <c r="S200" s="1">
        <v>4</v>
      </c>
      <c r="T200" s="1">
        <v>0.4</v>
      </c>
      <c r="U200" s="1">
        <v>-553.64760000000001</v>
      </c>
    </row>
    <row r="201" spans="1:21" ht="15.75" x14ac:dyDescent="0.25">
      <c r="A201" s="1">
        <v>200</v>
      </c>
      <c r="B201" s="2" t="s">
        <v>774</v>
      </c>
      <c r="C201" s="3">
        <v>45002</v>
      </c>
      <c r="D201" s="3">
        <v>45006</v>
      </c>
      <c r="E201" s="1" t="s">
        <v>22</v>
      </c>
      <c r="F201" s="1" t="s">
        <v>775</v>
      </c>
      <c r="G201" s="1" t="s">
        <v>776</v>
      </c>
      <c r="H201" s="1" t="s">
        <v>74</v>
      </c>
      <c r="I201" s="1" t="s">
        <v>26</v>
      </c>
      <c r="J201" s="1" t="s">
        <v>348</v>
      </c>
      <c r="K201" s="1" t="s">
        <v>349</v>
      </c>
      <c r="L201" s="1">
        <v>10024</v>
      </c>
      <c r="M201" s="1" t="s">
        <v>54</v>
      </c>
      <c r="N201" s="1" t="s">
        <v>779</v>
      </c>
      <c r="O201" s="1" t="s">
        <v>65</v>
      </c>
      <c r="P201" s="1" t="s">
        <v>339</v>
      </c>
      <c r="Q201" s="1" t="s">
        <v>780</v>
      </c>
      <c r="R201" s="1">
        <v>1579.7460000000001</v>
      </c>
      <c r="S201" s="1">
        <v>7</v>
      </c>
      <c r="T201" s="1">
        <v>0.4</v>
      </c>
      <c r="U201" s="1">
        <v>-447.59469999999988</v>
      </c>
    </row>
    <row r="202" spans="1:21" ht="15.75" x14ac:dyDescent="0.25">
      <c r="A202" s="1">
        <v>201</v>
      </c>
      <c r="B202" s="2" t="s">
        <v>774</v>
      </c>
      <c r="C202" s="3">
        <v>45002</v>
      </c>
      <c r="D202" s="3">
        <v>45006</v>
      </c>
      <c r="E202" s="1" t="s">
        <v>22</v>
      </c>
      <c r="F202" s="1" t="s">
        <v>775</v>
      </c>
      <c r="G202" s="1" t="s">
        <v>776</v>
      </c>
      <c r="H202" s="1" t="s">
        <v>74</v>
      </c>
      <c r="I202" s="1" t="s">
        <v>26</v>
      </c>
      <c r="J202" s="1" t="s">
        <v>348</v>
      </c>
      <c r="K202" s="1" t="s">
        <v>349</v>
      </c>
      <c r="L202" s="1">
        <v>10024</v>
      </c>
      <c r="M202" s="1" t="s">
        <v>54</v>
      </c>
      <c r="N202" s="1" t="s">
        <v>781</v>
      </c>
      <c r="O202" s="1" t="s">
        <v>65</v>
      </c>
      <c r="P202" s="1" t="s">
        <v>339</v>
      </c>
      <c r="Q202" s="1" t="s">
        <v>782</v>
      </c>
      <c r="R202" s="1">
        <v>613.90800000000002</v>
      </c>
      <c r="S202" s="1">
        <v>3</v>
      </c>
      <c r="T202" s="1">
        <v>0.4</v>
      </c>
      <c r="U202" s="1">
        <v>-122.78160000000003</v>
      </c>
    </row>
    <row r="203" spans="1:21" ht="15.75" x14ac:dyDescent="0.25">
      <c r="A203" s="1">
        <v>202</v>
      </c>
      <c r="B203" s="2" t="s">
        <v>783</v>
      </c>
      <c r="C203" s="3">
        <v>45002</v>
      </c>
      <c r="D203" s="3">
        <v>45009</v>
      </c>
      <c r="E203" s="1" t="s">
        <v>22</v>
      </c>
      <c r="F203" s="1" t="s">
        <v>784</v>
      </c>
      <c r="G203" s="1" t="s">
        <v>785</v>
      </c>
      <c r="H203" s="1" t="s">
        <v>25</v>
      </c>
      <c r="I203" s="1" t="s">
        <v>26</v>
      </c>
      <c r="J203" s="1" t="s">
        <v>786</v>
      </c>
      <c r="K203" s="1" t="s">
        <v>787</v>
      </c>
      <c r="L203" s="1">
        <v>55044</v>
      </c>
      <c r="M203" s="1" t="s">
        <v>29</v>
      </c>
      <c r="N203" s="1" t="s">
        <v>788</v>
      </c>
      <c r="O203" s="1" t="s">
        <v>31</v>
      </c>
      <c r="P203" s="1" t="s">
        <v>205</v>
      </c>
      <c r="Q203" s="1" t="s">
        <v>789</v>
      </c>
      <c r="R203" s="1">
        <v>93.78</v>
      </c>
      <c r="S203" s="1">
        <v>2</v>
      </c>
      <c r="T203" s="1">
        <v>0</v>
      </c>
      <c r="U203" s="1">
        <v>36.574200000000005</v>
      </c>
    </row>
    <row r="204" spans="1:21" ht="15.75" x14ac:dyDescent="0.25">
      <c r="A204" s="1">
        <v>203</v>
      </c>
      <c r="B204" s="2" t="s">
        <v>790</v>
      </c>
      <c r="C204" s="3">
        <v>45002</v>
      </c>
      <c r="D204" s="3">
        <v>45006</v>
      </c>
      <c r="E204" s="1" t="s">
        <v>22</v>
      </c>
      <c r="F204" s="1" t="s">
        <v>394</v>
      </c>
      <c r="G204" s="1" t="s">
        <v>395</v>
      </c>
      <c r="H204" s="1" t="s">
        <v>74</v>
      </c>
      <c r="I204" s="1" t="s">
        <v>26</v>
      </c>
      <c r="J204" s="1" t="s">
        <v>791</v>
      </c>
      <c r="K204" s="1" t="s">
        <v>792</v>
      </c>
      <c r="L204" s="1">
        <v>39212</v>
      </c>
      <c r="M204" s="1" t="s">
        <v>63</v>
      </c>
      <c r="N204" s="1" t="s">
        <v>793</v>
      </c>
      <c r="O204" s="1" t="s">
        <v>31</v>
      </c>
      <c r="P204" s="1" t="s">
        <v>205</v>
      </c>
      <c r="Q204" s="1" t="s">
        <v>794</v>
      </c>
      <c r="R204" s="1">
        <v>32.67</v>
      </c>
      <c r="S204" s="1">
        <v>3</v>
      </c>
      <c r="T204" s="1">
        <v>0</v>
      </c>
      <c r="U204" s="1">
        <v>8.4942000000000011</v>
      </c>
    </row>
    <row r="205" spans="1:21" ht="15.75" x14ac:dyDescent="0.25">
      <c r="A205" s="1">
        <v>204</v>
      </c>
      <c r="B205" s="2" t="s">
        <v>795</v>
      </c>
      <c r="C205" s="3">
        <v>45002</v>
      </c>
      <c r="D205" s="3">
        <v>45002</v>
      </c>
      <c r="E205" s="1" t="s">
        <v>497</v>
      </c>
      <c r="F205" s="1" t="s">
        <v>796</v>
      </c>
      <c r="G205" s="1" t="s">
        <v>797</v>
      </c>
      <c r="H205" s="1" t="s">
        <v>25</v>
      </c>
      <c r="I205" s="1" t="s">
        <v>26</v>
      </c>
      <c r="J205" s="1" t="s">
        <v>487</v>
      </c>
      <c r="K205" s="1" t="s">
        <v>28</v>
      </c>
      <c r="L205" s="1">
        <v>75217</v>
      </c>
      <c r="M205" s="1" t="s">
        <v>29</v>
      </c>
      <c r="N205" s="1" t="s">
        <v>798</v>
      </c>
      <c r="O205" s="1" t="s">
        <v>31</v>
      </c>
      <c r="P205" s="1" t="s">
        <v>56</v>
      </c>
      <c r="Q205" s="1" t="s">
        <v>799</v>
      </c>
      <c r="R205" s="1">
        <v>4.4479999999999995</v>
      </c>
      <c r="S205" s="1">
        <v>2</v>
      </c>
      <c r="T205" s="1">
        <v>0.2</v>
      </c>
      <c r="U205" s="1">
        <v>0.3335999999999999</v>
      </c>
    </row>
    <row r="206" spans="1:21" ht="15.75" x14ac:dyDescent="0.25">
      <c r="A206" s="1">
        <v>205</v>
      </c>
      <c r="B206" s="2" t="s">
        <v>783</v>
      </c>
      <c r="C206" s="3">
        <v>45002</v>
      </c>
      <c r="D206" s="3">
        <v>45009</v>
      </c>
      <c r="E206" s="1" t="s">
        <v>22</v>
      </c>
      <c r="F206" s="1" t="s">
        <v>784</v>
      </c>
      <c r="G206" s="1" t="s">
        <v>785</v>
      </c>
      <c r="H206" s="1" t="s">
        <v>25</v>
      </c>
      <c r="I206" s="1" t="s">
        <v>26</v>
      </c>
      <c r="J206" s="1" t="s">
        <v>786</v>
      </c>
      <c r="K206" s="1" t="s">
        <v>787</v>
      </c>
      <c r="L206" s="1">
        <v>55044</v>
      </c>
      <c r="M206" s="1" t="s">
        <v>29</v>
      </c>
      <c r="N206" s="1" t="s">
        <v>800</v>
      </c>
      <c r="O206" s="1" t="s">
        <v>31</v>
      </c>
      <c r="P206" s="1" t="s">
        <v>56</v>
      </c>
      <c r="Q206" s="1" t="s">
        <v>801</v>
      </c>
      <c r="R206" s="1">
        <v>19.68</v>
      </c>
      <c r="S206" s="1">
        <v>6</v>
      </c>
      <c r="T206" s="1">
        <v>0</v>
      </c>
      <c r="U206" s="1">
        <v>5.7071999999999976</v>
      </c>
    </row>
    <row r="207" spans="1:21" ht="15.75" x14ac:dyDescent="0.25">
      <c r="A207" s="1">
        <v>206</v>
      </c>
      <c r="B207" s="2" t="s">
        <v>783</v>
      </c>
      <c r="C207" s="3">
        <v>45002</v>
      </c>
      <c r="D207" s="3">
        <v>45009</v>
      </c>
      <c r="E207" s="1" t="s">
        <v>22</v>
      </c>
      <c r="F207" s="1" t="s">
        <v>784</v>
      </c>
      <c r="G207" s="1" t="s">
        <v>785</v>
      </c>
      <c r="H207" s="1" t="s">
        <v>25</v>
      </c>
      <c r="I207" s="1" t="s">
        <v>26</v>
      </c>
      <c r="J207" s="1" t="s">
        <v>786</v>
      </c>
      <c r="K207" s="1" t="s">
        <v>787</v>
      </c>
      <c r="L207" s="1">
        <v>55044</v>
      </c>
      <c r="M207" s="1" t="s">
        <v>29</v>
      </c>
      <c r="N207" s="1" t="s">
        <v>802</v>
      </c>
      <c r="O207" s="1" t="s">
        <v>31</v>
      </c>
      <c r="P207" s="1" t="s">
        <v>41</v>
      </c>
      <c r="Q207" s="1" t="s">
        <v>803</v>
      </c>
      <c r="R207" s="1">
        <v>35.880000000000003</v>
      </c>
      <c r="S207" s="1">
        <v>6</v>
      </c>
      <c r="T207" s="1">
        <v>0</v>
      </c>
      <c r="U207" s="1">
        <v>17.2224</v>
      </c>
    </row>
    <row r="208" spans="1:21" ht="15.75" x14ac:dyDescent="0.25">
      <c r="A208" s="1">
        <v>207</v>
      </c>
      <c r="B208" s="2" t="s">
        <v>790</v>
      </c>
      <c r="C208" s="3">
        <v>45002</v>
      </c>
      <c r="D208" s="3">
        <v>45006</v>
      </c>
      <c r="E208" s="1" t="s">
        <v>22</v>
      </c>
      <c r="F208" s="1" t="s">
        <v>394</v>
      </c>
      <c r="G208" s="1" t="s">
        <v>395</v>
      </c>
      <c r="H208" s="1" t="s">
        <v>74</v>
      </c>
      <c r="I208" s="1" t="s">
        <v>26</v>
      </c>
      <c r="J208" s="1" t="s">
        <v>791</v>
      </c>
      <c r="K208" s="1" t="s">
        <v>792</v>
      </c>
      <c r="L208" s="1">
        <v>39212</v>
      </c>
      <c r="M208" s="1" t="s">
        <v>63</v>
      </c>
      <c r="N208" s="1" t="s">
        <v>804</v>
      </c>
      <c r="O208" s="1" t="s">
        <v>31</v>
      </c>
      <c r="P208" s="1" t="s">
        <v>41</v>
      </c>
      <c r="Q208" s="1" t="s">
        <v>805</v>
      </c>
      <c r="R208" s="1">
        <v>30.44</v>
      </c>
      <c r="S208" s="1">
        <v>2</v>
      </c>
      <c r="T208" s="1">
        <v>0</v>
      </c>
      <c r="U208" s="1">
        <v>14.9156</v>
      </c>
    </row>
    <row r="209" spans="1:21" ht="15.75" x14ac:dyDescent="0.25">
      <c r="A209" s="1">
        <v>208</v>
      </c>
      <c r="B209" s="2" t="s">
        <v>790</v>
      </c>
      <c r="C209" s="3">
        <v>45002</v>
      </c>
      <c r="D209" s="3">
        <v>45006</v>
      </c>
      <c r="E209" s="1" t="s">
        <v>22</v>
      </c>
      <c r="F209" s="1" t="s">
        <v>394</v>
      </c>
      <c r="G209" s="1" t="s">
        <v>395</v>
      </c>
      <c r="H209" s="1" t="s">
        <v>74</v>
      </c>
      <c r="I209" s="1" t="s">
        <v>26</v>
      </c>
      <c r="J209" s="1" t="s">
        <v>791</v>
      </c>
      <c r="K209" s="1" t="s">
        <v>792</v>
      </c>
      <c r="L209" s="1">
        <v>39212</v>
      </c>
      <c r="M209" s="1" t="s">
        <v>63</v>
      </c>
      <c r="N209" s="1" t="s">
        <v>249</v>
      </c>
      <c r="O209" s="1" t="s">
        <v>31</v>
      </c>
      <c r="P209" s="1" t="s">
        <v>41</v>
      </c>
      <c r="Q209" s="1" t="s">
        <v>250</v>
      </c>
      <c r="R209" s="1">
        <v>11.43</v>
      </c>
      <c r="S209" s="1">
        <v>3</v>
      </c>
      <c r="T209" s="1">
        <v>0</v>
      </c>
      <c r="U209" s="1">
        <v>5.3720999999999997</v>
      </c>
    </row>
    <row r="210" spans="1:21" ht="15.75" x14ac:dyDescent="0.25">
      <c r="A210" s="1">
        <v>209</v>
      </c>
      <c r="B210" s="2" t="s">
        <v>783</v>
      </c>
      <c r="C210" s="3">
        <v>45002</v>
      </c>
      <c r="D210" s="3">
        <v>45009</v>
      </c>
      <c r="E210" s="1" t="s">
        <v>22</v>
      </c>
      <c r="F210" s="1" t="s">
        <v>784</v>
      </c>
      <c r="G210" s="1" t="s">
        <v>785</v>
      </c>
      <c r="H210" s="1" t="s">
        <v>25</v>
      </c>
      <c r="I210" s="1" t="s">
        <v>26</v>
      </c>
      <c r="J210" s="1" t="s">
        <v>786</v>
      </c>
      <c r="K210" s="1" t="s">
        <v>787</v>
      </c>
      <c r="L210" s="1">
        <v>55044</v>
      </c>
      <c r="M210" s="1" t="s">
        <v>29</v>
      </c>
      <c r="N210" s="1" t="s">
        <v>322</v>
      </c>
      <c r="O210" s="1" t="s">
        <v>31</v>
      </c>
      <c r="P210" s="1" t="s">
        <v>41</v>
      </c>
      <c r="Q210" s="1" t="s">
        <v>323</v>
      </c>
      <c r="R210" s="1">
        <v>53.4</v>
      </c>
      <c r="S210" s="1">
        <v>10</v>
      </c>
      <c r="T210" s="1">
        <v>0</v>
      </c>
      <c r="U210" s="1">
        <v>25.097999999999999</v>
      </c>
    </row>
    <row r="211" spans="1:21" ht="15.75" x14ac:dyDescent="0.25">
      <c r="A211" s="1">
        <v>210</v>
      </c>
      <c r="B211" s="2" t="s">
        <v>783</v>
      </c>
      <c r="C211" s="3">
        <v>45002</v>
      </c>
      <c r="D211" s="3">
        <v>45009</v>
      </c>
      <c r="E211" s="1" t="s">
        <v>22</v>
      </c>
      <c r="F211" s="1" t="s">
        <v>784</v>
      </c>
      <c r="G211" s="1" t="s">
        <v>785</v>
      </c>
      <c r="H211" s="1" t="s">
        <v>25</v>
      </c>
      <c r="I211" s="1" t="s">
        <v>26</v>
      </c>
      <c r="J211" s="1" t="s">
        <v>786</v>
      </c>
      <c r="K211" s="1" t="s">
        <v>787</v>
      </c>
      <c r="L211" s="1">
        <v>55044</v>
      </c>
      <c r="M211" s="1" t="s">
        <v>29</v>
      </c>
      <c r="N211" s="1" t="s">
        <v>472</v>
      </c>
      <c r="O211" s="1" t="s">
        <v>31</v>
      </c>
      <c r="P211" s="1" t="s">
        <v>32</v>
      </c>
      <c r="Q211" s="1" t="s">
        <v>473</v>
      </c>
      <c r="R211" s="1">
        <v>47.18</v>
      </c>
      <c r="S211" s="1">
        <v>7</v>
      </c>
      <c r="T211" s="1">
        <v>0</v>
      </c>
      <c r="U211" s="1">
        <v>23.59</v>
      </c>
    </row>
    <row r="212" spans="1:21" ht="15.75" x14ac:dyDescent="0.25">
      <c r="A212" s="1">
        <v>211</v>
      </c>
      <c r="B212" s="2" t="s">
        <v>774</v>
      </c>
      <c r="C212" s="3">
        <v>45002</v>
      </c>
      <c r="D212" s="3">
        <v>45006</v>
      </c>
      <c r="E212" s="1" t="s">
        <v>22</v>
      </c>
      <c r="F212" s="1" t="s">
        <v>775</v>
      </c>
      <c r="G212" s="1" t="s">
        <v>776</v>
      </c>
      <c r="H212" s="1" t="s">
        <v>74</v>
      </c>
      <c r="I212" s="1" t="s">
        <v>26</v>
      </c>
      <c r="J212" s="1" t="s">
        <v>348</v>
      </c>
      <c r="K212" s="1" t="s">
        <v>349</v>
      </c>
      <c r="L212" s="1">
        <v>10024</v>
      </c>
      <c r="M212" s="1" t="s">
        <v>54</v>
      </c>
      <c r="N212" s="1" t="s">
        <v>806</v>
      </c>
      <c r="O212" s="1" t="s">
        <v>31</v>
      </c>
      <c r="P212" s="1" t="s">
        <v>32</v>
      </c>
      <c r="Q212" s="1" t="s">
        <v>807</v>
      </c>
      <c r="R212" s="1">
        <v>155.04</v>
      </c>
      <c r="S212" s="1">
        <v>4</v>
      </c>
      <c r="T212" s="1">
        <v>0</v>
      </c>
      <c r="U212" s="1">
        <v>75.9696</v>
      </c>
    </row>
    <row r="213" spans="1:21" ht="15.75" x14ac:dyDescent="0.25">
      <c r="A213" s="1">
        <v>212</v>
      </c>
      <c r="B213" s="2" t="s">
        <v>795</v>
      </c>
      <c r="C213" s="3">
        <v>45002</v>
      </c>
      <c r="D213" s="3">
        <v>45002</v>
      </c>
      <c r="E213" s="1" t="s">
        <v>497</v>
      </c>
      <c r="F213" s="1" t="s">
        <v>796</v>
      </c>
      <c r="G213" s="1" t="s">
        <v>797</v>
      </c>
      <c r="H213" s="1" t="s">
        <v>25</v>
      </c>
      <c r="I213" s="1" t="s">
        <v>26</v>
      </c>
      <c r="J213" s="1" t="s">
        <v>487</v>
      </c>
      <c r="K213" s="1" t="s">
        <v>28</v>
      </c>
      <c r="L213" s="1">
        <v>75217</v>
      </c>
      <c r="M213" s="1" t="s">
        <v>29</v>
      </c>
      <c r="N213" s="1" t="s">
        <v>808</v>
      </c>
      <c r="O213" s="1" t="s">
        <v>31</v>
      </c>
      <c r="P213" s="1" t="s">
        <v>32</v>
      </c>
      <c r="Q213" s="1" t="s">
        <v>809</v>
      </c>
      <c r="R213" s="1">
        <v>5.1840000000000011</v>
      </c>
      <c r="S213" s="1">
        <v>1</v>
      </c>
      <c r="T213" s="1">
        <v>0.2</v>
      </c>
      <c r="U213" s="1">
        <v>1.8792</v>
      </c>
    </row>
    <row r="214" spans="1:21" ht="15.75" x14ac:dyDescent="0.25">
      <c r="A214" s="1">
        <v>213</v>
      </c>
      <c r="B214" s="2" t="s">
        <v>795</v>
      </c>
      <c r="C214" s="3">
        <v>45002</v>
      </c>
      <c r="D214" s="3">
        <v>45002</v>
      </c>
      <c r="E214" s="1" t="s">
        <v>497</v>
      </c>
      <c r="F214" s="1" t="s">
        <v>796</v>
      </c>
      <c r="G214" s="1" t="s">
        <v>797</v>
      </c>
      <c r="H214" s="1" t="s">
        <v>25</v>
      </c>
      <c r="I214" s="1" t="s">
        <v>26</v>
      </c>
      <c r="J214" s="1" t="s">
        <v>487</v>
      </c>
      <c r="K214" s="1" t="s">
        <v>28</v>
      </c>
      <c r="L214" s="1">
        <v>75217</v>
      </c>
      <c r="M214" s="1" t="s">
        <v>29</v>
      </c>
      <c r="N214" s="1" t="s">
        <v>810</v>
      </c>
      <c r="O214" s="1" t="s">
        <v>31</v>
      </c>
      <c r="P214" s="1" t="s">
        <v>32</v>
      </c>
      <c r="Q214" s="1" t="s">
        <v>811</v>
      </c>
      <c r="R214" s="1">
        <v>15.552000000000003</v>
      </c>
      <c r="S214" s="1">
        <v>3</v>
      </c>
      <c r="T214" s="1">
        <v>0.2</v>
      </c>
      <c r="U214" s="1">
        <v>5.4432</v>
      </c>
    </row>
    <row r="215" spans="1:21" ht="15.75" x14ac:dyDescent="0.25">
      <c r="A215" s="1">
        <v>214</v>
      </c>
      <c r="B215" s="2" t="s">
        <v>774</v>
      </c>
      <c r="C215" s="3">
        <v>45002</v>
      </c>
      <c r="D215" s="3">
        <v>45006</v>
      </c>
      <c r="E215" s="1" t="s">
        <v>22</v>
      </c>
      <c r="F215" s="1" t="s">
        <v>775</v>
      </c>
      <c r="G215" s="1" t="s">
        <v>776</v>
      </c>
      <c r="H215" s="1" t="s">
        <v>74</v>
      </c>
      <c r="I215" s="1" t="s">
        <v>26</v>
      </c>
      <c r="J215" s="1" t="s">
        <v>348</v>
      </c>
      <c r="K215" s="1" t="s">
        <v>349</v>
      </c>
      <c r="L215" s="1">
        <v>10024</v>
      </c>
      <c r="M215" s="1" t="s">
        <v>54</v>
      </c>
      <c r="N215" s="1" t="s">
        <v>812</v>
      </c>
      <c r="O215" s="1" t="s">
        <v>31</v>
      </c>
      <c r="P215" s="1" t="s">
        <v>32</v>
      </c>
      <c r="Q215" s="1" t="s">
        <v>813</v>
      </c>
      <c r="R215" s="1">
        <v>34.86</v>
      </c>
      <c r="S215" s="1">
        <v>7</v>
      </c>
      <c r="T215" s="1">
        <v>0</v>
      </c>
      <c r="U215" s="1">
        <v>16.3842</v>
      </c>
    </row>
    <row r="216" spans="1:21" ht="15.75" x14ac:dyDescent="0.25">
      <c r="A216" s="1">
        <v>215</v>
      </c>
      <c r="B216" s="2" t="s">
        <v>790</v>
      </c>
      <c r="C216" s="3">
        <v>45002</v>
      </c>
      <c r="D216" s="3">
        <v>45006</v>
      </c>
      <c r="E216" s="1" t="s">
        <v>22</v>
      </c>
      <c r="F216" s="1" t="s">
        <v>394</v>
      </c>
      <c r="G216" s="1" t="s">
        <v>395</v>
      </c>
      <c r="H216" s="1" t="s">
        <v>74</v>
      </c>
      <c r="I216" s="1" t="s">
        <v>26</v>
      </c>
      <c r="J216" s="1" t="s">
        <v>791</v>
      </c>
      <c r="K216" s="1" t="s">
        <v>792</v>
      </c>
      <c r="L216" s="1">
        <v>39212</v>
      </c>
      <c r="M216" s="1" t="s">
        <v>63</v>
      </c>
      <c r="N216" s="1" t="s">
        <v>814</v>
      </c>
      <c r="O216" s="1" t="s">
        <v>31</v>
      </c>
      <c r="P216" s="1" t="s">
        <v>32</v>
      </c>
      <c r="Q216" s="1" t="s">
        <v>815</v>
      </c>
      <c r="R216" s="1">
        <v>16</v>
      </c>
      <c r="S216" s="1">
        <v>4</v>
      </c>
      <c r="T216" s="1">
        <v>0</v>
      </c>
      <c r="U216" s="1">
        <v>7.68</v>
      </c>
    </row>
    <row r="217" spans="1:21" ht="15.75" x14ac:dyDescent="0.25">
      <c r="A217" s="1">
        <v>216</v>
      </c>
      <c r="B217" s="2" t="s">
        <v>790</v>
      </c>
      <c r="C217" s="3">
        <v>45002</v>
      </c>
      <c r="D217" s="3">
        <v>45006</v>
      </c>
      <c r="E217" s="1" t="s">
        <v>22</v>
      </c>
      <c r="F217" s="1" t="s">
        <v>394</v>
      </c>
      <c r="G217" s="1" t="s">
        <v>395</v>
      </c>
      <c r="H217" s="1" t="s">
        <v>74</v>
      </c>
      <c r="I217" s="1" t="s">
        <v>26</v>
      </c>
      <c r="J217" s="1" t="s">
        <v>791</v>
      </c>
      <c r="K217" s="1" t="s">
        <v>792</v>
      </c>
      <c r="L217" s="1">
        <v>39212</v>
      </c>
      <c r="M217" s="1" t="s">
        <v>63</v>
      </c>
      <c r="N217" s="1" t="s">
        <v>816</v>
      </c>
      <c r="O217" s="1" t="s">
        <v>31</v>
      </c>
      <c r="P217" s="1" t="s">
        <v>32</v>
      </c>
      <c r="Q217" s="1" t="s">
        <v>817</v>
      </c>
      <c r="R217" s="1">
        <v>12.96</v>
      </c>
      <c r="S217" s="1">
        <v>2</v>
      </c>
      <c r="T217" s="1">
        <v>0</v>
      </c>
      <c r="U217" s="1">
        <v>6.3504000000000005</v>
      </c>
    </row>
    <row r="218" spans="1:21" ht="15.75" x14ac:dyDescent="0.25">
      <c r="A218" s="1">
        <v>217</v>
      </c>
      <c r="B218" s="2" t="s">
        <v>818</v>
      </c>
      <c r="C218" s="3">
        <v>45002</v>
      </c>
      <c r="D218" s="3">
        <v>45005</v>
      </c>
      <c r="E218" s="1" t="s">
        <v>87</v>
      </c>
      <c r="F218" s="1" t="s">
        <v>819</v>
      </c>
      <c r="G218" s="1" t="s">
        <v>820</v>
      </c>
      <c r="H218" s="1" t="s">
        <v>74</v>
      </c>
      <c r="I218" s="1" t="s">
        <v>26</v>
      </c>
      <c r="J218" s="1" t="s">
        <v>52</v>
      </c>
      <c r="K218" s="1" t="s">
        <v>53</v>
      </c>
      <c r="L218" s="1">
        <v>19134</v>
      </c>
      <c r="M218" s="1" t="s">
        <v>54</v>
      </c>
      <c r="N218" s="1" t="s">
        <v>821</v>
      </c>
      <c r="O218" s="1" t="s">
        <v>31</v>
      </c>
      <c r="P218" s="1" t="s">
        <v>32</v>
      </c>
      <c r="Q218" s="1" t="s">
        <v>822</v>
      </c>
      <c r="R218" s="1">
        <v>126.624</v>
      </c>
      <c r="S218" s="1">
        <v>6</v>
      </c>
      <c r="T218" s="1">
        <v>0.2</v>
      </c>
      <c r="U218" s="1">
        <v>41.152799999999992</v>
      </c>
    </row>
    <row r="219" spans="1:21" ht="15.75" x14ac:dyDescent="0.25">
      <c r="A219" s="1">
        <v>218</v>
      </c>
      <c r="B219" s="2" t="s">
        <v>823</v>
      </c>
      <c r="C219" s="3">
        <v>45003</v>
      </c>
      <c r="D219" s="3">
        <v>45006</v>
      </c>
      <c r="E219" s="1" t="s">
        <v>87</v>
      </c>
      <c r="F219" s="1" t="s">
        <v>824</v>
      </c>
      <c r="G219" s="1" t="s">
        <v>825</v>
      </c>
      <c r="H219" s="1" t="s">
        <v>37</v>
      </c>
      <c r="I219" s="1" t="s">
        <v>26</v>
      </c>
      <c r="J219" s="1" t="s">
        <v>138</v>
      </c>
      <c r="K219" s="1" t="s">
        <v>91</v>
      </c>
      <c r="L219" s="1">
        <v>94110</v>
      </c>
      <c r="M219" s="1" t="s">
        <v>92</v>
      </c>
      <c r="N219" s="1" t="s">
        <v>826</v>
      </c>
      <c r="O219" s="1" t="s">
        <v>65</v>
      </c>
      <c r="P219" s="1" t="s">
        <v>140</v>
      </c>
      <c r="Q219" s="1" t="s">
        <v>827</v>
      </c>
      <c r="R219" s="1">
        <v>1198.33</v>
      </c>
      <c r="S219" s="1">
        <v>10</v>
      </c>
      <c r="T219" s="1">
        <v>0.15</v>
      </c>
      <c r="U219" s="1">
        <v>70.490000000000009</v>
      </c>
    </row>
    <row r="220" spans="1:21" ht="15.75" x14ac:dyDescent="0.25">
      <c r="A220" s="1">
        <v>219</v>
      </c>
      <c r="B220" s="2" t="s">
        <v>828</v>
      </c>
      <c r="C220" s="3">
        <v>45003</v>
      </c>
      <c r="D220" s="3">
        <v>45008</v>
      </c>
      <c r="E220" s="1" t="s">
        <v>22</v>
      </c>
      <c r="F220" s="1" t="s">
        <v>829</v>
      </c>
      <c r="G220" s="1" t="s">
        <v>830</v>
      </c>
      <c r="H220" s="1" t="s">
        <v>37</v>
      </c>
      <c r="I220" s="1" t="s">
        <v>26</v>
      </c>
      <c r="J220" s="1" t="s">
        <v>739</v>
      </c>
      <c r="K220" s="1" t="s">
        <v>273</v>
      </c>
      <c r="L220" s="1">
        <v>32216</v>
      </c>
      <c r="M220" s="1" t="s">
        <v>63</v>
      </c>
      <c r="N220" s="1" t="s">
        <v>831</v>
      </c>
      <c r="O220" s="1" t="s">
        <v>65</v>
      </c>
      <c r="P220" s="1" t="s">
        <v>106</v>
      </c>
      <c r="Q220" s="1" t="s">
        <v>832</v>
      </c>
      <c r="R220" s="1">
        <v>122.352</v>
      </c>
      <c r="S220" s="1">
        <v>3</v>
      </c>
      <c r="T220" s="1">
        <v>0.2</v>
      </c>
      <c r="U220" s="1">
        <v>15.29399999999999</v>
      </c>
    </row>
    <row r="221" spans="1:21" ht="15.75" x14ac:dyDescent="0.25">
      <c r="A221" s="1">
        <v>220</v>
      </c>
      <c r="B221" s="2" t="s">
        <v>828</v>
      </c>
      <c r="C221" s="3">
        <v>45003</v>
      </c>
      <c r="D221" s="3">
        <v>45008</v>
      </c>
      <c r="E221" s="1" t="s">
        <v>22</v>
      </c>
      <c r="F221" s="1" t="s">
        <v>829</v>
      </c>
      <c r="G221" s="1" t="s">
        <v>830</v>
      </c>
      <c r="H221" s="1" t="s">
        <v>37</v>
      </c>
      <c r="I221" s="1" t="s">
        <v>26</v>
      </c>
      <c r="J221" s="1" t="s">
        <v>739</v>
      </c>
      <c r="K221" s="1" t="s">
        <v>273</v>
      </c>
      <c r="L221" s="1">
        <v>32216</v>
      </c>
      <c r="M221" s="1" t="s">
        <v>63</v>
      </c>
      <c r="N221" s="1" t="s">
        <v>833</v>
      </c>
      <c r="O221" s="1" t="s">
        <v>65</v>
      </c>
      <c r="P221" s="1" t="s">
        <v>106</v>
      </c>
      <c r="Q221" s="1" t="s">
        <v>834</v>
      </c>
      <c r="R221" s="1">
        <v>30.768000000000001</v>
      </c>
      <c r="S221" s="1">
        <v>2</v>
      </c>
      <c r="T221" s="1">
        <v>0.2</v>
      </c>
      <c r="U221" s="1">
        <v>8.0766000000000027</v>
      </c>
    </row>
    <row r="222" spans="1:21" ht="15.75" x14ac:dyDescent="0.25">
      <c r="A222" s="1">
        <v>221</v>
      </c>
      <c r="B222" s="2" t="s">
        <v>835</v>
      </c>
      <c r="C222" s="3">
        <v>45003</v>
      </c>
      <c r="D222" s="3">
        <v>45009</v>
      </c>
      <c r="E222" s="1" t="s">
        <v>22</v>
      </c>
      <c r="F222" s="1" t="s">
        <v>836</v>
      </c>
      <c r="G222" s="1" t="s">
        <v>837</v>
      </c>
      <c r="H222" s="1" t="s">
        <v>37</v>
      </c>
      <c r="I222" s="1" t="s">
        <v>26</v>
      </c>
      <c r="J222" s="1" t="s">
        <v>838</v>
      </c>
      <c r="K222" s="1" t="s">
        <v>91</v>
      </c>
      <c r="L222" s="1">
        <v>91505</v>
      </c>
      <c r="M222" s="1" t="s">
        <v>92</v>
      </c>
      <c r="N222" s="1" t="s">
        <v>839</v>
      </c>
      <c r="O222" s="1" t="s">
        <v>65</v>
      </c>
      <c r="P222" s="1" t="s">
        <v>106</v>
      </c>
      <c r="Q222" s="1" t="s">
        <v>840</v>
      </c>
      <c r="R222" s="1">
        <v>111</v>
      </c>
      <c r="S222" s="1">
        <v>2</v>
      </c>
      <c r="T222" s="1">
        <v>0</v>
      </c>
      <c r="U222" s="1">
        <v>14.430000000000007</v>
      </c>
    </row>
    <row r="223" spans="1:21" ht="15.75" x14ac:dyDescent="0.25">
      <c r="A223" s="1">
        <v>222</v>
      </c>
      <c r="B223" s="2" t="s">
        <v>828</v>
      </c>
      <c r="C223" s="3">
        <v>45003</v>
      </c>
      <c r="D223" s="3">
        <v>45008</v>
      </c>
      <c r="E223" s="1" t="s">
        <v>22</v>
      </c>
      <c r="F223" s="1" t="s">
        <v>829</v>
      </c>
      <c r="G223" s="1" t="s">
        <v>830</v>
      </c>
      <c r="H223" s="1" t="s">
        <v>37</v>
      </c>
      <c r="I223" s="1" t="s">
        <v>26</v>
      </c>
      <c r="J223" s="1" t="s">
        <v>739</v>
      </c>
      <c r="K223" s="1" t="s">
        <v>273</v>
      </c>
      <c r="L223" s="1">
        <v>32216</v>
      </c>
      <c r="M223" s="1" t="s">
        <v>63</v>
      </c>
      <c r="N223" s="1" t="s">
        <v>841</v>
      </c>
      <c r="O223" s="1" t="s">
        <v>31</v>
      </c>
      <c r="P223" s="1" t="s">
        <v>56</v>
      </c>
      <c r="Q223" s="1" t="s">
        <v>842</v>
      </c>
      <c r="R223" s="1">
        <v>8.016</v>
      </c>
      <c r="S223" s="1">
        <v>3</v>
      </c>
      <c r="T223" s="1">
        <v>0.2</v>
      </c>
      <c r="U223" s="1">
        <v>1.0019999999999993</v>
      </c>
    </row>
    <row r="224" spans="1:21" ht="15.75" x14ac:dyDescent="0.25">
      <c r="A224" s="1">
        <v>223</v>
      </c>
      <c r="B224" s="2" t="s">
        <v>828</v>
      </c>
      <c r="C224" s="3">
        <v>45003</v>
      </c>
      <c r="D224" s="3">
        <v>45008</v>
      </c>
      <c r="E224" s="1" t="s">
        <v>22</v>
      </c>
      <c r="F224" s="1" t="s">
        <v>829</v>
      </c>
      <c r="G224" s="1" t="s">
        <v>830</v>
      </c>
      <c r="H224" s="1" t="s">
        <v>37</v>
      </c>
      <c r="I224" s="1" t="s">
        <v>26</v>
      </c>
      <c r="J224" s="1" t="s">
        <v>739</v>
      </c>
      <c r="K224" s="1" t="s">
        <v>273</v>
      </c>
      <c r="L224" s="1">
        <v>32216</v>
      </c>
      <c r="M224" s="1" t="s">
        <v>63</v>
      </c>
      <c r="N224" s="1" t="s">
        <v>843</v>
      </c>
      <c r="O224" s="1" t="s">
        <v>31</v>
      </c>
      <c r="P224" s="1" t="s">
        <v>82</v>
      </c>
      <c r="Q224" s="1" t="s">
        <v>383</v>
      </c>
      <c r="R224" s="1">
        <v>18.936</v>
      </c>
      <c r="S224" s="1">
        <v>3</v>
      </c>
      <c r="T224" s="1">
        <v>0.2</v>
      </c>
      <c r="U224" s="1">
        <v>5.9174999999999986</v>
      </c>
    </row>
    <row r="225" spans="1:21" ht="15.75" x14ac:dyDescent="0.25">
      <c r="A225" s="1">
        <v>224</v>
      </c>
      <c r="B225" s="2" t="s">
        <v>828</v>
      </c>
      <c r="C225" s="3">
        <v>45003</v>
      </c>
      <c r="D225" s="3">
        <v>45008</v>
      </c>
      <c r="E225" s="1" t="s">
        <v>22</v>
      </c>
      <c r="F225" s="1" t="s">
        <v>829</v>
      </c>
      <c r="G225" s="1" t="s">
        <v>830</v>
      </c>
      <c r="H225" s="1" t="s">
        <v>37</v>
      </c>
      <c r="I225" s="1" t="s">
        <v>26</v>
      </c>
      <c r="J225" s="1" t="s">
        <v>739</v>
      </c>
      <c r="K225" s="1" t="s">
        <v>273</v>
      </c>
      <c r="L225" s="1">
        <v>32216</v>
      </c>
      <c r="M225" s="1" t="s">
        <v>63</v>
      </c>
      <c r="N225" s="1" t="s">
        <v>305</v>
      </c>
      <c r="O225" s="1" t="s">
        <v>31</v>
      </c>
      <c r="P225" s="1" t="s">
        <v>32</v>
      </c>
      <c r="Q225" s="1" t="s">
        <v>306</v>
      </c>
      <c r="R225" s="1">
        <v>21.376000000000001</v>
      </c>
      <c r="S225" s="1">
        <v>4</v>
      </c>
      <c r="T225" s="1">
        <v>0.2</v>
      </c>
      <c r="U225" s="1">
        <v>7.4815999999999994</v>
      </c>
    </row>
    <row r="226" spans="1:21" ht="15.75" x14ac:dyDescent="0.25">
      <c r="A226" s="1">
        <v>225</v>
      </c>
      <c r="B226" s="2" t="s">
        <v>835</v>
      </c>
      <c r="C226" s="3">
        <v>45003</v>
      </c>
      <c r="D226" s="3">
        <v>45009</v>
      </c>
      <c r="E226" s="1" t="s">
        <v>22</v>
      </c>
      <c r="F226" s="1" t="s">
        <v>836</v>
      </c>
      <c r="G226" s="1" t="s">
        <v>837</v>
      </c>
      <c r="H226" s="1" t="s">
        <v>37</v>
      </c>
      <c r="I226" s="1" t="s">
        <v>26</v>
      </c>
      <c r="J226" s="1" t="s">
        <v>838</v>
      </c>
      <c r="K226" s="1" t="s">
        <v>91</v>
      </c>
      <c r="L226" s="1">
        <v>91505</v>
      </c>
      <c r="M226" s="1" t="s">
        <v>92</v>
      </c>
      <c r="N226" s="1" t="s">
        <v>174</v>
      </c>
      <c r="O226" s="1" t="s">
        <v>31</v>
      </c>
      <c r="P226" s="1" t="s">
        <v>47</v>
      </c>
      <c r="Q226" s="1" t="s">
        <v>175</v>
      </c>
      <c r="R226" s="1">
        <v>1856.19</v>
      </c>
      <c r="S226" s="1">
        <v>7</v>
      </c>
      <c r="T226" s="1">
        <v>0</v>
      </c>
      <c r="U226" s="1">
        <v>334.11419999999987</v>
      </c>
    </row>
    <row r="227" spans="1:21" ht="15.75" x14ac:dyDescent="0.25">
      <c r="A227" s="1">
        <v>226</v>
      </c>
      <c r="B227" s="2" t="s">
        <v>835</v>
      </c>
      <c r="C227" s="3">
        <v>45003</v>
      </c>
      <c r="D227" s="3">
        <v>45009</v>
      </c>
      <c r="E227" s="1" t="s">
        <v>22</v>
      </c>
      <c r="F227" s="1" t="s">
        <v>836</v>
      </c>
      <c r="G227" s="1" t="s">
        <v>837</v>
      </c>
      <c r="H227" s="1" t="s">
        <v>37</v>
      </c>
      <c r="I227" s="1" t="s">
        <v>26</v>
      </c>
      <c r="J227" s="1" t="s">
        <v>838</v>
      </c>
      <c r="K227" s="1" t="s">
        <v>91</v>
      </c>
      <c r="L227" s="1">
        <v>91505</v>
      </c>
      <c r="M227" s="1" t="s">
        <v>92</v>
      </c>
      <c r="N227" s="1" t="s">
        <v>844</v>
      </c>
      <c r="O227" s="1" t="s">
        <v>96</v>
      </c>
      <c r="P227" s="1" t="s">
        <v>754</v>
      </c>
      <c r="Q227" s="1" t="s">
        <v>845</v>
      </c>
      <c r="R227" s="1">
        <v>1279.9680000000001</v>
      </c>
      <c r="S227" s="1">
        <v>4</v>
      </c>
      <c r="T227" s="1">
        <v>0.2</v>
      </c>
      <c r="U227" s="1">
        <v>415.98959999999994</v>
      </c>
    </row>
    <row r="228" spans="1:21" ht="15.75" x14ac:dyDescent="0.25">
      <c r="A228" s="1">
        <v>227</v>
      </c>
      <c r="B228" s="2" t="s">
        <v>828</v>
      </c>
      <c r="C228" s="3">
        <v>45003</v>
      </c>
      <c r="D228" s="3">
        <v>45008</v>
      </c>
      <c r="E228" s="1" t="s">
        <v>22</v>
      </c>
      <c r="F228" s="1" t="s">
        <v>829</v>
      </c>
      <c r="G228" s="1" t="s">
        <v>830</v>
      </c>
      <c r="H228" s="1" t="s">
        <v>37</v>
      </c>
      <c r="I228" s="1" t="s">
        <v>26</v>
      </c>
      <c r="J228" s="1" t="s">
        <v>739</v>
      </c>
      <c r="K228" s="1" t="s">
        <v>273</v>
      </c>
      <c r="L228" s="1">
        <v>32216</v>
      </c>
      <c r="M228" s="1" t="s">
        <v>63</v>
      </c>
      <c r="N228" s="1" t="s">
        <v>846</v>
      </c>
      <c r="O228" s="1" t="s">
        <v>96</v>
      </c>
      <c r="P228" s="1" t="s">
        <v>754</v>
      </c>
      <c r="Q228" s="1" t="s">
        <v>847</v>
      </c>
      <c r="R228" s="1">
        <v>22638.48</v>
      </c>
      <c r="S228" s="1">
        <v>6</v>
      </c>
      <c r="T228" s="1">
        <v>0.5</v>
      </c>
      <c r="U228" s="1">
        <v>-1811.0784000000021</v>
      </c>
    </row>
    <row r="229" spans="1:21" ht="15.75" x14ac:dyDescent="0.25">
      <c r="A229" s="1">
        <v>228</v>
      </c>
      <c r="B229" s="2" t="s">
        <v>828</v>
      </c>
      <c r="C229" s="3">
        <v>45003</v>
      </c>
      <c r="D229" s="3">
        <v>45008</v>
      </c>
      <c r="E229" s="1" t="s">
        <v>22</v>
      </c>
      <c r="F229" s="1" t="s">
        <v>829</v>
      </c>
      <c r="G229" s="1" t="s">
        <v>830</v>
      </c>
      <c r="H229" s="1" t="s">
        <v>37</v>
      </c>
      <c r="I229" s="1" t="s">
        <v>26</v>
      </c>
      <c r="J229" s="1" t="s">
        <v>739</v>
      </c>
      <c r="K229" s="1" t="s">
        <v>273</v>
      </c>
      <c r="L229" s="1">
        <v>32216</v>
      </c>
      <c r="M229" s="1" t="s">
        <v>63</v>
      </c>
      <c r="N229" s="1" t="s">
        <v>753</v>
      </c>
      <c r="O229" s="1" t="s">
        <v>96</v>
      </c>
      <c r="P229" s="1" t="s">
        <v>754</v>
      </c>
      <c r="Q229" s="1" t="s">
        <v>755</v>
      </c>
      <c r="R229" s="1">
        <v>821.3</v>
      </c>
      <c r="S229" s="1">
        <v>4</v>
      </c>
      <c r="T229" s="1">
        <v>0.5</v>
      </c>
      <c r="U229" s="1">
        <v>-16.426000000000045</v>
      </c>
    </row>
    <row r="230" spans="1:21" ht="15.75" x14ac:dyDescent="0.25">
      <c r="A230" s="1">
        <v>229</v>
      </c>
      <c r="B230" s="2" t="s">
        <v>848</v>
      </c>
      <c r="C230" s="3">
        <v>45004</v>
      </c>
      <c r="D230" s="3">
        <v>45006</v>
      </c>
      <c r="E230" s="1" t="s">
        <v>71</v>
      </c>
      <c r="F230" s="1" t="s">
        <v>849</v>
      </c>
      <c r="G230" s="1" t="s">
        <v>850</v>
      </c>
      <c r="H230" s="1" t="s">
        <v>74</v>
      </c>
      <c r="I230" s="1" t="s">
        <v>26</v>
      </c>
      <c r="J230" s="1" t="s">
        <v>851</v>
      </c>
      <c r="K230" s="1" t="s">
        <v>273</v>
      </c>
      <c r="L230" s="1">
        <v>33801</v>
      </c>
      <c r="M230" s="1" t="s">
        <v>63</v>
      </c>
      <c r="N230" s="1" t="s">
        <v>852</v>
      </c>
      <c r="O230" s="1" t="s">
        <v>65</v>
      </c>
      <c r="P230" s="1" t="s">
        <v>106</v>
      </c>
      <c r="Q230" s="1" t="s">
        <v>853</v>
      </c>
      <c r="R230" s="1">
        <v>20.016000000000002</v>
      </c>
      <c r="S230" s="1">
        <v>3</v>
      </c>
      <c r="T230" s="1">
        <v>0.2</v>
      </c>
      <c r="U230" s="1">
        <v>5.5044000000000013</v>
      </c>
    </row>
    <row r="231" spans="1:21" ht="15.75" x14ac:dyDescent="0.25">
      <c r="A231" s="1">
        <v>230</v>
      </c>
      <c r="B231" s="2" t="s">
        <v>848</v>
      </c>
      <c r="C231" s="3">
        <v>45004</v>
      </c>
      <c r="D231" s="3">
        <v>45006</v>
      </c>
      <c r="E231" s="1" t="s">
        <v>71</v>
      </c>
      <c r="F231" s="1" t="s">
        <v>849</v>
      </c>
      <c r="G231" s="1" t="s">
        <v>850</v>
      </c>
      <c r="H231" s="1" t="s">
        <v>74</v>
      </c>
      <c r="I231" s="1" t="s">
        <v>26</v>
      </c>
      <c r="J231" s="1" t="s">
        <v>851</v>
      </c>
      <c r="K231" s="1" t="s">
        <v>273</v>
      </c>
      <c r="L231" s="1">
        <v>33801</v>
      </c>
      <c r="M231" s="1" t="s">
        <v>63</v>
      </c>
      <c r="N231" s="1" t="s">
        <v>686</v>
      </c>
      <c r="O231" s="1" t="s">
        <v>65</v>
      </c>
      <c r="P231" s="1" t="s">
        <v>106</v>
      </c>
      <c r="Q231" s="1" t="s">
        <v>687</v>
      </c>
      <c r="R231" s="1">
        <v>4.9920000000000009</v>
      </c>
      <c r="S231" s="1">
        <v>3</v>
      </c>
      <c r="T231" s="1">
        <v>0.2</v>
      </c>
      <c r="U231" s="1">
        <v>1.3728000000000002</v>
      </c>
    </row>
    <row r="232" spans="1:21" ht="15.75" x14ac:dyDescent="0.25">
      <c r="A232" s="1">
        <v>231</v>
      </c>
      <c r="B232" s="2" t="s">
        <v>848</v>
      </c>
      <c r="C232" s="3">
        <v>45004</v>
      </c>
      <c r="D232" s="3">
        <v>45006</v>
      </c>
      <c r="E232" s="1" t="s">
        <v>71</v>
      </c>
      <c r="F232" s="1" t="s">
        <v>849</v>
      </c>
      <c r="G232" s="1" t="s">
        <v>850</v>
      </c>
      <c r="H232" s="1" t="s">
        <v>74</v>
      </c>
      <c r="I232" s="1" t="s">
        <v>26</v>
      </c>
      <c r="J232" s="1" t="s">
        <v>851</v>
      </c>
      <c r="K232" s="1" t="s">
        <v>273</v>
      </c>
      <c r="L232" s="1">
        <v>33801</v>
      </c>
      <c r="M232" s="1" t="s">
        <v>63</v>
      </c>
      <c r="N232" s="1" t="s">
        <v>406</v>
      </c>
      <c r="O232" s="1" t="s">
        <v>31</v>
      </c>
      <c r="P232" s="1" t="s">
        <v>41</v>
      </c>
      <c r="Q232" s="1" t="s">
        <v>407</v>
      </c>
      <c r="R232" s="1">
        <v>33.57</v>
      </c>
      <c r="S232" s="1">
        <v>5</v>
      </c>
      <c r="T232" s="1">
        <v>0.7</v>
      </c>
      <c r="U232" s="1">
        <v>-25.737000000000002</v>
      </c>
    </row>
    <row r="233" spans="1:21" ht="15.75" x14ac:dyDescent="0.25">
      <c r="A233" s="1">
        <v>232</v>
      </c>
      <c r="B233" s="2" t="s">
        <v>848</v>
      </c>
      <c r="C233" s="3">
        <v>45004</v>
      </c>
      <c r="D233" s="3">
        <v>45006</v>
      </c>
      <c r="E233" s="1" t="s">
        <v>71</v>
      </c>
      <c r="F233" s="1" t="s">
        <v>849</v>
      </c>
      <c r="G233" s="1" t="s">
        <v>850</v>
      </c>
      <c r="H233" s="1" t="s">
        <v>74</v>
      </c>
      <c r="I233" s="1" t="s">
        <v>26</v>
      </c>
      <c r="J233" s="1" t="s">
        <v>851</v>
      </c>
      <c r="K233" s="1" t="s">
        <v>273</v>
      </c>
      <c r="L233" s="1">
        <v>33801</v>
      </c>
      <c r="M233" s="1" t="s">
        <v>63</v>
      </c>
      <c r="N233" s="1" t="s">
        <v>854</v>
      </c>
      <c r="O233" s="1" t="s">
        <v>31</v>
      </c>
      <c r="P233" s="1" t="s">
        <v>44</v>
      </c>
      <c r="Q233" s="1" t="s">
        <v>855</v>
      </c>
      <c r="R233" s="1">
        <v>11.808</v>
      </c>
      <c r="S233" s="1">
        <v>4</v>
      </c>
      <c r="T233" s="1">
        <v>0.2</v>
      </c>
      <c r="U233" s="1">
        <v>3.9851999999999999</v>
      </c>
    </row>
    <row r="234" spans="1:21" ht="15.75" x14ac:dyDescent="0.25">
      <c r="A234" s="1">
        <v>233</v>
      </c>
      <c r="B234" s="2" t="s">
        <v>848</v>
      </c>
      <c r="C234" s="3">
        <v>45004</v>
      </c>
      <c r="D234" s="3">
        <v>45006</v>
      </c>
      <c r="E234" s="1" t="s">
        <v>71</v>
      </c>
      <c r="F234" s="1" t="s">
        <v>849</v>
      </c>
      <c r="G234" s="1" t="s">
        <v>850</v>
      </c>
      <c r="H234" s="1" t="s">
        <v>74</v>
      </c>
      <c r="I234" s="1" t="s">
        <v>26</v>
      </c>
      <c r="J234" s="1" t="s">
        <v>851</v>
      </c>
      <c r="K234" s="1" t="s">
        <v>273</v>
      </c>
      <c r="L234" s="1">
        <v>33801</v>
      </c>
      <c r="M234" s="1" t="s">
        <v>63</v>
      </c>
      <c r="N234" s="1" t="s">
        <v>856</v>
      </c>
      <c r="O234" s="1" t="s">
        <v>31</v>
      </c>
      <c r="P234" s="1" t="s">
        <v>47</v>
      </c>
      <c r="Q234" s="1" t="s">
        <v>857</v>
      </c>
      <c r="R234" s="1">
        <v>26.160000000000004</v>
      </c>
      <c r="S234" s="1">
        <v>3</v>
      </c>
      <c r="T234" s="1">
        <v>0.2</v>
      </c>
      <c r="U234" s="1">
        <v>1.961999999999998</v>
      </c>
    </row>
    <row r="235" spans="1:21" ht="15.75" x14ac:dyDescent="0.25">
      <c r="A235" s="1">
        <v>234</v>
      </c>
      <c r="B235" s="2" t="s">
        <v>848</v>
      </c>
      <c r="C235" s="3">
        <v>45004</v>
      </c>
      <c r="D235" s="3">
        <v>45006</v>
      </c>
      <c r="E235" s="1" t="s">
        <v>71</v>
      </c>
      <c r="F235" s="1" t="s">
        <v>849</v>
      </c>
      <c r="G235" s="1" t="s">
        <v>850</v>
      </c>
      <c r="H235" s="1" t="s">
        <v>74</v>
      </c>
      <c r="I235" s="1" t="s">
        <v>26</v>
      </c>
      <c r="J235" s="1" t="s">
        <v>851</v>
      </c>
      <c r="K235" s="1" t="s">
        <v>273</v>
      </c>
      <c r="L235" s="1">
        <v>33801</v>
      </c>
      <c r="M235" s="1" t="s">
        <v>63</v>
      </c>
      <c r="N235" s="1" t="s">
        <v>858</v>
      </c>
      <c r="O235" s="1" t="s">
        <v>96</v>
      </c>
      <c r="P235" s="1" t="s">
        <v>117</v>
      </c>
      <c r="Q235" s="1" t="s">
        <v>859</v>
      </c>
      <c r="R235" s="1">
        <v>170.24</v>
      </c>
      <c r="S235" s="1">
        <v>2</v>
      </c>
      <c r="T235" s="1">
        <v>0.2</v>
      </c>
      <c r="U235" s="1">
        <v>53.199999999999989</v>
      </c>
    </row>
    <row r="236" spans="1:21" ht="15.75" x14ac:dyDescent="0.25">
      <c r="A236" s="1">
        <v>235</v>
      </c>
      <c r="B236" s="2" t="s">
        <v>848</v>
      </c>
      <c r="C236" s="3">
        <v>45004</v>
      </c>
      <c r="D236" s="3">
        <v>45006</v>
      </c>
      <c r="E236" s="1" t="s">
        <v>71</v>
      </c>
      <c r="F236" s="1" t="s">
        <v>849</v>
      </c>
      <c r="G236" s="1" t="s">
        <v>850</v>
      </c>
      <c r="H236" s="1" t="s">
        <v>74</v>
      </c>
      <c r="I236" s="1" t="s">
        <v>26</v>
      </c>
      <c r="J236" s="1" t="s">
        <v>851</v>
      </c>
      <c r="K236" s="1" t="s">
        <v>273</v>
      </c>
      <c r="L236" s="1">
        <v>33801</v>
      </c>
      <c r="M236" s="1" t="s">
        <v>63</v>
      </c>
      <c r="N236" s="1" t="s">
        <v>860</v>
      </c>
      <c r="O236" s="1" t="s">
        <v>96</v>
      </c>
      <c r="P236" s="1" t="s">
        <v>97</v>
      </c>
      <c r="Q236" s="1" t="s">
        <v>861</v>
      </c>
      <c r="R236" s="1">
        <v>323.97600000000006</v>
      </c>
      <c r="S236" s="1">
        <v>3</v>
      </c>
      <c r="T236" s="1">
        <v>0.2</v>
      </c>
      <c r="U236" s="1">
        <v>28.347899999999981</v>
      </c>
    </row>
    <row r="237" spans="1:21" ht="15.75" x14ac:dyDescent="0.25">
      <c r="A237" s="1">
        <v>236</v>
      </c>
      <c r="B237" s="2" t="s">
        <v>862</v>
      </c>
      <c r="C237" s="3">
        <v>45006</v>
      </c>
      <c r="D237" s="3">
        <v>45010</v>
      </c>
      <c r="E237" s="1" t="s">
        <v>22</v>
      </c>
      <c r="F237" s="1" t="s">
        <v>863</v>
      </c>
      <c r="G237" s="1" t="s">
        <v>864</v>
      </c>
      <c r="H237" s="1" t="s">
        <v>25</v>
      </c>
      <c r="I237" s="1" t="s">
        <v>26</v>
      </c>
      <c r="J237" s="1" t="s">
        <v>865</v>
      </c>
      <c r="K237" s="1" t="s">
        <v>255</v>
      </c>
      <c r="L237" s="1">
        <v>37918</v>
      </c>
      <c r="M237" s="1" t="s">
        <v>63</v>
      </c>
      <c r="N237" s="1" t="s">
        <v>147</v>
      </c>
      <c r="O237" s="1" t="s">
        <v>65</v>
      </c>
      <c r="P237" s="1" t="s">
        <v>66</v>
      </c>
      <c r="Q237" s="1" t="s">
        <v>148</v>
      </c>
      <c r="R237" s="1">
        <v>218.376</v>
      </c>
      <c r="S237" s="1">
        <v>3</v>
      </c>
      <c r="T237" s="1">
        <v>0.2</v>
      </c>
      <c r="U237" s="1">
        <v>-10.918799999999983</v>
      </c>
    </row>
    <row r="238" spans="1:21" ht="15.75" x14ac:dyDescent="0.25">
      <c r="A238" s="1">
        <v>237</v>
      </c>
      <c r="B238" s="2" t="s">
        <v>862</v>
      </c>
      <c r="C238" s="3">
        <v>45006</v>
      </c>
      <c r="D238" s="3">
        <v>45010</v>
      </c>
      <c r="E238" s="1" t="s">
        <v>22</v>
      </c>
      <c r="F238" s="1" t="s">
        <v>863</v>
      </c>
      <c r="G238" s="1" t="s">
        <v>864</v>
      </c>
      <c r="H238" s="1" t="s">
        <v>25</v>
      </c>
      <c r="I238" s="1" t="s">
        <v>26</v>
      </c>
      <c r="J238" s="1" t="s">
        <v>865</v>
      </c>
      <c r="K238" s="1" t="s">
        <v>255</v>
      </c>
      <c r="L238" s="1">
        <v>37918</v>
      </c>
      <c r="M238" s="1" t="s">
        <v>63</v>
      </c>
      <c r="N238" s="1" t="s">
        <v>866</v>
      </c>
      <c r="O238" s="1" t="s">
        <v>65</v>
      </c>
      <c r="P238" s="1" t="s">
        <v>106</v>
      </c>
      <c r="Q238" s="1" t="s">
        <v>867</v>
      </c>
      <c r="R238" s="1">
        <v>32.952000000000005</v>
      </c>
      <c r="S238" s="1">
        <v>3</v>
      </c>
      <c r="T238" s="1">
        <v>0.2</v>
      </c>
      <c r="U238" s="1">
        <v>6.5903999999999989</v>
      </c>
    </row>
    <row r="239" spans="1:21" ht="15.75" x14ac:dyDescent="0.25">
      <c r="A239" s="1">
        <v>238</v>
      </c>
      <c r="B239" s="2" t="s">
        <v>868</v>
      </c>
      <c r="C239" s="3">
        <v>45006</v>
      </c>
      <c r="D239" s="3">
        <v>45010</v>
      </c>
      <c r="E239" s="1" t="s">
        <v>22</v>
      </c>
      <c r="F239" s="1" t="s">
        <v>869</v>
      </c>
      <c r="G239" s="1" t="s">
        <v>870</v>
      </c>
      <c r="H239" s="1" t="s">
        <v>74</v>
      </c>
      <c r="I239" s="1" t="s">
        <v>26</v>
      </c>
      <c r="J239" s="1" t="s">
        <v>122</v>
      </c>
      <c r="K239" s="1" t="s">
        <v>123</v>
      </c>
      <c r="L239" s="1">
        <v>22153</v>
      </c>
      <c r="M239" s="1" t="s">
        <v>63</v>
      </c>
      <c r="N239" s="1" t="s">
        <v>871</v>
      </c>
      <c r="O239" s="1" t="s">
        <v>31</v>
      </c>
      <c r="P239" s="1" t="s">
        <v>56</v>
      </c>
      <c r="Q239" s="1" t="s">
        <v>872</v>
      </c>
      <c r="R239" s="1">
        <v>9.32</v>
      </c>
      <c r="S239" s="1">
        <v>4</v>
      </c>
      <c r="T239" s="1">
        <v>0</v>
      </c>
      <c r="U239" s="1">
        <v>2.702799999999999</v>
      </c>
    </row>
    <row r="240" spans="1:21" ht="15.75" x14ac:dyDescent="0.25">
      <c r="A240" s="1">
        <v>239</v>
      </c>
      <c r="B240" s="2" t="s">
        <v>873</v>
      </c>
      <c r="C240" s="3">
        <v>45006</v>
      </c>
      <c r="D240" s="3">
        <v>45010</v>
      </c>
      <c r="E240" s="1" t="s">
        <v>22</v>
      </c>
      <c r="F240" s="1" t="s">
        <v>874</v>
      </c>
      <c r="G240" s="1" t="s">
        <v>875</v>
      </c>
      <c r="H240" s="1" t="s">
        <v>25</v>
      </c>
      <c r="I240" s="1" t="s">
        <v>26</v>
      </c>
      <c r="J240" s="1" t="s">
        <v>876</v>
      </c>
      <c r="K240" s="1" t="s">
        <v>155</v>
      </c>
      <c r="L240" s="1">
        <v>45011</v>
      </c>
      <c r="M240" s="1" t="s">
        <v>54</v>
      </c>
      <c r="N240" s="1" t="s">
        <v>877</v>
      </c>
      <c r="O240" s="1" t="s">
        <v>31</v>
      </c>
      <c r="P240" s="1" t="s">
        <v>56</v>
      </c>
      <c r="Q240" s="1" t="s">
        <v>878</v>
      </c>
      <c r="R240" s="1">
        <v>6.048</v>
      </c>
      <c r="S240" s="1">
        <v>3</v>
      </c>
      <c r="T240" s="1">
        <v>0.2</v>
      </c>
      <c r="U240" s="1">
        <v>1.5876000000000006</v>
      </c>
    </row>
    <row r="241" spans="1:21" ht="15.75" x14ac:dyDescent="0.25">
      <c r="A241" s="1">
        <v>240</v>
      </c>
      <c r="B241" s="2" t="s">
        <v>873</v>
      </c>
      <c r="C241" s="3">
        <v>45006</v>
      </c>
      <c r="D241" s="3">
        <v>45010</v>
      </c>
      <c r="E241" s="1" t="s">
        <v>22</v>
      </c>
      <c r="F241" s="1" t="s">
        <v>874</v>
      </c>
      <c r="G241" s="1" t="s">
        <v>875</v>
      </c>
      <c r="H241" s="1" t="s">
        <v>25</v>
      </c>
      <c r="I241" s="1" t="s">
        <v>26</v>
      </c>
      <c r="J241" s="1" t="s">
        <v>876</v>
      </c>
      <c r="K241" s="1" t="s">
        <v>155</v>
      </c>
      <c r="L241" s="1">
        <v>45011</v>
      </c>
      <c r="M241" s="1" t="s">
        <v>54</v>
      </c>
      <c r="N241" s="1" t="s">
        <v>879</v>
      </c>
      <c r="O241" s="1" t="s">
        <v>31</v>
      </c>
      <c r="P241" s="1" t="s">
        <v>56</v>
      </c>
      <c r="Q241" s="1" t="s">
        <v>880</v>
      </c>
      <c r="R241" s="1">
        <v>7.4080000000000004</v>
      </c>
      <c r="S241" s="1">
        <v>2</v>
      </c>
      <c r="T241" s="1">
        <v>0.2</v>
      </c>
      <c r="U241" s="1">
        <v>1.2037999999999995</v>
      </c>
    </row>
    <row r="242" spans="1:21" ht="15.75" x14ac:dyDescent="0.25">
      <c r="A242" s="1">
        <v>241</v>
      </c>
      <c r="B242" s="2" t="s">
        <v>868</v>
      </c>
      <c r="C242" s="3">
        <v>45006</v>
      </c>
      <c r="D242" s="3">
        <v>45010</v>
      </c>
      <c r="E242" s="1" t="s">
        <v>22</v>
      </c>
      <c r="F242" s="1" t="s">
        <v>869</v>
      </c>
      <c r="G242" s="1" t="s">
        <v>870</v>
      </c>
      <c r="H242" s="1" t="s">
        <v>74</v>
      </c>
      <c r="I242" s="1" t="s">
        <v>26</v>
      </c>
      <c r="J242" s="1" t="s">
        <v>122</v>
      </c>
      <c r="K242" s="1" t="s">
        <v>123</v>
      </c>
      <c r="L242" s="1">
        <v>22153</v>
      </c>
      <c r="M242" s="1" t="s">
        <v>63</v>
      </c>
      <c r="N242" s="1" t="s">
        <v>881</v>
      </c>
      <c r="O242" s="1" t="s">
        <v>31</v>
      </c>
      <c r="P242" s="1" t="s">
        <v>41</v>
      </c>
      <c r="Q242" s="1" t="s">
        <v>882</v>
      </c>
      <c r="R242" s="1">
        <v>122.94</v>
      </c>
      <c r="S242" s="1">
        <v>3</v>
      </c>
      <c r="T242" s="1">
        <v>0</v>
      </c>
      <c r="U242" s="1">
        <v>59.011199999999988</v>
      </c>
    </row>
    <row r="243" spans="1:21" ht="15.75" x14ac:dyDescent="0.25">
      <c r="A243" s="1">
        <v>242</v>
      </c>
      <c r="B243" s="2" t="s">
        <v>868</v>
      </c>
      <c r="C243" s="3">
        <v>45006</v>
      </c>
      <c r="D243" s="3">
        <v>45010</v>
      </c>
      <c r="E243" s="1" t="s">
        <v>22</v>
      </c>
      <c r="F243" s="1" t="s">
        <v>869</v>
      </c>
      <c r="G243" s="1" t="s">
        <v>870</v>
      </c>
      <c r="H243" s="1" t="s">
        <v>74</v>
      </c>
      <c r="I243" s="1" t="s">
        <v>26</v>
      </c>
      <c r="J243" s="1" t="s">
        <v>122</v>
      </c>
      <c r="K243" s="1" t="s">
        <v>123</v>
      </c>
      <c r="L243" s="1">
        <v>22153</v>
      </c>
      <c r="M243" s="1" t="s">
        <v>63</v>
      </c>
      <c r="N243" s="1" t="s">
        <v>883</v>
      </c>
      <c r="O243" s="1" t="s">
        <v>31</v>
      </c>
      <c r="P243" s="1" t="s">
        <v>44</v>
      </c>
      <c r="Q243" s="1" t="s">
        <v>884</v>
      </c>
      <c r="R243" s="1">
        <v>14.399999999999999</v>
      </c>
      <c r="S243" s="1">
        <v>5</v>
      </c>
      <c r="T243" s="1">
        <v>0</v>
      </c>
      <c r="U243" s="1">
        <v>6.6239999999999988</v>
      </c>
    </row>
    <row r="244" spans="1:21" ht="15.75" x14ac:dyDescent="0.25">
      <c r="A244" s="1">
        <v>243</v>
      </c>
      <c r="B244" s="2" t="s">
        <v>862</v>
      </c>
      <c r="C244" s="3">
        <v>45006</v>
      </c>
      <c r="D244" s="3">
        <v>45010</v>
      </c>
      <c r="E244" s="1" t="s">
        <v>22</v>
      </c>
      <c r="F244" s="1" t="s">
        <v>863</v>
      </c>
      <c r="G244" s="1" t="s">
        <v>864</v>
      </c>
      <c r="H244" s="1" t="s">
        <v>25</v>
      </c>
      <c r="I244" s="1" t="s">
        <v>26</v>
      </c>
      <c r="J244" s="1" t="s">
        <v>865</v>
      </c>
      <c r="K244" s="1" t="s">
        <v>255</v>
      </c>
      <c r="L244" s="1">
        <v>37918</v>
      </c>
      <c r="M244" s="1" t="s">
        <v>63</v>
      </c>
      <c r="N244" s="1" t="s">
        <v>885</v>
      </c>
      <c r="O244" s="1" t="s">
        <v>31</v>
      </c>
      <c r="P244" s="1" t="s">
        <v>44</v>
      </c>
      <c r="Q244" s="1" t="s">
        <v>886</v>
      </c>
      <c r="R244" s="1">
        <v>59.20000000000001</v>
      </c>
      <c r="S244" s="1">
        <v>5</v>
      </c>
      <c r="T244" s="1">
        <v>0.2</v>
      </c>
      <c r="U244" s="1">
        <v>22.199999999999996</v>
      </c>
    </row>
    <row r="245" spans="1:21" ht="15.75" x14ac:dyDescent="0.25">
      <c r="A245" s="1">
        <v>244</v>
      </c>
      <c r="B245" s="2" t="s">
        <v>868</v>
      </c>
      <c r="C245" s="3">
        <v>45006</v>
      </c>
      <c r="D245" s="3">
        <v>45010</v>
      </c>
      <c r="E245" s="1" t="s">
        <v>22</v>
      </c>
      <c r="F245" s="1" t="s">
        <v>869</v>
      </c>
      <c r="G245" s="1" t="s">
        <v>870</v>
      </c>
      <c r="H245" s="1" t="s">
        <v>74</v>
      </c>
      <c r="I245" s="1" t="s">
        <v>26</v>
      </c>
      <c r="J245" s="1" t="s">
        <v>122</v>
      </c>
      <c r="K245" s="1" t="s">
        <v>123</v>
      </c>
      <c r="L245" s="1">
        <v>22153</v>
      </c>
      <c r="M245" s="1" t="s">
        <v>63</v>
      </c>
      <c r="N245" s="1" t="s">
        <v>887</v>
      </c>
      <c r="O245" s="1" t="s">
        <v>31</v>
      </c>
      <c r="P245" s="1" t="s">
        <v>32</v>
      </c>
      <c r="Q245" s="1" t="s">
        <v>888</v>
      </c>
      <c r="R245" s="1">
        <v>122.97</v>
      </c>
      <c r="S245" s="1">
        <v>3</v>
      </c>
      <c r="T245" s="1">
        <v>0</v>
      </c>
      <c r="U245" s="1">
        <v>60.255300000000005</v>
      </c>
    </row>
    <row r="246" spans="1:21" ht="15.75" x14ac:dyDescent="0.25">
      <c r="A246" s="1">
        <v>245</v>
      </c>
      <c r="B246" s="2" t="s">
        <v>889</v>
      </c>
      <c r="C246" s="3">
        <v>45006</v>
      </c>
      <c r="D246" s="3">
        <v>45010</v>
      </c>
      <c r="E246" s="1" t="s">
        <v>22</v>
      </c>
      <c r="F246" s="1" t="s">
        <v>890</v>
      </c>
      <c r="G246" s="1" t="s">
        <v>891</v>
      </c>
      <c r="H246" s="1" t="s">
        <v>74</v>
      </c>
      <c r="I246" s="1" t="s">
        <v>26</v>
      </c>
      <c r="J246" s="1" t="s">
        <v>892</v>
      </c>
      <c r="K246" s="1" t="s">
        <v>611</v>
      </c>
      <c r="L246" s="1">
        <v>28806</v>
      </c>
      <c r="M246" s="1" t="s">
        <v>63</v>
      </c>
      <c r="N246" s="1" t="s">
        <v>893</v>
      </c>
      <c r="O246" s="1" t="s">
        <v>31</v>
      </c>
      <c r="P246" s="1" t="s">
        <v>47</v>
      </c>
      <c r="Q246" s="1" t="s">
        <v>894</v>
      </c>
      <c r="R246" s="1">
        <v>16.272000000000002</v>
      </c>
      <c r="S246" s="1">
        <v>1</v>
      </c>
      <c r="T246" s="1">
        <v>0.2</v>
      </c>
      <c r="U246" s="1">
        <v>-3.864600000000002</v>
      </c>
    </row>
    <row r="247" spans="1:21" ht="15.75" x14ac:dyDescent="0.25">
      <c r="A247" s="1">
        <v>246</v>
      </c>
      <c r="B247" s="2" t="s">
        <v>868</v>
      </c>
      <c r="C247" s="3">
        <v>45006</v>
      </c>
      <c r="D247" s="3">
        <v>45010</v>
      </c>
      <c r="E247" s="1" t="s">
        <v>22</v>
      </c>
      <c r="F247" s="1" t="s">
        <v>869</v>
      </c>
      <c r="G247" s="1" t="s">
        <v>870</v>
      </c>
      <c r="H247" s="1" t="s">
        <v>74</v>
      </c>
      <c r="I247" s="1" t="s">
        <v>26</v>
      </c>
      <c r="J247" s="1" t="s">
        <v>122</v>
      </c>
      <c r="K247" s="1" t="s">
        <v>123</v>
      </c>
      <c r="L247" s="1">
        <v>22153</v>
      </c>
      <c r="M247" s="1" t="s">
        <v>63</v>
      </c>
      <c r="N247" s="1" t="s">
        <v>895</v>
      </c>
      <c r="O247" s="1" t="s">
        <v>96</v>
      </c>
      <c r="P247" s="1" t="s">
        <v>97</v>
      </c>
      <c r="Q247" s="1" t="s">
        <v>896</v>
      </c>
      <c r="R247" s="1">
        <v>3499.9300000000003</v>
      </c>
      <c r="S247" s="1">
        <v>7</v>
      </c>
      <c r="T247" s="1">
        <v>0</v>
      </c>
      <c r="U247" s="1">
        <v>909.98180000000025</v>
      </c>
    </row>
    <row r="248" spans="1:21" ht="15.75" x14ac:dyDescent="0.25">
      <c r="A248" s="1">
        <v>247</v>
      </c>
      <c r="B248" s="2" t="s">
        <v>897</v>
      </c>
      <c r="C248" s="3">
        <v>45007</v>
      </c>
      <c r="D248" s="3">
        <v>45011</v>
      </c>
      <c r="E248" s="1" t="s">
        <v>22</v>
      </c>
      <c r="F248" s="1" t="s">
        <v>898</v>
      </c>
      <c r="G248" s="1" t="s">
        <v>899</v>
      </c>
      <c r="H248" s="1" t="s">
        <v>74</v>
      </c>
      <c r="I248" s="1" t="s">
        <v>26</v>
      </c>
      <c r="J248" s="1" t="s">
        <v>900</v>
      </c>
      <c r="K248" s="1" t="s">
        <v>211</v>
      </c>
      <c r="L248" s="1">
        <v>85705</v>
      </c>
      <c r="M248" s="1" t="s">
        <v>92</v>
      </c>
      <c r="N248" s="1" t="s">
        <v>901</v>
      </c>
      <c r="O248" s="1" t="s">
        <v>65</v>
      </c>
      <c r="P248" s="1" t="s">
        <v>66</v>
      </c>
      <c r="Q248" s="1" t="s">
        <v>902</v>
      </c>
      <c r="R248" s="1">
        <v>314.35199999999998</v>
      </c>
      <c r="S248" s="1">
        <v>3</v>
      </c>
      <c r="T248" s="1">
        <v>0.2</v>
      </c>
      <c r="U248" s="1">
        <v>-35.36460000000001</v>
      </c>
    </row>
    <row r="249" spans="1:21" ht="15.75" x14ac:dyDescent="0.25">
      <c r="A249" s="1">
        <v>248</v>
      </c>
      <c r="B249" s="2" t="s">
        <v>903</v>
      </c>
      <c r="C249" s="3">
        <v>45007</v>
      </c>
      <c r="D249" s="3">
        <v>45007</v>
      </c>
      <c r="E249" s="1" t="s">
        <v>497</v>
      </c>
      <c r="F249" s="1" t="s">
        <v>904</v>
      </c>
      <c r="G249" s="1" t="s">
        <v>905</v>
      </c>
      <c r="H249" s="1" t="s">
        <v>25</v>
      </c>
      <c r="I249" s="1" t="s">
        <v>26</v>
      </c>
      <c r="J249" s="1" t="s">
        <v>906</v>
      </c>
      <c r="K249" s="1" t="s">
        <v>297</v>
      </c>
      <c r="L249" s="1">
        <v>46368</v>
      </c>
      <c r="M249" s="1" t="s">
        <v>29</v>
      </c>
      <c r="N249" s="1" t="s">
        <v>55</v>
      </c>
      <c r="O249" s="1" t="s">
        <v>31</v>
      </c>
      <c r="P249" s="1" t="s">
        <v>56</v>
      </c>
      <c r="Q249" s="1" t="s">
        <v>57</v>
      </c>
      <c r="R249" s="1">
        <v>16.28</v>
      </c>
      <c r="S249" s="1">
        <v>2</v>
      </c>
      <c r="T249" s="1">
        <v>0</v>
      </c>
      <c r="U249" s="1">
        <v>6.5120000000000005</v>
      </c>
    </row>
    <row r="250" spans="1:21" ht="15.75" x14ac:dyDescent="0.25">
      <c r="A250" s="1">
        <v>249</v>
      </c>
      <c r="B250" s="2" t="s">
        <v>907</v>
      </c>
      <c r="C250" s="3">
        <v>45007</v>
      </c>
      <c r="D250" s="3">
        <v>45011</v>
      </c>
      <c r="E250" s="1" t="s">
        <v>22</v>
      </c>
      <c r="F250" s="1" t="s">
        <v>908</v>
      </c>
      <c r="G250" s="1" t="s">
        <v>909</v>
      </c>
      <c r="H250" s="1" t="s">
        <v>25</v>
      </c>
      <c r="I250" s="1" t="s">
        <v>26</v>
      </c>
      <c r="J250" s="1" t="s">
        <v>910</v>
      </c>
      <c r="K250" s="1" t="s">
        <v>611</v>
      </c>
      <c r="L250" s="1">
        <v>27405</v>
      </c>
      <c r="M250" s="1" t="s">
        <v>63</v>
      </c>
      <c r="N250" s="1" t="s">
        <v>911</v>
      </c>
      <c r="O250" s="1" t="s">
        <v>31</v>
      </c>
      <c r="P250" s="1" t="s">
        <v>41</v>
      </c>
      <c r="Q250" s="1" t="s">
        <v>912</v>
      </c>
      <c r="R250" s="1">
        <v>51.465000000000018</v>
      </c>
      <c r="S250" s="1">
        <v>5</v>
      </c>
      <c r="T250" s="1">
        <v>0.7</v>
      </c>
      <c r="U250" s="1">
        <v>-39.456499999999991</v>
      </c>
    </row>
    <row r="251" spans="1:21" ht="15.75" x14ac:dyDescent="0.25">
      <c r="A251" s="1">
        <v>250</v>
      </c>
      <c r="B251" s="2" t="s">
        <v>907</v>
      </c>
      <c r="C251" s="3">
        <v>45007</v>
      </c>
      <c r="D251" s="3">
        <v>45011</v>
      </c>
      <c r="E251" s="1" t="s">
        <v>22</v>
      </c>
      <c r="F251" s="1" t="s">
        <v>908</v>
      </c>
      <c r="G251" s="1" t="s">
        <v>909</v>
      </c>
      <c r="H251" s="1" t="s">
        <v>25</v>
      </c>
      <c r="I251" s="1" t="s">
        <v>26</v>
      </c>
      <c r="J251" s="1" t="s">
        <v>910</v>
      </c>
      <c r="K251" s="1" t="s">
        <v>611</v>
      </c>
      <c r="L251" s="1">
        <v>27405</v>
      </c>
      <c r="M251" s="1" t="s">
        <v>63</v>
      </c>
      <c r="N251" s="1" t="s">
        <v>913</v>
      </c>
      <c r="O251" s="1" t="s">
        <v>31</v>
      </c>
      <c r="P251" s="1" t="s">
        <v>41</v>
      </c>
      <c r="Q251" s="1" t="s">
        <v>914</v>
      </c>
      <c r="R251" s="1">
        <v>7.644000000000001</v>
      </c>
      <c r="S251" s="1">
        <v>4</v>
      </c>
      <c r="T251" s="1">
        <v>0.7</v>
      </c>
      <c r="U251" s="1">
        <v>-5.8603999999999985</v>
      </c>
    </row>
    <row r="252" spans="1:21" ht="15.75" x14ac:dyDescent="0.25">
      <c r="A252" s="1">
        <v>251</v>
      </c>
      <c r="B252" s="2" t="s">
        <v>897</v>
      </c>
      <c r="C252" s="3">
        <v>45007</v>
      </c>
      <c r="D252" s="3">
        <v>45011</v>
      </c>
      <c r="E252" s="1" t="s">
        <v>22</v>
      </c>
      <c r="F252" s="1" t="s">
        <v>898</v>
      </c>
      <c r="G252" s="1" t="s">
        <v>899</v>
      </c>
      <c r="H252" s="1" t="s">
        <v>74</v>
      </c>
      <c r="I252" s="1" t="s">
        <v>26</v>
      </c>
      <c r="J252" s="1" t="s">
        <v>900</v>
      </c>
      <c r="K252" s="1" t="s">
        <v>211</v>
      </c>
      <c r="L252" s="1">
        <v>85705</v>
      </c>
      <c r="M252" s="1" t="s">
        <v>92</v>
      </c>
      <c r="N252" s="1" t="s">
        <v>915</v>
      </c>
      <c r="O252" s="1" t="s">
        <v>31</v>
      </c>
      <c r="P252" s="1" t="s">
        <v>32</v>
      </c>
      <c r="Q252" s="1" t="s">
        <v>916</v>
      </c>
      <c r="R252" s="1">
        <v>74.352000000000004</v>
      </c>
      <c r="S252" s="1">
        <v>3</v>
      </c>
      <c r="T252" s="1">
        <v>0.2</v>
      </c>
      <c r="U252" s="1">
        <v>23.234999999999992</v>
      </c>
    </row>
    <row r="253" spans="1:21" ht="15.75" x14ac:dyDescent="0.25">
      <c r="A253" s="1">
        <v>252</v>
      </c>
      <c r="B253" s="2" t="s">
        <v>917</v>
      </c>
      <c r="C253" s="3">
        <v>45008</v>
      </c>
      <c r="D253" s="3">
        <v>45011</v>
      </c>
      <c r="E253" s="1" t="s">
        <v>71</v>
      </c>
      <c r="F253" s="1" t="s">
        <v>918</v>
      </c>
      <c r="G253" s="1" t="s">
        <v>919</v>
      </c>
      <c r="H253" s="1" t="s">
        <v>25</v>
      </c>
      <c r="I253" s="1" t="s">
        <v>26</v>
      </c>
      <c r="J253" s="1" t="s">
        <v>920</v>
      </c>
      <c r="K253" s="1" t="s">
        <v>273</v>
      </c>
      <c r="L253" s="1">
        <v>33445</v>
      </c>
      <c r="M253" s="1" t="s">
        <v>63</v>
      </c>
      <c r="N253" s="1" t="s">
        <v>921</v>
      </c>
      <c r="O253" s="1" t="s">
        <v>31</v>
      </c>
      <c r="P253" s="1" t="s">
        <v>44</v>
      </c>
      <c r="Q253" s="1" t="s">
        <v>922</v>
      </c>
      <c r="R253" s="1">
        <v>9.9120000000000008</v>
      </c>
      <c r="S253" s="1">
        <v>3</v>
      </c>
      <c r="T253" s="1">
        <v>0.2</v>
      </c>
      <c r="U253" s="1">
        <v>3.2213999999999996</v>
      </c>
    </row>
    <row r="254" spans="1:21" ht="15.75" x14ac:dyDescent="0.25">
      <c r="A254" s="1">
        <v>253</v>
      </c>
      <c r="B254" s="2" t="s">
        <v>923</v>
      </c>
      <c r="C254" s="3">
        <v>45008</v>
      </c>
      <c r="D254" s="3">
        <v>45011</v>
      </c>
      <c r="E254" s="1" t="s">
        <v>87</v>
      </c>
      <c r="F254" s="1" t="s">
        <v>924</v>
      </c>
      <c r="G254" s="1" t="s">
        <v>925</v>
      </c>
      <c r="H254" s="1" t="s">
        <v>25</v>
      </c>
      <c r="I254" s="1" t="s">
        <v>26</v>
      </c>
      <c r="J254" s="1" t="s">
        <v>90</v>
      </c>
      <c r="K254" s="1" t="s">
        <v>91</v>
      </c>
      <c r="L254" s="1">
        <v>90036</v>
      </c>
      <c r="M254" s="1" t="s">
        <v>92</v>
      </c>
      <c r="N254" s="1" t="s">
        <v>926</v>
      </c>
      <c r="O254" s="1" t="s">
        <v>31</v>
      </c>
      <c r="P254" s="1" t="s">
        <v>47</v>
      </c>
      <c r="Q254" s="1" t="s">
        <v>927</v>
      </c>
      <c r="R254" s="1">
        <v>330.4</v>
      </c>
      <c r="S254" s="1">
        <v>2</v>
      </c>
      <c r="T254" s="1">
        <v>0</v>
      </c>
      <c r="U254" s="1">
        <v>85.903999999999996</v>
      </c>
    </row>
    <row r="255" spans="1:21" ht="15.75" x14ac:dyDescent="0.25">
      <c r="A255" s="1">
        <v>254</v>
      </c>
      <c r="B255" s="2" t="s">
        <v>923</v>
      </c>
      <c r="C255" s="3">
        <v>45008</v>
      </c>
      <c r="D255" s="3">
        <v>45011</v>
      </c>
      <c r="E255" s="1" t="s">
        <v>87</v>
      </c>
      <c r="F255" s="1" t="s">
        <v>924</v>
      </c>
      <c r="G255" s="1" t="s">
        <v>925</v>
      </c>
      <c r="H255" s="1" t="s">
        <v>25</v>
      </c>
      <c r="I255" s="1" t="s">
        <v>26</v>
      </c>
      <c r="J255" s="1" t="s">
        <v>90</v>
      </c>
      <c r="K255" s="1" t="s">
        <v>91</v>
      </c>
      <c r="L255" s="1">
        <v>90036</v>
      </c>
      <c r="M255" s="1" t="s">
        <v>92</v>
      </c>
      <c r="N255" s="1" t="s">
        <v>928</v>
      </c>
      <c r="O255" s="1" t="s">
        <v>96</v>
      </c>
      <c r="P255" s="1" t="s">
        <v>97</v>
      </c>
      <c r="Q255" s="1" t="s">
        <v>929</v>
      </c>
      <c r="R255" s="1">
        <v>604.75199999999995</v>
      </c>
      <c r="S255" s="1">
        <v>6</v>
      </c>
      <c r="T255" s="1">
        <v>0.2</v>
      </c>
      <c r="U255" s="1">
        <v>37.797000000000025</v>
      </c>
    </row>
    <row r="256" spans="1:21" ht="15.75" x14ac:dyDescent="0.25">
      <c r="A256" s="1">
        <v>255</v>
      </c>
      <c r="B256" s="2" t="s">
        <v>930</v>
      </c>
      <c r="C256" s="3">
        <v>45009</v>
      </c>
      <c r="D256" s="3">
        <v>45014</v>
      </c>
      <c r="E256" s="1" t="s">
        <v>87</v>
      </c>
      <c r="F256" s="1" t="s">
        <v>931</v>
      </c>
      <c r="G256" s="1" t="s">
        <v>932</v>
      </c>
      <c r="H256" s="1" t="s">
        <v>25</v>
      </c>
      <c r="I256" s="1" t="s">
        <v>26</v>
      </c>
      <c r="J256" s="1" t="s">
        <v>933</v>
      </c>
      <c r="K256" s="1" t="s">
        <v>91</v>
      </c>
      <c r="L256" s="1">
        <v>93727</v>
      </c>
      <c r="M256" s="1" t="s">
        <v>92</v>
      </c>
      <c r="N256" s="1" t="s">
        <v>934</v>
      </c>
      <c r="O256" s="1" t="s">
        <v>65</v>
      </c>
      <c r="P256" s="1" t="s">
        <v>106</v>
      </c>
      <c r="Q256" s="1" t="s">
        <v>935</v>
      </c>
      <c r="R256" s="1">
        <v>40.479999999999997</v>
      </c>
      <c r="S256" s="1">
        <v>2</v>
      </c>
      <c r="T256" s="1">
        <v>0</v>
      </c>
      <c r="U256" s="1">
        <v>14.572799999999997</v>
      </c>
    </row>
    <row r="257" spans="1:21" ht="15.75" x14ac:dyDescent="0.25">
      <c r="A257" s="1">
        <v>256</v>
      </c>
      <c r="B257" s="2" t="s">
        <v>936</v>
      </c>
      <c r="C257" s="3">
        <v>45009</v>
      </c>
      <c r="D257" s="3">
        <v>45013</v>
      </c>
      <c r="E257" s="1" t="s">
        <v>22</v>
      </c>
      <c r="F257" s="1" t="s">
        <v>937</v>
      </c>
      <c r="G257" s="1" t="s">
        <v>938</v>
      </c>
      <c r="H257" s="1" t="s">
        <v>25</v>
      </c>
      <c r="I257" s="1" t="s">
        <v>26</v>
      </c>
      <c r="J257" s="1" t="s">
        <v>348</v>
      </c>
      <c r="K257" s="1" t="s">
        <v>349</v>
      </c>
      <c r="L257" s="1">
        <v>10024</v>
      </c>
      <c r="M257" s="1" t="s">
        <v>54</v>
      </c>
      <c r="N257" s="1" t="s">
        <v>939</v>
      </c>
      <c r="O257" s="1" t="s">
        <v>31</v>
      </c>
      <c r="P257" s="1" t="s">
        <v>32</v>
      </c>
      <c r="Q257" s="1" t="s">
        <v>940</v>
      </c>
      <c r="R257" s="1">
        <v>24.900000000000002</v>
      </c>
      <c r="S257" s="1">
        <v>5</v>
      </c>
      <c r="T257" s="1">
        <v>0</v>
      </c>
      <c r="U257" s="1">
        <v>11.703000000000001</v>
      </c>
    </row>
    <row r="258" spans="1:21" ht="15.75" x14ac:dyDescent="0.25">
      <c r="A258" s="1">
        <v>257</v>
      </c>
      <c r="B258" s="2" t="s">
        <v>941</v>
      </c>
      <c r="C258" s="3">
        <v>45010</v>
      </c>
      <c r="D258" s="3">
        <v>45017</v>
      </c>
      <c r="E258" s="1" t="s">
        <v>22</v>
      </c>
      <c r="F258" s="1" t="s">
        <v>796</v>
      </c>
      <c r="G258" s="1" t="s">
        <v>797</v>
      </c>
      <c r="H258" s="1" t="s">
        <v>25</v>
      </c>
      <c r="I258" s="1" t="s">
        <v>26</v>
      </c>
      <c r="J258" s="1" t="s">
        <v>348</v>
      </c>
      <c r="K258" s="1" t="s">
        <v>349</v>
      </c>
      <c r="L258" s="1">
        <v>10009</v>
      </c>
      <c r="M258" s="1" t="s">
        <v>54</v>
      </c>
      <c r="N258" s="1" t="s">
        <v>942</v>
      </c>
      <c r="O258" s="1" t="s">
        <v>65</v>
      </c>
      <c r="P258" s="1" t="s">
        <v>66</v>
      </c>
      <c r="Q258" s="1" t="s">
        <v>943</v>
      </c>
      <c r="R258" s="1">
        <v>366.786</v>
      </c>
      <c r="S258" s="1">
        <v>7</v>
      </c>
      <c r="T258" s="1">
        <v>0.1</v>
      </c>
      <c r="U258" s="1">
        <v>65.206400000000002</v>
      </c>
    </row>
    <row r="259" spans="1:21" ht="15.75" x14ac:dyDescent="0.25">
      <c r="A259" s="1">
        <v>258</v>
      </c>
      <c r="B259" s="2" t="s">
        <v>944</v>
      </c>
      <c r="C259" s="3">
        <v>45010</v>
      </c>
      <c r="D259" s="3">
        <v>45015</v>
      </c>
      <c r="E259" s="1" t="s">
        <v>22</v>
      </c>
      <c r="F259" s="1" t="s">
        <v>945</v>
      </c>
      <c r="G259" s="1" t="s">
        <v>946</v>
      </c>
      <c r="H259" s="1" t="s">
        <v>25</v>
      </c>
      <c r="I259" s="1" t="s">
        <v>26</v>
      </c>
      <c r="J259" s="1" t="s">
        <v>138</v>
      </c>
      <c r="K259" s="1" t="s">
        <v>91</v>
      </c>
      <c r="L259" s="1">
        <v>94110</v>
      </c>
      <c r="M259" s="1" t="s">
        <v>92</v>
      </c>
      <c r="N259" s="1" t="s">
        <v>947</v>
      </c>
      <c r="O259" s="1" t="s">
        <v>31</v>
      </c>
      <c r="P259" s="1" t="s">
        <v>56</v>
      </c>
      <c r="Q259" s="1" t="s">
        <v>948</v>
      </c>
      <c r="R259" s="1">
        <v>25.44</v>
      </c>
      <c r="S259" s="1">
        <v>6</v>
      </c>
      <c r="T259" s="1">
        <v>0</v>
      </c>
      <c r="U259" s="1">
        <v>9.9215999999999998</v>
      </c>
    </row>
    <row r="260" spans="1:21" ht="15.75" x14ac:dyDescent="0.25">
      <c r="A260" s="1">
        <v>259</v>
      </c>
      <c r="B260" s="2" t="s">
        <v>944</v>
      </c>
      <c r="C260" s="3">
        <v>45010</v>
      </c>
      <c r="D260" s="3">
        <v>45015</v>
      </c>
      <c r="E260" s="1" t="s">
        <v>22</v>
      </c>
      <c r="F260" s="1" t="s">
        <v>945</v>
      </c>
      <c r="G260" s="1" t="s">
        <v>946</v>
      </c>
      <c r="H260" s="1" t="s">
        <v>25</v>
      </c>
      <c r="I260" s="1" t="s">
        <v>26</v>
      </c>
      <c r="J260" s="1" t="s">
        <v>138</v>
      </c>
      <c r="K260" s="1" t="s">
        <v>91</v>
      </c>
      <c r="L260" s="1">
        <v>94110</v>
      </c>
      <c r="M260" s="1" t="s">
        <v>92</v>
      </c>
      <c r="N260" s="1" t="s">
        <v>949</v>
      </c>
      <c r="O260" s="1" t="s">
        <v>31</v>
      </c>
      <c r="P260" s="1" t="s">
        <v>56</v>
      </c>
      <c r="Q260" s="1" t="s">
        <v>950</v>
      </c>
      <c r="R260" s="1">
        <v>14.88</v>
      </c>
      <c r="S260" s="1">
        <v>2</v>
      </c>
      <c r="T260" s="1">
        <v>0</v>
      </c>
      <c r="U260" s="1">
        <v>3.7200000000000006</v>
      </c>
    </row>
    <row r="261" spans="1:21" ht="15.75" x14ac:dyDescent="0.25">
      <c r="A261" s="1">
        <v>260</v>
      </c>
      <c r="B261" s="2" t="s">
        <v>944</v>
      </c>
      <c r="C261" s="3">
        <v>45010</v>
      </c>
      <c r="D261" s="3">
        <v>45015</v>
      </c>
      <c r="E261" s="1" t="s">
        <v>22</v>
      </c>
      <c r="F261" s="1" t="s">
        <v>945</v>
      </c>
      <c r="G261" s="1" t="s">
        <v>946</v>
      </c>
      <c r="H261" s="1" t="s">
        <v>25</v>
      </c>
      <c r="I261" s="1" t="s">
        <v>26</v>
      </c>
      <c r="J261" s="1" t="s">
        <v>138</v>
      </c>
      <c r="K261" s="1" t="s">
        <v>91</v>
      </c>
      <c r="L261" s="1">
        <v>94110</v>
      </c>
      <c r="M261" s="1" t="s">
        <v>92</v>
      </c>
      <c r="N261" s="1" t="s">
        <v>800</v>
      </c>
      <c r="O261" s="1" t="s">
        <v>31</v>
      </c>
      <c r="P261" s="1" t="s">
        <v>56</v>
      </c>
      <c r="Q261" s="1" t="s">
        <v>801</v>
      </c>
      <c r="R261" s="1">
        <v>6.56</v>
      </c>
      <c r="S261" s="1">
        <v>2</v>
      </c>
      <c r="T261" s="1">
        <v>0</v>
      </c>
      <c r="U261" s="1">
        <v>1.9023999999999992</v>
      </c>
    </row>
    <row r="262" spans="1:21" ht="15.75" x14ac:dyDescent="0.25">
      <c r="A262" s="1">
        <v>261</v>
      </c>
      <c r="B262" s="2" t="s">
        <v>944</v>
      </c>
      <c r="C262" s="3">
        <v>45010</v>
      </c>
      <c r="D262" s="3">
        <v>45015</v>
      </c>
      <c r="E262" s="1" t="s">
        <v>22</v>
      </c>
      <c r="F262" s="1" t="s">
        <v>945</v>
      </c>
      <c r="G262" s="1" t="s">
        <v>946</v>
      </c>
      <c r="H262" s="1" t="s">
        <v>25</v>
      </c>
      <c r="I262" s="1" t="s">
        <v>26</v>
      </c>
      <c r="J262" s="1" t="s">
        <v>138</v>
      </c>
      <c r="K262" s="1" t="s">
        <v>91</v>
      </c>
      <c r="L262" s="1">
        <v>94110</v>
      </c>
      <c r="M262" s="1" t="s">
        <v>92</v>
      </c>
      <c r="N262" s="1" t="s">
        <v>951</v>
      </c>
      <c r="O262" s="1" t="s">
        <v>96</v>
      </c>
      <c r="P262" s="1" t="s">
        <v>117</v>
      </c>
      <c r="Q262" s="1" t="s">
        <v>952</v>
      </c>
      <c r="R262" s="1">
        <v>45.48</v>
      </c>
      <c r="S262" s="1">
        <v>4</v>
      </c>
      <c r="T262" s="1">
        <v>0</v>
      </c>
      <c r="U262" s="1">
        <v>15.917999999999999</v>
      </c>
    </row>
    <row r="263" spans="1:21" ht="15.75" x14ac:dyDescent="0.25">
      <c r="A263" s="1">
        <v>262</v>
      </c>
      <c r="B263" s="2" t="s">
        <v>953</v>
      </c>
      <c r="C263" s="3">
        <v>45011</v>
      </c>
      <c r="D263" s="3">
        <v>45016</v>
      </c>
      <c r="E263" s="1" t="s">
        <v>87</v>
      </c>
      <c r="F263" s="1" t="s">
        <v>954</v>
      </c>
      <c r="G263" s="1" t="s">
        <v>955</v>
      </c>
      <c r="H263" s="1" t="s">
        <v>74</v>
      </c>
      <c r="I263" s="1" t="s">
        <v>26</v>
      </c>
      <c r="J263" s="1" t="s">
        <v>138</v>
      </c>
      <c r="K263" s="1" t="s">
        <v>91</v>
      </c>
      <c r="L263" s="1">
        <v>94122</v>
      </c>
      <c r="M263" s="1" t="s">
        <v>92</v>
      </c>
      <c r="N263" s="1" t="s">
        <v>956</v>
      </c>
      <c r="O263" s="1" t="s">
        <v>31</v>
      </c>
      <c r="P263" s="1" t="s">
        <v>56</v>
      </c>
      <c r="Q263" s="1" t="s">
        <v>957</v>
      </c>
      <c r="R263" s="1">
        <v>3.36</v>
      </c>
      <c r="S263" s="1">
        <v>2</v>
      </c>
      <c r="T263" s="1">
        <v>0</v>
      </c>
      <c r="U263" s="1">
        <v>0.83999999999999986</v>
      </c>
    </row>
    <row r="264" spans="1:21" ht="15.75" x14ac:dyDescent="0.25">
      <c r="A264" s="1">
        <v>263</v>
      </c>
      <c r="B264" s="2" t="s">
        <v>953</v>
      </c>
      <c r="C264" s="3">
        <v>45011</v>
      </c>
      <c r="D264" s="3">
        <v>45016</v>
      </c>
      <c r="E264" s="1" t="s">
        <v>87</v>
      </c>
      <c r="F264" s="1" t="s">
        <v>954</v>
      </c>
      <c r="G264" s="1" t="s">
        <v>955</v>
      </c>
      <c r="H264" s="1" t="s">
        <v>74</v>
      </c>
      <c r="I264" s="1" t="s">
        <v>26</v>
      </c>
      <c r="J264" s="1" t="s">
        <v>138</v>
      </c>
      <c r="K264" s="1" t="s">
        <v>91</v>
      </c>
      <c r="L264" s="1">
        <v>94122</v>
      </c>
      <c r="M264" s="1" t="s">
        <v>92</v>
      </c>
      <c r="N264" s="1" t="s">
        <v>448</v>
      </c>
      <c r="O264" s="1" t="s">
        <v>31</v>
      </c>
      <c r="P264" s="1" t="s">
        <v>41</v>
      </c>
      <c r="Q264" s="1" t="s">
        <v>449</v>
      </c>
      <c r="R264" s="1">
        <v>27.936000000000003</v>
      </c>
      <c r="S264" s="1">
        <v>4</v>
      </c>
      <c r="T264" s="1">
        <v>0.2</v>
      </c>
      <c r="U264" s="1">
        <v>9.4283999999999963</v>
      </c>
    </row>
    <row r="265" spans="1:21" ht="15.75" x14ac:dyDescent="0.25">
      <c r="A265" s="1">
        <v>264</v>
      </c>
      <c r="B265" s="2" t="s">
        <v>958</v>
      </c>
      <c r="C265" s="3">
        <v>45011</v>
      </c>
      <c r="D265" s="3">
        <v>45015</v>
      </c>
      <c r="E265" s="1" t="s">
        <v>87</v>
      </c>
      <c r="F265" s="1" t="s">
        <v>959</v>
      </c>
      <c r="G265" s="1" t="s">
        <v>960</v>
      </c>
      <c r="H265" s="1" t="s">
        <v>25</v>
      </c>
      <c r="I265" s="1" t="s">
        <v>26</v>
      </c>
      <c r="J265" s="1" t="s">
        <v>961</v>
      </c>
      <c r="K265" s="1" t="s">
        <v>91</v>
      </c>
      <c r="L265" s="1">
        <v>91767</v>
      </c>
      <c r="M265" s="1" t="s">
        <v>92</v>
      </c>
      <c r="N265" s="1" t="s">
        <v>962</v>
      </c>
      <c r="O265" s="1" t="s">
        <v>31</v>
      </c>
      <c r="P265" s="1" t="s">
        <v>44</v>
      </c>
      <c r="Q265" s="1" t="s">
        <v>963</v>
      </c>
      <c r="R265" s="1">
        <v>18.75</v>
      </c>
      <c r="S265" s="1">
        <v>5</v>
      </c>
      <c r="T265" s="1">
        <v>0</v>
      </c>
      <c r="U265" s="1">
        <v>9</v>
      </c>
    </row>
    <row r="266" spans="1:21" ht="15.75" x14ac:dyDescent="0.25">
      <c r="A266" s="1">
        <v>265</v>
      </c>
      <c r="B266" s="2" t="s">
        <v>964</v>
      </c>
      <c r="C266" s="3">
        <v>45011</v>
      </c>
      <c r="D266" s="3">
        <v>45015</v>
      </c>
      <c r="E266" s="1" t="s">
        <v>22</v>
      </c>
      <c r="F266" s="1" t="s">
        <v>965</v>
      </c>
      <c r="G266" s="1" t="s">
        <v>966</v>
      </c>
      <c r="H266" s="1" t="s">
        <v>74</v>
      </c>
      <c r="I266" s="1" t="s">
        <v>26</v>
      </c>
      <c r="J266" s="1" t="s">
        <v>90</v>
      </c>
      <c r="K266" s="1" t="s">
        <v>91</v>
      </c>
      <c r="L266" s="1">
        <v>90036</v>
      </c>
      <c r="M266" s="1" t="s">
        <v>92</v>
      </c>
      <c r="N266" s="1" t="s">
        <v>967</v>
      </c>
      <c r="O266" s="1" t="s">
        <v>96</v>
      </c>
      <c r="P266" s="1" t="s">
        <v>117</v>
      </c>
      <c r="Q266" s="1" t="s">
        <v>968</v>
      </c>
      <c r="R266" s="1">
        <v>66.300000000000011</v>
      </c>
      <c r="S266" s="1">
        <v>3</v>
      </c>
      <c r="T266" s="1">
        <v>0</v>
      </c>
      <c r="U266" s="1">
        <v>8.6190000000000033</v>
      </c>
    </row>
    <row r="267" spans="1:21" ht="15.75" x14ac:dyDescent="0.25">
      <c r="A267" s="1">
        <v>266</v>
      </c>
      <c r="B267" s="2" t="s">
        <v>953</v>
      </c>
      <c r="C267" s="3">
        <v>45011</v>
      </c>
      <c r="D267" s="3">
        <v>45016</v>
      </c>
      <c r="E267" s="1" t="s">
        <v>87</v>
      </c>
      <c r="F267" s="1" t="s">
        <v>954</v>
      </c>
      <c r="G267" s="1" t="s">
        <v>955</v>
      </c>
      <c r="H267" s="1" t="s">
        <v>74</v>
      </c>
      <c r="I267" s="1" t="s">
        <v>26</v>
      </c>
      <c r="J267" s="1" t="s">
        <v>138</v>
      </c>
      <c r="K267" s="1" t="s">
        <v>91</v>
      </c>
      <c r="L267" s="1">
        <v>94122</v>
      </c>
      <c r="M267" s="1" t="s">
        <v>92</v>
      </c>
      <c r="N267" s="1" t="s">
        <v>969</v>
      </c>
      <c r="O267" s="1" t="s">
        <v>96</v>
      </c>
      <c r="P267" s="1" t="s">
        <v>97</v>
      </c>
      <c r="Q267" s="1" t="s">
        <v>970</v>
      </c>
      <c r="R267" s="1">
        <v>28.783999999999999</v>
      </c>
      <c r="S267" s="1">
        <v>2</v>
      </c>
      <c r="T267" s="1">
        <v>0.2</v>
      </c>
      <c r="U267" s="1">
        <v>2.878400000000001</v>
      </c>
    </row>
    <row r="268" spans="1:21" ht="15.75" x14ac:dyDescent="0.25">
      <c r="A268" s="1">
        <v>267</v>
      </c>
      <c r="B268" s="2" t="s">
        <v>971</v>
      </c>
      <c r="C268" s="3">
        <v>45013</v>
      </c>
      <c r="D268" s="3">
        <v>45019</v>
      </c>
      <c r="E268" s="1" t="s">
        <v>22</v>
      </c>
      <c r="F268" s="1" t="s">
        <v>972</v>
      </c>
      <c r="G268" s="1" t="s">
        <v>973</v>
      </c>
      <c r="H268" s="1" t="s">
        <v>37</v>
      </c>
      <c r="I268" s="1" t="s">
        <v>26</v>
      </c>
      <c r="J268" s="1" t="s">
        <v>122</v>
      </c>
      <c r="K268" s="1" t="s">
        <v>155</v>
      </c>
      <c r="L268" s="1">
        <v>45503</v>
      </c>
      <c r="M268" s="1" t="s">
        <v>54</v>
      </c>
      <c r="N268" s="1" t="s">
        <v>974</v>
      </c>
      <c r="O268" s="1" t="s">
        <v>65</v>
      </c>
      <c r="P268" s="1" t="s">
        <v>339</v>
      </c>
      <c r="Q268" s="1" t="s">
        <v>975</v>
      </c>
      <c r="R268" s="1">
        <v>330.58800000000002</v>
      </c>
      <c r="S268" s="1">
        <v>1</v>
      </c>
      <c r="T268" s="1">
        <v>0.4</v>
      </c>
      <c r="U268" s="1">
        <v>-143.25480000000002</v>
      </c>
    </row>
    <row r="269" spans="1:21" ht="15.75" x14ac:dyDescent="0.25">
      <c r="A269" s="1">
        <v>268</v>
      </c>
      <c r="B269" s="2" t="s">
        <v>976</v>
      </c>
      <c r="C269" s="3">
        <v>45013</v>
      </c>
      <c r="D269" s="3">
        <v>45018</v>
      </c>
      <c r="E269" s="1" t="s">
        <v>22</v>
      </c>
      <c r="F269" s="1" t="s">
        <v>977</v>
      </c>
      <c r="G269" s="1" t="s">
        <v>978</v>
      </c>
      <c r="H269" s="1" t="s">
        <v>25</v>
      </c>
      <c r="I269" s="1" t="s">
        <v>26</v>
      </c>
      <c r="J269" s="1" t="s">
        <v>663</v>
      </c>
      <c r="K269" s="1" t="s">
        <v>979</v>
      </c>
      <c r="L269" s="1">
        <v>50315</v>
      </c>
      <c r="M269" s="1" t="s">
        <v>29</v>
      </c>
      <c r="N269" s="1" t="s">
        <v>980</v>
      </c>
      <c r="O269" s="1" t="s">
        <v>65</v>
      </c>
      <c r="P269" s="1" t="s">
        <v>339</v>
      </c>
      <c r="Q269" s="1" t="s">
        <v>981</v>
      </c>
      <c r="R269" s="1">
        <v>1184.72</v>
      </c>
      <c r="S269" s="1">
        <v>4</v>
      </c>
      <c r="T269" s="1">
        <v>0</v>
      </c>
      <c r="U269" s="1">
        <v>106.62480000000005</v>
      </c>
    </row>
    <row r="270" spans="1:21" ht="15.75" x14ac:dyDescent="0.25">
      <c r="A270" s="1">
        <v>269</v>
      </c>
      <c r="B270" s="2" t="s">
        <v>976</v>
      </c>
      <c r="C270" s="3">
        <v>45013</v>
      </c>
      <c r="D270" s="3">
        <v>45018</v>
      </c>
      <c r="E270" s="1" t="s">
        <v>22</v>
      </c>
      <c r="F270" s="1" t="s">
        <v>977</v>
      </c>
      <c r="G270" s="1" t="s">
        <v>978</v>
      </c>
      <c r="H270" s="1" t="s">
        <v>25</v>
      </c>
      <c r="I270" s="1" t="s">
        <v>26</v>
      </c>
      <c r="J270" s="1" t="s">
        <v>663</v>
      </c>
      <c r="K270" s="1" t="s">
        <v>979</v>
      </c>
      <c r="L270" s="1">
        <v>50315</v>
      </c>
      <c r="M270" s="1" t="s">
        <v>29</v>
      </c>
      <c r="N270" s="1" t="s">
        <v>982</v>
      </c>
      <c r="O270" s="1" t="s">
        <v>31</v>
      </c>
      <c r="P270" s="1" t="s">
        <v>166</v>
      </c>
      <c r="Q270" s="1" t="s">
        <v>983</v>
      </c>
      <c r="R270" s="1">
        <v>6.12</v>
      </c>
      <c r="S270" s="1">
        <v>3</v>
      </c>
      <c r="T270" s="1">
        <v>0</v>
      </c>
      <c r="U270" s="1">
        <v>2.8763999999999994</v>
      </c>
    </row>
    <row r="271" spans="1:21" ht="15.75" x14ac:dyDescent="0.25">
      <c r="A271" s="1">
        <v>270</v>
      </c>
      <c r="B271" s="2" t="s">
        <v>984</v>
      </c>
      <c r="C271" s="3">
        <v>45013</v>
      </c>
      <c r="D271" s="3">
        <v>45017</v>
      </c>
      <c r="E271" s="1" t="s">
        <v>22</v>
      </c>
      <c r="F271" s="1" t="s">
        <v>985</v>
      </c>
      <c r="G271" s="1" t="s">
        <v>986</v>
      </c>
      <c r="H271" s="1" t="s">
        <v>37</v>
      </c>
      <c r="I271" s="1" t="s">
        <v>26</v>
      </c>
      <c r="J271" s="1" t="s">
        <v>987</v>
      </c>
      <c r="K271" s="1" t="s">
        <v>988</v>
      </c>
      <c r="L271" s="1">
        <v>87105</v>
      </c>
      <c r="M271" s="1" t="s">
        <v>92</v>
      </c>
      <c r="N271" s="1" t="s">
        <v>989</v>
      </c>
      <c r="O271" s="1" t="s">
        <v>96</v>
      </c>
      <c r="P271" s="1" t="s">
        <v>97</v>
      </c>
      <c r="Q271" s="1" t="s">
        <v>990</v>
      </c>
      <c r="R271" s="1">
        <v>302.37599999999998</v>
      </c>
      <c r="S271" s="1">
        <v>3</v>
      </c>
      <c r="T271" s="1">
        <v>0.2</v>
      </c>
      <c r="U271" s="1">
        <v>22.678200000000018</v>
      </c>
    </row>
    <row r="272" spans="1:21" ht="15.75" x14ac:dyDescent="0.25">
      <c r="A272" s="1">
        <v>271</v>
      </c>
      <c r="B272" s="2" t="s">
        <v>991</v>
      </c>
      <c r="C272" s="3">
        <v>45014</v>
      </c>
      <c r="D272" s="3">
        <v>45018</v>
      </c>
      <c r="E272" s="1" t="s">
        <v>22</v>
      </c>
      <c r="F272" s="1" t="s">
        <v>992</v>
      </c>
      <c r="G272" s="1" t="s">
        <v>993</v>
      </c>
      <c r="H272" s="1" t="s">
        <v>25</v>
      </c>
      <c r="I272" s="1" t="s">
        <v>26</v>
      </c>
      <c r="J272" s="1" t="s">
        <v>994</v>
      </c>
      <c r="K272" s="1" t="s">
        <v>28</v>
      </c>
      <c r="L272" s="1">
        <v>75023</v>
      </c>
      <c r="M272" s="1" t="s">
        <v>29</v>
      </c>
      <c r="N272" s="1" t="s">
        <v>995</v>
      </c>
      <c r="O272" s="1" t="s">
        <v>65</v>
      </c>
      <c r="P272" s="1" t="s">
        <v>339</v>
      </c>
      <c r="Q272" s="1" t="s">
        <v>996</v>
      </c>
      <c r="R272" s="1">
        <v>890.84099999999989</v>
      </c>
      <c r="S272" s="1">
        <v>3</v>
      </c>
      <c r="T272" s="1">
        <v>0.3</v>
      </c>
      <c r="U272" s="1">
        <v>-152.71559999999999</v>
      </c>
    </row>
    <row r="273" spans="1:21" ht="15.75" x14ac:dyDescent="0.25">
      <c r="A273" s="1">
        <v>272</v>
      </c>
      <c r="B273" s="2" t="s">
        <v>997</v>
      </c>
      <c r="C273" s="3">
        <v>45015</v>
      </c>
      <c r="D273" s="3">
        <v>45020</v>
      </c>
      <c r="E273" s="1" t="s">
        <v>22</v>
      </c>
      <c r="F273" s="1" t="s">
        <v>435</v>
      </c>
      <c r="G273" s="1" t="s">
        <v>436</v>
      </c>
      <c r="H273" s="1" t="s">
        <v>25</v>
      </c>
      <c r="I273" s="1" t="s">
        <v>26</v>
      </c>
      <c r="J273" s="1" t="s">
        <v>138</v>
      </c>
      <c r="K273" s="1" t="s">
        <v>91</v>
      </c>
      <c r="L273" s="1">
        <v>94110</v>
      </c>
      <c r="M273" s="1" t="s">
        <v>92</v>
      </c>
      <c r="N273" s="1" t="s">
        <v>998</v>
      </c>
      <c r="O273" s="1" t="s">
        <v>65</v>
      </c>
      <c r="P273" s="1" t="s">
        <v>140</v>
      </c>
      <c r="Q273" s="1" t="s">
        <v>999</v>
      </c>
      <c r="R273" s="1">
        <v>205.666</v>
      </c>
      <c r="S273" s="1">
        <v>2</v>
      </c>
      <c r="T273" s="1">
        <v>0.15</v>
      </c>
      <c r="U273" s="1">
        <v>-12.097999999999999</v>
      </c>
    </row>
    <row r="274" spans="1:21" ht="15.75" x14ac:dyDescent="0.25">
      <c r="A274" s="1">
        <v>273</v>
      </c>
      <c r="B274" s="2" t="s">
        <v>1000</v>
      </c>
      <c r="C274" s="3">
        <v>45015</v>
      </c>
      <c r="D274" s="3">
        <v>45017</v>
      </c>
      <c r="E274" s="1" t="s">
        <v>71</v>
      </c>
      <c r="F274" s="1" t="s">
        <v>1001</v>
      </c>
      <c r="G274" s="1" t="s">
        <v>1002</v>
      </c>
      <c r="H274" s="1" t="s">
        <v>37</v>
      </c>
      <c r="I274" s="1" t="s">
        <v>26</v>
      </c>
      <c r="J274" s="1" t="s">
        <v>1003</v>
      </c>
      <c r="K274" s="1" t="s">
        <v>28</v>
      </c>
      <c r="L274" s="1">
        <v>78521</v>
      </c>
      <c r="M274" s="1" t="s">
        <v>29</v>
      </c>
      <c r="N274" s="1" t="s">
        <v>1004</v>
      </c>
      <c r="O274" s="1" t="s">
        <v>65</v>
      </c>
      <c r="P274" s="1" t="s">
        <v>66</v>
      </c>
      <c r="Q274" s="1" t="s">
        <v>1005</v>
      </c>
      <c r="R274" s="1">
        <v>127.30199999999999</v>
      </c>
      <c r="S274" s="1">
        <v>7</v>
      </c>
      <c r="T274" s="1">
        <v>0.3</v>
      </c>
      <c r="U274" s="1">
        <v>-9.0929999999999964</v>
      </c>
    </row>
    <row r="275" spans="1:21" ht="15.75" x14ac:dyDescent="0.25">
      <c r="A275" s="1">
        <v>274</v>
      </c>
      <c r="B275" s="2" t="s">
        <v>1006</v>
      </c>
      <c r="C275" s="3">
        <v>45015</v>
      </c>
      <c r="D275" s="3">
        <v>45016</v>
      </c>
      <c r="E275" s="1" t="s">
        <v>71</v>
      </c>
      <c r="F275" s="1" t="s">
        <v>1007</v>
      </c>
      <c r="G275" s="1" t="s">
        <v>1008</v>
      </c>
      <c r="H275" s="1" t="s">
        <v>74</v>
      </c>
      <c r="I275" s="1" t="s">
        <v>26</v>
      </c>
      <c r="J275" s="1" t="s">
        <v>348</v>
      </c>
      <c r="K275" s="1" t="s">
        <v>349</v>
      </c>
      <c r="L275" s="1">
        <v>10009</v>
      </c>
      <c r="M275" s="1" t="s">
        <v>54</v>
      </c>
      <c r="N275" s="1" t="s">
        <v>1009</v>
      </c>
      <c r="O275" s="1" t="s">
        <v>31</v>
      </c>
      <c r="P275" s="1" t="s">
        <v>56</v>
      </c>
      <c r="Q275" s="1" t="s">
        <v>1010</v>
      </c>
      <c r="R275" s="1">
        <v>10.5</v>
      </c>
      <c r="S275" s="1">
        <v>5</v>
      </c>
      <c r="T275" s="1">
        <v>0</v>
      </c>
      <c r="U275" s="1">
        <v>2.9400000000000004</v>
      </c>
    </row>
    <row r="276" spans="1:21" ht="15.75" x14ac:dyDescent="0.25">
      <c r="A276" s="1">
        <v>275</v>
      </c>
      <c r="B276" s="2" t="s">
        <v>1011</v>
      </c>
      <c r="C276" s="3">
        <v>45015</v>
      </c>
      <c r="D276" s="3">
        <v>45019</v>
      </c>
      <c r="E276" s="1" t="s">
        <v>22</v>
      </c>
      <c r="F276" s="1" t="s">
        <v>1012</v>
      </c>
      <c r="G276" s="1" t="s">
        <v>1013</v>
      </c>
      <c r="H276" s="1" t="s">
        <v>25</v>
      </c>
      <c r="I276" s="1" t="s">
        <v>26</v>
      </c>
      <c r="J276" s="1" t="s">
        <v>1014</v>
      </c>
      <c r="K276" s="1" t="s">
        <v>349</v>
      </c>
      <c r="L276" s="1">
        <v>11561</v>
      </c>
      <c r="M276" s="1" t="s">
        <v>54</v>
      </c>
      <c r="N276" s="1" t="s">
        <v>1015</v>
      </c>
      <c r="O276" s="1" t="s">
        <v>31</v>
      </c>
      <c r="P276" s="1" t="s">
        <v>56</v>
      </c>
      <c r="Q276" s="1" t="s">
        <v>1016</v>
      </c>
      <c r="R276" s="1">
        <v>49.65</v>
      </c>
      <c r="S276" s="1">
        <v>5</v>
      </c>
      <c r="T276" s="1">
        <v>0</v>
      </c>
      <c r="U276" s="1">
        <v>20.853000000000002</v>
      </c>
    </row>
    <row r="277" spans="1:21" ht="15.75" x14ac:dyDescent="0.25">
      <c r="A277" s="1">
        <v>276</v>
      </c>
      <c r="B277" s="2" t="s">
        <v>1000</v>
      </c>
      <c r="C277" s="3">
        <v>45015</v>
      </c>
      <c r="D277" s="3">
        <v>45017</v>
      </c>
      <c r="E277" s="1" t="s">
        <v>71</v>
      </c>
      <c r="F277" s="1" t="s">
        <v>1001</v>
      </c>
      <c r="G277" s="1" t="s">
        <v>1002</v>
      </c>
      <c r="H277" s="1" t="s">
        <v>37</v>
      </c>
      <c r="I277" s="1" t="s">
        <v>26</v>
      </c>
      <c r="J277" s="1" t="s">
        <v>1003</v>
      </c>
      <c r="K277" s="1" t="s">
        <v>28</v>
      </c>
      <c r="L277" s="1">
        <v>78521</v>
      </c>
      <c r="M277" s="1" t="s">
        <v>29</v>
      </c>
      <c r="N277" s="1" t="s">
        <v>1017</v>
      </c>
      <c r="O277" s="1" t="s">
        <v>31</v>
      </c>
      <c r="P277" s="1" t="s">
        <v>166</v>
      </c>
      <c r="Q277" s="1" t="s">
        <v>1018</v>
      </c>
      <c r="R277" s="1">
        <v>335.72</v>
      </c>
      <c r="S277" s="1">
        <v>5</v>
      </c>
      <c r="T277" s="1">
        <v>0.2</v>
      </c>
      <c r="U277" s="1">
        <v>113.30549999999999</v>
      </c>
    </row>
    <row r="278" spans="1:21" ht="15.75" x14ac:dyDescent="0.25">
      <c r="A278" s="1">
        <v>277</v>
      </c>
      <c r="B278" s="2" t="s">
        <v>1019</v>
      </c>
      <c r="C278" s="3">
        <v>45015</v>
      </c>
      <c r="D278" s="3">
        <v>45020</v>
      </c>
      <c r="E278" s="1" t="s">
        <v>22</v>
      </c>
      <c r="F278" s="1" t="s">
        <v>1020</v>
      </c>
      <c r="G278" s="1" t="s">
        <v>1021</v>
      </c>
      <c r="H278" s="1" t="s">
        <v>74</v>
      </c>
      <c r="I278" s="1" t="s">
        <v>26</v>
      </c>
      <c r="J278" s="1" t="s">
        <v>387</v>
      </c>
      <c r="K278" s="1" t="s">
        <v>388</v>
      </c>
      <c r="L278" s="1">
        <v>98105</v>
      </c>
      <c r="M278" s="1" t="s">
        <v>92</v>
      </c>
      <c r="N278" s="1" t="s">
        <v>1022</v>
      </c>
      <c r="O278" s="1" t="s">
        <v>31</v>
      </c>
      <c r="P278" s="1" t="s">
        <v>44</v>
      </c>
      <c r="Q278" s="1" t="s">
        <v>1023</v>
      </c>
      <c r="R278" s="1">
        <v>44.400000000000006</v>
      </c>
      <c r="S278" s="1">
        <v>3</v>
      </c>
      <c r="T278" s="1">
        <v>0</v>
      </c>
      <c r="U278" s="1">
        <v>22.200000000000003</v>
      </c>
    </row>
    <row r="279" spans="1:21" ht="15.75" x14ac:dyDescent="0.25">
      <c r="A279" s="1">
        <v>278</v>
      </c>
      <c r="B279" s="2" t="s">
        <v>1024</v>
      </c>
      <c r="C279" s="3">
        <v>45015</v>
      </c>
      <c r="D279" s="3">
        <v>45021</v>
      </c>
      <c r="E279" s="1" t="s">
        <v>22</v>
      </c>
      <c r="F279" s="1" t="s">
        <v>1025</v>
      </c>
      <c r="G279" s="1" t="s">
        <v>1026</v>
      </c>
      <c r="H279" s="1" t="s">
        <v>25</v>
      </c>
      <c r="I279" s="1" t="s">
        <v>26</v>
      </c>
      <c r="J279" s="1" t="s">
        <v>1027</v>
      </c>
      <c r="K279" s="1" t="s">
        <v>787</v>
      </c>
      <c r="L279" s="1">
        <v>55124</v>
      </c>
      <c r="M279" s="1" t="s">
        <v>29</v>
      </c>
      <c r="N279" s="1" t="s">
        <v>1028</v>
      </c>
      <c r="O279" s="1" t="s">
        <v>31</v>
      </c>
      <c r="P279" s="1" t="s">
        <v>47</v>
      </c>
      <c r="Q279" s="1" t="s">
        <v>1029</v>
      </c>
      <c r="R279" s="1">
        <v>129.30000000000001</v>
      </c>
      <c r="S279" s="1">
        <v>2</v>
      </c>
      <c r="T279" s="1">
        <v>0</v>
      </c>
      <c r="U279" s="1">
        <v>6.4649999999999892</v>
      </c>
    </row>
    <row r="280" spans="1:21" ht="15.75" x14ac:dyDescent="0.25">
      <c r="A280" s="1">
        <v>279</v>
      </c>
      <c r="B280" s="2" t="s">
        <v>1019</v>
      </c>
      <c r="C280" s="3">
        <v>45015</v>
      </c>
      <c r="D280" s="3">
        <v>45020</v>
      </c>
      <c r="E280" s="1" t="s">
        <v>22</v>
      </c>
      <c r="F280" s="1" t="s">
        <v>1020</v>
      </c>
      <c r="G280" s="1" t="s">
        <v>1021</v>
      </c>
      <c r="H280" s="1" t="s">
        <v>74</v>
      </c>
      <c r="I280" s="1" t="s">
        <v>26</v>
      </c>
      <c r="J280" s="1" t="s">
        <v>387</v>
      </c>
      <c r="K280" s="1" t="s">
        <v>388</v>
      </c>
      <c r="L280" s="1">
        <v>98105</v>
      </c>
      <c r="M280" s="1" t="s">
        <v>92</v>
      </c>
      <c r="N280" s="1" t="s">
        <v>1030</v>
      </c>
      <c r="O280" s="1" t="s">
        <v>31</v>
      </c>
      <c r="P280" s="1" t="s">
        <v>47</v>
      </c>
      <c r="Q280" s="1" t="s">
        <v>1031</v>
      </c>
      <c r="R280" s="1">
        <v>15.84</v>
      </c>
      <c r="S280" s="1">
        <v>3</v>
      </c>
      <c r="T280" s="1">
        <v>0</v>
      </c>
      <c r="U280" s="1">
        <v>0</v>
      </c>
    </row>
    <row r="281" spans="1:21" ht="15.75" x14ac:dyDescent="0.25">
      <c r="A281" s="1">
        <v>280</v>
      </c>
      <c r="B281" s="2" t="s">
        <v>1000</v>
      </c>
      <c r="C281" s="3">
        <v>45015</v>
      </c>
      <c r="D281" s="3">
        <v>45017</v>
      </c>
      <c r="E281" s="1" t="s">
        <v>71</v>
      </c>
      <c r="F281" s="1" t="s">
        <v>1001</v>
      </c>
      <c r="G281" s="1" t="s">
        <v>1002</v>
      </c>
      <c r="H281" s="1" t="s">
        <v>37</v>
      </c>
      <c r="I281" s="1" t="s">
        <v>26</v>
      </c>
      <c r="J281" s="1" t="s">
        <v>1003</v>
      </c>
      <c r="K281" s="1" t="s">
        <v>28</v>
      </c>
      <c r="L281" s="1">
        <v>78521</v>
      </c>
      <c r="M281" s="1" t="s">
        <v>29</v>
      </c>
      <c r="N281" s="1" t="s">
        <v>1032</v>
      </c>
      <c r="O281" s="1" t="s">
        <v>96</v>
      </c>
      <c r="P281" s="1" t="s">
        <v>97</v>
      </c>
      <c r="Q281" s="1" t="s">
        <v>1033</v>
      </c>
      <c r="R281" s="1">
        <v>251.94400000000002</v>
      </c>
      <c r="S281" s="1">
        <v>7</v>
      </c>
      <c r="T281" s="1">
        <v>0.2</v>
      </c>
      <c r="U281" s="1">
        <v>88.180399999999977</v>
      </c>
    </row>
    <row r="282" spans="1:21" ht="15.75" x14ac:dyDescent="0.25">
      <c r="A282" s="1">
        <v>281</v>
      </c>
      <c r="B282" s="2" t="s">
        <v>1034</v>
      </c>
      <c r="C282" s="3">
        <v>45016</v>
      </c>
      <c r="D282" s="3">
        <v>45016</v>
      </c>
      <c r="E282" s="1" t="s">
        <v>497</v>
      </c>
      <c r="F282" s="1" t="s">
        <v>1035</v>
      </c>
      <c r="G282" s="1" t="s">
        <v>1036</v>
      </c>
      <c r="H282" s="1" t="s">
        <v>25</v>
      </c>
      <c r="I282" s="1" t="s">
        <v>26</v>
      </c>
      <c r="J282" s="1" t="s">
        <v>759</v>
      </c>
      <c r="K282" s="1" t="s">
        <v>273</v>
      </c>
      <c r="L282" s="1">
        <v>33614</v>
      </c>
      <c r="M282" s="1" t="s">
        <v>63</v>
      </c>
      <c r="N282" s="1" t="s">
        <v>1037</v>
      </c>
      <c r="O282" s="1" t="s">
        <v>65</v>
      </c>
      <c r="P282" s="1" t="s">
        <v>66</v>
      </c>
      <c r="Q282" s="1" t="s">
        <v>1038</v>
      </c>
      <c r="R282" s="1">
        <v>1125.4879999999998</v>
      </c>
      <c r="S282" s="1">
        <v>7</v>
      </c>
      <c r="T282" s="1">
        <v>0.2</v>
      </c>
      <c r="U282" s="1">
        <v>98.480200000000082</v>
      </c>
    </row>
    <row r="283" spans="1:21" ht="15.75" x14ac:dyDescent="0.25">
      <c r="A283" s="1">
        <v>282</v>
      </c>
      <c r="B283" s="2" t="s">
        <v>1039</v>
      </c>
      <c r="C283" s="3">
        <v>45016</v>
      </c>
      <c r="D283" s="3">
        <v>45021</v>
      </c>
      <c r="E283" s="1" t="s">
        <v>22</v>
      </c>
      <c r="F283" s="1" t="s">
        <v>1040</v>
      </c>
      <c r="G283" s="1" t="s">
        <v>1041</v>
      </c>
      <c r="H283" s="1" t="s">
        <v>25</v>
      </c>
      <c r="I283" s="1" t="s">
        <v>26</v>
      </c>
      <c r="J283" s="1" t="s">
        <v>138</v>
      </c>
      <c r="K283" s="1" t="s">
        <v>91</v>
      </c>
      <c r="L283" s="1">
        <v>94122</v>
      </c>
      <c r="M283" s="1" t="s">
        <v>92</v>
      </c>
      <c r="N283" s="1" t="s">
        <v>1042</v>
      </c>
      <c r="O283" s="1" t="s">
        <v>31</v>
      </c>
      <c r="P283" s="1" t="s">
        <v>205</v>
      </c>
      <c r="Q283" s="1" t="s">
        <v>1043</v>
      </c>
      <c r="R283" s="1">
        <v>52.98</v>
      </c>
      <c r="S283" s="1">
        <v>2</v>
      </c>
      <c r="T283" s="1">
        <v>0</v>
      </c>
      <c r="U283" s="1">
        <v>14.834400000000002</v>
      </c>
    </row>
    <row r="284" spans="1:21" ht="15.75" x14ac:dyDescent="0.25">
      <c r="A284" s="1">
        <v>283</v>
      </c>
      <c r="B284" s="2" t="s">
        <v>1034</v>
      </c>
      <c r="C284" s="3">
        <v>45016</v>
      </c>
      <c r="D284" s="3">
        <v>45016</v>
      </c>
      <c r="E284" s="1" t="s">
        <v>497</v>
      </c>
      <c r="F284" s="1" t="s">
        <v>1035</v>
      </c>
      <c r="G284" s="1" t="s">
        <v>1036</v>
      </c>
      <c r="H284" s="1" t="s">
        <v>25</v>
      </c>
      <c r="I284" s="1" t="s">
        <v>26</v>
      </c>
      <c r="J284" s="1" t="s">
        <v>759</v>
      </c>
      <c r="K284" s="1" t="s">
        <v>273</v>
      </c>
      <c r="L284" s="1">
        <v>33614</v>
      </c>
      <c r="M284" s="1" t="s">
        <v>63</v>
      </c>
      <c r="N284" s="1" t="s">
        <v>877</v>
      </c>
      <c r="O284" s="1" t="s">
        <v>31</v>
      </c>
      <c r="P284" s="1" t="s">
        <v>56</v>
      </c>
      <c r="Q284" s="1" t="s">
        <v>878</v>
      </c>
      <c r="R284" s="1">
        <v>4.032</v>
      </c>
      <c r="S284" s="1">
        <v>2</v>
      </c>
      <c r="T284" s="1">
        <v>0.2</v>
      </c>
      <c r="U284" s="1">
        <v>1.0584000000000002</v>
      </c>
    </row>
    <row r="285" spans="1:21" ht="15.75" x14ac:dyDescent="0.25">
      <c r="A285" s="1">
        <v>284</v>
      </c>
      <c r="B285" s="2" t="s">
        <v>1044</v>
      </c>
      <c r="C285" s="3">
        <v>45016</v>
      </c>
      <c r="D285" s="3">
        <v>45020</v>
      </c>
      <c r="E285" s="1" t="s">
        <v>22</v>
      </c>
      <c r="F285" s="1" t="s">
        <v>1045</v>
      </c>
      <c r="G285" s="1" t="s">
        <v>1046</v>
      </c>
      <c r="H285" s="1" t="s">
        <v>74</v>
      </c>
      <c r="I285" s="1" t="s">
        <v>26</v>
      </c>
      <c r="J285" s="1" t="s">
        <v>272</v>
      </c>
      <c r="K285" s="1" t="s">
        <v>273</v>
      </c>
      <c r="L285" s="1">
        <v>33180</v>
      </c>
      <c r="M285" s="1" t="s">
        <v>63</v>
      </c>
      <c r="N285" s="1" t="s">
        <v>1047</v>
      </c>
      <c r="O285" s="1" t="s">
        <v>31</v>
      </c>
      <c r="P285" s="1" t="s">
        <v>41</v>
      </c>
      <c r="Q285" s="1" t="s">
        <v>1048</v>
      </c>
      <c r="R285" s="1">
        <v>1.8690000000000004</v>
      </c>
      <c r="S285" s="1">
        <v>1</v>
      </c>
      <c r="T285" s="1">
        <v>0.7</v>
      </c>
      <c r="U285" s="1">
        <v>-1.3082999999999996</v>
      </c>
    </row>
    <row r="286" spans="1:21" ht="15.75" x14ac:dyDescent="0.25">
      <c r="A286" s="1">
        <v>285</v>
      </c>
      <c r="B286" s="2" t="s">
        <v>1034</v>
      </c>
      <c r="C286" s="3">
        <v>45016</v>
      </c>
      <c r="D286" s="3">
        <v>45016</v>
      </c>
      <c r="E286" s="1" t="s">
        <v>497</v>
      </c>
      <c r="F286" s="1" t="s">
        <v>1035</v>
      </c>
      <c r="G286" s="1" t="s">
        <v>1036</v>
      </c>
      <c r="H286" s="1" t="s">
        <v>25</v>
      </c>
      <c r="I286" s="1" t="s">
        <v>26</v>
      </c>
      <c r="J286" s="1" t="s">
        <v>759</v>
      </c>
      <c r="K286" s="1" t="s">
        <v>273</v>
      </c>
      <c r="L286" s="1">
        <v>33614</v>
      </c>
      <c r="M286" s="1" t="s">
        <v>63</v>
      </c>
      <c r="N286" s="1" t="s">
        <v>1049</v>
      </c>
      <c r="O286" s="1" t="s">
        <v>31</v>
      </c>
      <c r="P286" s="1" t="s">
        <v>41</v>
      </c>
      <c r="Q286" s="1" t="s">
        <v>1050</v>
      </c>
      <c r="R286" s="1">
        <v>12.645000000000001</v>
      </c>
      <c r="S286" s="1">
        <v>5</v>
      </c>
      <c r="T286" s="1">
        <v>0.7</v>
      </c>
      <c r="U286" s="1">
        <v>-10.116</v>
      </c>
    </row>
    <row r="287" spans="1:21" ht="15.75" x14ac:dyDescent="0.25">
      <c r="A287" s="1">
        <v>286</v>
      </c>
      <c r="B287" s="2" t="s">
        <v>1051</v>
      </c>
      <c r="C287" s="3">
        <v>45016</v>
      </c>
      <c r="D287" s="3">
        <v>45020</v>
      </c>
      <c r="E287" s="1" t="s">
        <v>22</v>
      </c>
      <c r="F287" s="1" t="s">
        <v>1052</v>
      </c>
      <c r="G287" s="1" t="s">
        <v>1053</v>
      </c>
      <c r="H287" s="1" t="s">
        <v>25</v>
      </c>
      <c r="I287" s="1" t="s">
        <v>26</v>
      </c>
      <c r="J287" s="1" t="s">
        <v>493</v>
      </c>
      <c r="K287" s="1" t="s">
        <v>39</v>
      </c>
      <c r="L287" s="1">
        <v>60610</v>
      </c>
      <c r="M287" s="1" t="s">
        <v>29</v>
      </c>
      <c r="N287" s="1" t="s">
        <v>1054</v>
      </c>
      <c r="O287" s="1" t="s">
        <v>31</v>
      </c>
      <c r="P287" s="1" t="s">
        <v>41</v>
      </c>
      <c r="Q287" s="1" t="s">
        <v>1055</v>
      </c>
      <c r="R287" s="1">
        <v>8.1339999999999986</v>
      </c>
      <c r="S287" s="1">
        <v>7</v>
      </c>
      <c r="T287" s="1">
        <v>0.8</v>
      </c>
      <c r="U287" s="1">
        <v>-13.827800000000003</v>
      </c>
    </row>
    <row r="288" spans="1:21" ht="15.75" x14ac:dyDescent="0.25">
      <c r="A288" s="1">
        <v>287</v>
      </c>
      <c r="B288" s="2" t="s">
        <v>1056</v>
      </c>
      <c r="C288" s="3">
        <v>45016</v>
      </c>
      <c r="D288" s="3">
        <v>45016</v>
      </c>
      <c r="E288" s="1" t="s">
        <v>497</v>
      </c>
      <c r="F288" s="1" t="s">
        <v>1057</v>
      </c>
      <c r="G288" s="1" t="s">
        <v>1058</v>
      </c>
      <c r="H288" s="1" t="s">
        <v>25</v>
      </c>
      <c r="I288" s="1" t="s">
        <v>26</v>
      </c>
      <c r="J288" s="1" t="s">
        <v>52</v>
      </c>
      <c r="K288" s="1" t="s">
        <v>53</v>
      </c>
      <c r="L288" s="1">
        <v>19120</v>
      </c>
      <c r="M288" s="1" t="s">
        <v>54</v>
      </c>
      <c r="N288" s="1" t="s">
        <v>1059</v>
      </c>
      <c r="O288" s="1" t="s">
        <v>31</v>
      </c>
      <c r="P288" s="1" t="s">
        <v>41</v>
      </c>
      <c r="Q288" s="1" t="s">
        <v>1060</v>
      </c>
      <c r="R288" s="1">
        <v>0.85200000000000009</v>
      </c>
      <c r="S288" s="1">
        <v>1</v>
      </c>
      <c r="T288" s="1">
        <v>0.7</v>
      </c>
      <c r="U288" s="1">
        <v>-0.59639999999999982</v>
      </c>
    </row>
    <row r="289" spans="1:21" ht="15.75" x14ac:dyDescent="0.25">
      <c r="A289" s="1">
        <v>288</v>
      </c>
      <c r="B289" s="2" t="s">
        <v>1039</v>
      </c>
      <c r="C289" s="3">
        <v>45016</v>
      </c>
      <c r="D289" s="3">
        <v>45021</v>
      </c>
      <c r="E289" s="1" t="s">
        <v>22</v>
      </c>
      <c r="F289" s="1" t="s">
        <v>1040</v>
      </c>
      <c r="G289" s="1" t="s">
        <v>1041</v>
      </c>
      <c r="H289" s="1" t="s">
        <v>25</v>
      </c>
      <c r="I289" s="1" t="s">
        <v>26</v>
      </c>
      <c r="J289" s="1" t="s">
        <v>138</v>
      </c>
      <c r="K289" s="1" t="s">
        <v>91</v>
      </c>
      <c r="L289" s="1">
        <v>94122</v>
      </c>
      <c r="M289" s="1" t="s">
        <v>92</v>
      </c>
      <c r="N289" s="1" t="s">
        <v>1061</v>
      </c>
      <c r="O289" s="1" t="s">
        <v>31</v>
      </c>
      <c r="P289" s="1" t="s">
        <v>41</v>
      </c>
      <c r="Q289" s="1" t="s">
        <v>1062</v>
      </c>
      <c r="R289" s="1">
        <v>673.5680000000001</v>
      </c>
      <c r="S289" s="1">
        <v>2</v>
      </c>
      <c r="T289" s="1">
        <v>0.2</v>
      </c>
      <c r="U289" s="1">
        <v>252.58799999999999</v>
      </c>
    </row>
    <row r="290" spans="1:21" ht="15.75" x14ac:dyDescent="0.25">
      <c r="A290" s="1">
        <v>289</v>
      </c>
      <c r="B290" s="2" t="s">
        <v>1051</v>
      </c>
      <c r="C290" s="3">
        <v>45016</v>
      </c>
      <c r="D290" s="3">
        <v>45020</v>
      </c>
      <c r="E290" s="1" t="s">
        <v>22</v>
      </c>
      <c r="F290" s="1" t="s">
        <v>1052</v>
      </c>
      <c r="G290" s="1" t="s">
        <v>1053</v>
      </c>
      <c r="H290" s="1" t="s">
        <v>25</v>
      </c>
      <c r="I290" s="1" t="s">
        <v>26</v>
      </c>
      <c r="J290" s="1" t="s">
        <v>493</v>
      </c>
      <c r="K290" s="1" t="s">
        <v>39</v>
      </c>
      <c r="L290" s="1">
        <v>60610</v>
      </c>
      <c r="M290" s="1" t="s">
        <v>29</v>
      </c>
      <c r="N290" s="1" t="s">
        <v>1063</v>
      </c>
      <c r="O290" s="1" t="s">
        <v>96</v>
      </c>
      <c r="P290" s="1" t="s">
        <v>117</v>
      </c>
      <c r="Q290" s="1" t="s">
        <v>1064</v>
      </c>
      <c r="R290" s="1">
        <v>79.984000000000009</v>
      </c>
      <c r="S290" s="1">
        <v>2</v>
      </c>
      <c r="T290" s="1">
        <v>0.2</v>
      </c>
      <c r="U290" s="1">
        <v>13.997199999999999</v>
      </c>
    </row>
    <row r="291" spans="1:21" ht="15.75" x14ac:dyDescent="0.25">
      <c r="A291" s="1">
        <v>290</v>
      </c>
      <c r="B291" s="2" t="s">
        <v>1065</v>
      </c>
      <c r="C291" s="3">
        <v>45017</v>
      </c>
      <c r="D291" s="3">
        <v>45022</v>
      </c>
      <c r="E291" s="1" t="s">
        <v>87</v>
      </c>
      <c r="F291" s="1" t="s">
        <v>1012</v>
      </c>
      <c r="G291" s="1" t="s">
        <v>1013</v>
      </c>
      <c r="H291" s="1" t="s">
        <v>25</v>
      </c>
      <c r="I291" s="1" t="s">
        <v>26</v>
      </c>
      <c r="J291" s="1" t="s">
        <v>1066</v>
      </c>
      <c r="K291" s="1" t="s">
        <v>91</v>
      </c>
      <c r="L291" s="1">
        <v>94591</v>
      </c>
      <c r="M291" s="1" t="s">
        <v>92</v>
      </c>
      <c r="N291" s="1" t="s">
        <v>1067</v>
      </c>
      <c r="O291" s="1" t="s">
        <v>31</v>
      </c>
      <c r="P291" s="1" t="s">
        <v>41</v>
      </c>
      <c r="Q291" s="1" t="s">
        <v>1068</v>
      </c>
      <c r="R291" s="1">
        <v>17.088000000000001</v>
      </c>
      <c r="S291" s="1">
        <v>4</v>
      </c>
      <c r="T291" s="1">
        <v>0.2</v>
      </c>
      <c r="U291" s="1">
        <v>5.5535999999999994</v>
      </c>
    </row>
    <row r="292" spans="1:21" ht="15.75" x14ac:dyDescent="0.25">
      <c r="A292" s="1">
        <v>291</v>
      </c>
      <c r="B292" s="2" t="s">
        <v>1069</v>
      </c>
      <c r="C292" s="3">
        <v>45017</v>
      </c>
      <c r="D292" s="3">
        <v>45022</v>
      </c>
      <c r="E292" s="1" t="s">
        <v>22</v>
      </c>
      <c r="F292" s="1" t="s">
        <v>1070</v>
      </c>
      <c r="G292" s="1" t="s">
        <v>1071</v>
      </c>
      <c r="H292" s="1" t="s">
        <v>74</v>
      </c>
      <c r="I292" s="1" t="s">
        <v>26</v>
      </c>
      <c r="J292" s="1" t="s">
        <v>1072</v>
      </c>
      <c r="K292" s="1" t="s">
        <v>1073</v>
      </c>
      <c r="L292" s="1">
        <v>2151</v>
      </c>
      <c r="M292" s="1" t="s">
        <v>54</v>
      </c>
      <c r="N292" s="1" t="s">
        <v>1074</v>
      </c>
      <c r="O292" s="1" t="s">
        <v>31</v>
      </c>
      <c r="P292" s="1" t="s">
        <v>41</v>
      </c>
      <c r="Q292" s="1" t="s">
        <v>1075</v>
      </c>
      <c r="R292" s="1">
        <v>6.24</v>
      </c>
      <c r="S292" s="1">
        <v>2</v>
      </c>
      <c r="T292" s="1">
        <v>0</v>
      </c>
      <c r="U292" s="1">
        <v>3.0575999999999999</v>
      </c>
    </row>
    <row r="293" spans="1:21" ht="15.75" x14ac:dyDescent="0.25">
      <c r="A293" s="1">
        <v>292</v>
      </c>
      <c r="B293" s="2" t="s">
        <v>1065</v>
      </c>
      <c r="C293" s="3">
        <v>45017</v>
      </c>
      <c r="D293" s="3">
        <v>45022</v>
      </c>
      <c r="E293" s="1" t="s">
        <v>87</v>
      </c>
      <c r="F293" s="1" t="s">
        <v>1012</v>
      </c>
      <c r="G293" s="1" t="s">
        <v>1013</v>
      </c>
      <c r="H293" s="1" t="s">
        <v>25</v>
      </c>
      <c r="I293" s="1" t="s">
        <v>26</v>
      </c>
      <c r="J293" s="1" t="s">
        <v>1066</v>
      </c>
      <c r="K293" s="1" t="s">
        <v>91</v>
      </c>
      <c r="L293" s="1">
        <v>94591</v>
      </c>
      <c r="M293" s="1" t="s">
        <v>92</v>
      </c>
      <c r="N293" s="1" t="s">
        <v>1022</v>
      </c>
      <c r="O293" s="1" t="s">
        <v>31</v>
      </c>
      <c r="P293" s="1" t="s">
        <v>44</v>
      </c>
      <c r="Q293" s="1" t="s">
        <v>1023</v>
      </c>
      <c r="R293" s="1">
        <v>29.6</v>
      </c>
      <c r="S293" s="1">
        <v>2</v>
      </c>
      <c r="T293" s="1">
        <v>0</v>
      </c>
      <c r="U293" s="1">
        <v>14.8</v>
      </c>
    </row>
    <row r="294" spans="1:21" ht="15.75" x14ac:dyDescent="0.25">
      <c r="A294" s="1">
        <v>293</v>
      </c>
      <c r="B294" s="2" t="s">
        <v>1069</v>
      </c>
      <c r="C294" s="3">
        <v>45017</v>
      </c>
      <c r="D294" s="3">
        <v>45022</v>
      </c>
      <c r="E294" s="1" t="s">
        <v>22</v>
      </c>
      <c r="F294" s="1" t="s">
        <v>1070</v>
      </c>
      <c r="G294" s="1" t="s">
        <v>1071</v>
      </c>
      <c r="H294" s="1" t="s">
        <v>74</v>
      </c>
      <c r="I294" s="1" t="s">
        <v>26</v>
      </c>
      <c r="J294" s="1" t="s">
        <v>1072</v>
      </c>
      <c r="K294" s="1" t="s">
        <v>1073</v>
      </c>
      <c r="L294" s="1">
        <v>2151</v>
      </c>
      <c r="M294" s="1" t="s">
        <v>54</v>
      </c>
      <c r="N294" s="1" t="s">
        <v>1076</v>
      </c>
      <c r="O294" s="1" t="s">
        <v>31</v>
      </c>
      <c r="P294" s="1" t="s">
        <v>47</v>
      </c>
      <c r="Q294" s="1" t="s">
        <v>1077</v>
      </c>
      <c r="R294" s="1">
        <v>66.959999999999994</v>
      </c>
      <c r="S294" s="1">
        <v>4</v>
      </c>
      <c r="T294" s="1">
        <v>0</v>
      </c>
      <c r="U294" s="1">
        <v>2.6783999999999963</v>
      </c>
    </row>
    <row r="295" spans="1:21" ht="15.75" x14ac:dyDescent="0.25">
      <c r="A295" s="1">
        <v>294</v>
      </c>
      <c r="B295" s="2" t="s">
        <v>1078</v>
      </c>
      <c r="C295" s="3">
        <v>45018</v>
      </c>
      <c r="D295" s="3">
        <v>45024</v>
      </c>
      <c r="E295" s="1" t="s">
        <v>22</v>
      </c>
      <c r="F295" s="1" t="s">
        <v>1079</v>
      </c>
      <c r="G295" s="1" t="s">
        <v>1080</v>
      </c>
      <c r="H295" s="1" t="s">
        <v>74</v>
      </c>
      <c r="I295" s="1" t="s">
        <v>26</v>
      </c>
      <c r="J295" s="1" t="s">
        <v>1081</v>
      </c>
      <c r="K295" s="1" t="s">
        <v>123</v>
      </c>
      <c r="L295" s="1">
        <v>23464</v>
      </c>
      <c r="M295" s="1" t="s">
        <v>63</v>
      </c>
      <c r="N295" s="1" t="s">
        <v>1082</v>
      </c>
      <c r="O295" s="1" t="s">
        <v>65</v>
      </c>
      <c r="P295" s="1" t="s">
        <v>106</v>
      </c>
      <c r="Q295" s="1" t="s">
        <v>1083</v>
      </c>
      <c r="R295" s="1">
        <v>177.68</v>
      </c>
      <c r="S295" s="1">
        <v>2</v>
      </c>
      <c r="T295" s="1">
        <v>0</v>
      </c>
      <c r="U295" s="1">
        <v>46.196799999999996</v>
      </c>
    </row>
    <row r="296" spans="1:21" ht="15.75" x14ac:dyDescent="0.25">
      <c r="A296" s="1">
        <v>295</v>
      </c>
      <c r="B296" s="2" t="s">
        <v>1084</v>
      </c>
      <c r="C296" s="3">
        <v>45018</v>
      </c>
      <c r="D296" s="3">
        <v>45024</v>
      </c>
      <c r="E296" s="1" t="s">
        <v>22</v>
      </c>
      <c r="F296" s="1" t="s">
        <v>1085</v>
      </c>
      <c r="G296" s="1" t="s">
        <v>1086</v>
      </c>
      <c r="H296" s="1" t="s">
        <v>25</v>
      </c>
      <c r="I296" s="1" t="s">
        <v>26</v>
      </c>
      <c r="J296" s="1" t="s">
        <v>75</v>
      </c>
      <c r="K296" s="1" t="s">
        <v>76</v>
      </c>
      <c r="L296" s="1">
        <v>30605</v>
      </c>
      <c r="M296" s="1" t="s">
        <v>63</v>
      </c>
      <c r="N296" s="1" t="s">
        <v>1087</v>
      </c>
      <c r="O296" s="1" t="s">
        <v>31</v>
      </c>
      <c r="P296" s="1" t="s">
        <v>205</v>
      </c>
      <c r="Q296" s="1" t="s">
        <v>1088</v>
      </c>
      <c r="R296" s="1">
        <v>154.9</v>
      </c>
      <c r="S296" s="1">
        <v>5</v>
      </c>
      <c r="T296" s="1">
        <v>0</v>
      </c>
      <c r="U296" s="1">
        <v>40.274000000000001</v>
      </c>
    </row>
    <row r="297" spans="1:21" ht="15.75" x14ac:dyDescent="0.25">
      <c r="A297" s="1">
        <v>296</v>
      </c>
      <c r="B297" s="2" t="s">
        <v>1089</v>
      </c>
      <c r="C297" s="3">
        <v>45018</v>
      </c>
      <c r="D297" s="3">
        <v>45022</v>
      </c>
      <c r="E297" s="1" t="s">
        <v>87</v>
      </c>
      <c r="F297" s="1" t="s">
        <v>603</v>
      </c>
      <c r="G297" s="1" t="s">
        <v>604</v>
      </c>
      <c r="H297" s="1" t="s">
        <v>25</v>
      </c>
      <c r="I297" s="1" t="s">
        <v>26</v>
      </c>
      <c r="J297" s="1" t="s">
        <v>27</v>
      </c>
      <c r="K297" s="1" t="s">
        <v>28</v>
      </c>
      <c r="L297" s="1">
        <v>77095</v>
      </c>
      <c r="M297" s="1" t="s">
        <v>29</v>
      </c>
      <c r="N297" s="1" t="s">
        <v>1090</v>
      </c>
      <c r="O297" s="1" t="s">
        <v>31</v>
      </c>
      <c r="P297" s="1" t="s">
        <v>32</v>
      </c>
      <c r="Q297" s="1" t="s">
        <v>1091</v>
      </c>
      <c r="R297" s="1">
        <v>33.488000000000007</v>
      </c>
      <c r="S297" s="1">
        <v>7</v>
      </c>
      <c r="T297" s="1">
        <v>0.2</v>
      </c>
      <c r="U297" s="1">
        <v>10.464999999999998</v>
      </c>
    </row>
    <row r="298" spans="1:21" ht="15.75" x14ac:dyDescent="0.25">
      <c r="A298" s="1">
        <v>297</v>
      </c>
      <c r="B298" s="2" t="s">
        <v>1089</v>
      </c>
      <c r="C298" s="3">
        <v>45018</v>
      </c>
      <c r="D298" s="3">
        <v>45022</v>
      </c>
      <c r="E298" s="1" t="s">
        <v>87</v>
      </c>
      <c r="F298" s="1" t="s">
        <v>603</v>
      </c>
      <c r="G298" s="1" t="s">
        <v>604</v>
      </c>
      <c r="H298" s="1" t="s">
        <v>25</v>
      </c>
      <c r="I298" s="1" t="s">
        <v>26</v>
      </c>
      <c r="J298" s="1" t="s">
        <v>27</v>
      </c>
      <c r="K298" s="1" t="s">
        <v>28</v>
      </c>
      <c r="L298" s="1">
        <v>77095</v>
      </c>
      <c r="M298" s="1" t="s">
        <v>29</v>
      </c>
      <c r="N298" s="1" t="s">
        <v>1092</v>
      </c>
      <c r="O298" s="1" t="s">
        <v>31</v>
      </c>
      <c r="P298" s="1" t="s">
        <v>32</v>
      </c>
      <c r="Q298" s="1" t="s">
        <v>1093</v>
      </c>
      <c r="R298" s="1">
        <v>26.720000000000002</v>
      </c>
      <c r="S298" s="1">
        <v>5</v>
      </c>
      <c r="T298" s="1">
        <v>0.2</v>
      </c>
      <c r="U298" s="1">
        <v>9.3520000000000003</v>
      </c>
    </row>
    <row r="299" spans="1:21" ht="15.75" x14ac:dyDescent="0.25">
      <c r="A299" s="1">
        <v>298</v>
      </c>
      <c r="B299" s="2" t="s">
        <v>1084</v>
      </c>
      <c r="C299" s="3">
        <v>45018</v>
      </c>
      <c r="D299" s="3">
        <v>45024</v>
      </c>
      <c r="E299" s="1" t="s">
        <v>22</v>
      </c>
      <c r="F299" s="1" t="s">
        <v>1085</v>
      </c>
      <c r="G299" s="1" t="s">
        <v>1086</v>
      </c>
      <c r="H299" s="1" t="s">
        <v>25</v>
      </c>
      <c r="I299" s="1" t="s">
        <v>26</v>
      </c>
      <c r="J299" s="1" t="s">
        <v>75</v>
      </c>
      <c r="K299" s="1" t="s">
        <v>76</v>
      </c>
      <c r="L299" s="1">
        <v>30605</v>
      </c>
      <c r="M299" s="1" t="s">
        <v>63</v>
      </c>
      <c r="N299" s="1" t="s">
        <v>1094</v>
      </c>
      <c r="O299" s="1" t="s">
        <v>31</v>
      </c>
      <c r="P299" s="1" t="s">
        <v>32</v>
      </c>
      <c r="Q299" s="1" t="s">
        <v>1095</v>
      </c>
      <c r="R299" s="1">
        <v>15.84</v>
      </c>
      <c r="S299" s="1">
        <v>3</v>
      </c>
      <c r="T299" s="1">
        <v>0</v>
      </c>
      <c r="U299" s="1">
        <v>7.1280000000000001</v>
      </c>
    </row>
    <row r="300" spans="1:21" ht="15.75" x14ac:dyDescent="0.25">
      <c r="A300" s="1">
        <v>299</v>
      </c>
      <c r="B300" s="2" t="s">
        <v>1084</v>
      </c>
      <c r="C300" s="3">
        <v>45018</v>
      </c>
      <c r="D300" s="3">
        <v>45024</v>
      </c>
      <c r="E300" s="1" t="s">
        <v>22</v>
      </c>
      <c r="F300" s="1" t="s">
        <v>1085</v>
      </c>
      <c r="G300" s="1" t="s">
        <v>1086</v>
      </c>
      <c r="H300" s="1" t="s">
        <v>25</v>
      </c>
      <c r="I300" s="1" t="s">
        <v>26</v>
      </c>
      <c r="J300" s="1" t="s">
        <v>75</v>
      </c>
      <c r="K300" s="1" t="s">
        <v>76</v>
      </c>
      <c r="L300" s="1">
        <v>30605</v>
      </c>
      <c r="M300" s="1" t="s">
        <v>63</v>
      </c>
      <c r="N300" s="1" t="s">
        <v>1096</v>
      </c>
      <c r="O300" s="1" t="s">
        <v>96</v>
      </c>
      <c r="P300" s="1" t="s">
        <v>97</v>
      </c>
      <c r="Q300" s="1" t="s">
        <v>1097</v>
      </c>
      <c r="R300" s="1">
        <v>1049.93</v>
      </c>
      <c r="S300" s="1">
        <v>7</v>
      </c>
      <c r="T300" s="1">
        <v>0</v>
      </c>
      <c r="U300" s="1">
        <v>293.98040000000003</v>
      </c>
    </row>
    <row r="301" spans="1:21" ht="15.75" x14ac:dyDescent="0.25">
      <c r="A301" s="1">
        <v>300</v>
      </c>
      <c r="B301" s="2" t="s">
        <v>1098</v>
      </c>
      <c r="C301" s="3">
        <v>45019</v>
      </c>
      <c r="D301" s="3">
        <v>45024</v>
      </c>
      <c r="E301" s="1" t="s">
        <v>22</v>
      </c>
      <c r="F301" s="1" t="s">
        <v>1099</v>
      </c>
      <c r="G301" s="1" t="s">
        <v>1100</v>
      </c>
      <c r="H301" s="1" t="s">
        <v>74</v>
      </c>
      <c r="I301" s="1" t="s">
        <v>26</v>
      </c>
      <c r="J301" s="1" t="s">
        <v>90</v>
      </c>
      <c r="K301" s="1" t="s">
        <v>91</v>
      </c>
      <c r="L301" s="1">
        <v>90008</v>
      </c>
      <c r="M301" s="1" t="s">
        <v>92</v>
      </c>
      <c r="N301" s="1" t="s">
        <v>1101</v>
      </c>
      <c r="O301" s="1" t="s">
        <v>31</v>
      </c>
      <c r="P301" s="1" t="s">
        <v>166</v>
      </c>
      <c r="Q301" s="1" t="s">
        <v>169</v>
      </c>
      <c r="R301" s="1">
        <v>11.16</v>
      </c>
      <c r="S301" s="1">
        <v>2</v>
      </c>
      <c r="T301" s="1">
        <v>0</v>
      </c>
      <c r="U301" s="1">
        <v>5.58</v>
      </c>
    </row>
    <row r="302" spans="1:21" ht="15.75" x14ac:dyDescent="0.25">
      <c r="A302" s="1">
        <v>301</v>
      </c>
      <c r="B302" s="2" t="s">
        <v>1098</v>
      </c>
      <c r="C302" s="3">
        <v>45019</v>
      </c>
      <c r="D302" s="3">
        <v>45024</v>
      </c>
      <c r="E302" s="1" t="s">
        <v>22</v>
      </c>
      <c r="F302" s="1" t="s">
        <v>1099</v>
      </c>
      <c r="G302" s="1" t="s">
        <v>1100</v>
      </c>
      <c r="H302" s="1" t="s">
        <v>74</v>
      </c>
      <c r="I302" s="1" t="s">
        <v>26</v>
      </c>
      <c r="J302" s="1" t="s">
        <v>90</v>
      </c>
      <c r="K302" s="1" t="s">
        <v>91</v>
      </c>
      <c r="L302" s="1">
        <v>90008</v>
      </c>
      <c r="M302" s="1" t="s">
        <v>92</v>
      </c>
      <c r="N302" s="1" t="s">
        <v>477</v>
      </c>
      <c r="O302" s="1" t="s">
        <v>96</v>
      </c>
      <c r="P302" s="1" t="s">
        <v>117</v>
      </c>
      <c r="Q302" s="1" t="s">
        <v>478</v>
      </c>
      <c r="R302" s="1">
        <v>159.97999999999999</v>
      </c>
      <c r="S302" s="1">
        <v>2</v>
      </c>
      <c r="T302" s="1">
        <v>0</v>
      </c>
      <c r="U302" s="1">
        <v>57.592799999999997</v>
      </c>
    </row>
    <row r="303" spans="1:21" ht="15.75" x14ac:dyDescent="0.25">
      <c r="A303" s="1">
        <v>302</v>
      </c>
      <c r="B303" s="2" t="s">
        <v>1098</v>
      </c>
      <c r="C303" s="3">
        <v>45019</v>
      </c>
      <c r="D303" s="3">
        <v>45024</v>
      </c>
      <c r="E303" s="1" t="s">
        <v>22</v>
      </c>
      <c r="F303" s="1" t="s">
        <v>1099</v>
      </c>
      <c r="G303" s="1" t="s">
        <v>1100</v>
      </c>
      <c r="H303" s="1" t="s">
        <v>74</v>
      </c>
      <c r="I303" s="1" t="s">
        <v>26</v>
      </c>
      <c r="J303" s="1" t="s">
        <v>90</v>
      </c>
      <c r="K303" s="1" t="s">
        <v>91</v>
      </c>
      <c r="L303" s="1">
        <v>90008</v>
      </c>
      <c r="M303" s="1" t="s">
        <v>92</v>
      </c>
      <c r="N303" s="1" t="s">
        <v>520</v>
      </c>
      <c r="O303" s="1" t="s">
        <v>96</v>
      </c>
      <c r="P303" s="1" t="s">
        <v>117</v>
      </c>
      <c r="Q303" s="1" t="s">
        <v>521</v>
      </c>
      <c r="R303" s="1">
        <v>62.31</v>
      </c>
      <c r="S303" s="1">
        <v>3</v>
      </c>
      <c r="T303" s="1">
        <v>0</v>
      </c>
      <c r="U303" s="1">
        <v>22.4316</v>
      </c>
    </row>
    <row r="304" spans="1:21" ht="15.75" x14ac:dyDescent="0.25">
      <c r="A304" s="1">
        <v>303</v>
      </c>
      <c r="B304" s="2" t="s">
        <v>1102</v>
      </c>
      <c r="C304" s="3">
        <v>45020</v>
      </c>
      <c r="D304" s="3">
        <v>45025</v>
      </c>
      <c r="E304" s="1" t="s">
        <v>22</v>
      </c>
      <c r="F304" s="1" t="s">
        <v>931</v>
      </c>
      <c r="G304" s="1" t="s">
        <v>932</v>
      </c>
      <c r="H304" s="1" t="s">
        <v>25</v>
      </c>
      <c r="I304" s="1" t="s">
        <v>26</v>
      </c>
      <c r="J304" s="1" t="s">
        <v>355</v>
      </c>
      <c r="K304" s="1" t="s">
        <v>231</v>
      </c>
      <c r="L304" s="1">
        <v>48205</v>
      </c>
      <c r="M304" s="1" t="s">
        <v>29</v>
      </c>
      <c r="N304" s="1" t="s">
        <v>1103</v>
      </c>
      <c r="O304" s="1" t="s">
        <v>65</v>
      </c>
      <c r="P304" s="1" t="s">
        <v>106</v>
      </c>
      <c r="Q304" s="1" t="s">
        <v>1104</v>
      </c>
      <c r="R304" s="1">
        <v>5.47</v>
      </c>
      <c r="S304" s="1">
        <v>1</v>
      </c>
      <c r="T304" s="1">
        <v>0</v>
      </c>
      <c r="U304" s="1">
        <v>2.3521000000000001</v>
      </c>
    </row>
    <row r="305" spans="1:21" ht="15.75" x14ac:dyDescent="0.25">
      <c r="A305" s="1">
        <v>304</v>
      </c>
      <c r="B305" s="2" t="s">
        <v>1102</v>
      </c>
      <c r="C305" s="3">
        <v>45020</v>
      </c>
      <c r="D305" s="3">
        <v>45025</v>
      </c>
      <c r="E305" s="1" t="s">
        <v>22</v>
      </c>
      <c r="F305" s="1" t="s">
        <v>931</v>
      </c>
      <c r="G305" s="1" t="s">
        <v>932</v>
      </c>
      <c r="H305" s="1" t="s">
        <v>25</v>
      </c>
      <c r="I305" s="1" t="s">
        <v>26</v>
      </c>
      <c r="J305" s="1" t="s">
        <v>355</v>
      </c>
      <c r="K305" s="1" t="s">
        <v>231</v>
      </c>
      <c r="L305" s="1">
        <v>48205</v>
      </c>
      <c r="M305" s="1" t="s">
        <v>29</v>
      </c>
      <c r="N305" s="1" t="s">
        <v>1105</v>
      </c>
      <c r="O305" s="1" t="s">
        <v>31</v>
      </c>
      <c r="P305" s="1" t="s">
        <v>56</v>
      </c>
      <c r="Q305" s="1" t="s">
        <v>1106</v>
      </c>
      <c r="R305" s="1">
        <v>79.36</v>
      </c>
      <c r="S305" s="1">
        <v>4</v>
      </c>
      <c r="T305" s="1">
        <v>0</v>
      </c>
      <c r="U305" s="1">
        <v>23.807999999999993</v>
      </c>
    </row>
    <row r="306" spans="1:21" ht="15.75" x14ac:dyDescent="0.25">
      <c r="A306" s="1">
        <v>305</v>
      </c>
      <c r="B306" s="2" t="s">
        <v>1107</v>
      </c>
      <c r="C306" s="3">
        <v>45020</v>
      </c>
      <c r="D306" s="3">
        <v>45021</v>
      </c>
      <c r="E306" s="1" t="s">
        <v>71</v>
      </c>
      <c r="F306" s="1" t="s">
        <v>1108</v>
      </c>
      <c r="G306" s="1" t="s">
        <v>1109</v>
      </c>
      <c r="H306" s="1" t="s">
        <v>74</v>
      </c>
      <c r="I306" s="1" t="s">
        <v>26</v>
      </c>
      <c r="J306" s="1" t="s">
        <v>90</v>
      </c>
      <c r="K306" s="1" t="s">
        <v>91</v>
      </c>
      <c r="L306" s="1">
        <v>90008</v>
      </c>
      <c r="M306" s="1" t="s">
        <v>92</v>
      </c>
      <c r="N306" s="1" t="s">
        <v>1110</v>
      </c>
      <c r="O306" s="1" t="s">
        <v>31</v>
      </c>
      <c r="P306" s="1" t="s">
        <v>41</v>
      </c>
      <c r="Q306" s="1" t="s">
        <v>1111</v>
      </c>
      <c r="R306" s="1">
        <v>7.1840000000000011</v>
      </c>
      <c r="S306" s="1">
        <v>2</v>
      </c>
      <c r="T306" s="1">
        <v>0.2</v>
      </c>
      <c r="U306" s="1">
        <v>2.2449999999999992</v>
      </c>
    </row>
    <row r="307" spans="1:21" ht="15.75" x14ac:dyDescent="0.25">
      <c r="A307" s="1">
        <v>306</v>
      </c>
      <c r="B307" s="2" t="s">
        <v>1112</v>
      </c>
      <c r="C307" s="3">
        <v>45020</v>
      </c>
      <c r="D307" s="3">
        <v>45025</v>
      </c>
      <c r="E307" s="1" t="s">
        <v>22</v>
      </c>
      <c r="F307" s="1" t="s">
        <v>1113</v>
      </c>
      <c r="G307" s="1" t="s">
        <v>1114</v>
      </c>
      <c r="H307" s="1" t="s">
        <v>37</v>
      </c>
      <c r="I307" s="1" t="s">
        <v>26</v>
      </c>
      <c r="J307" s="1" t="s">
        <v>138</v>
      </c>
      <c r="K307" s="1" t="s">
        <v>91</v>
      </c>
      <c r="L307" s="1">
        <v>94109</v>
      </c>
      <c r="M307" s="1" t="s">
        <v>92</v>
      </c>
      <c r="N307" s="1" t="s">
        <v>1115</v>
      </c>
      <c r="O307" s="1" t="s">
        <v>31</v>
      </c>
      <c r="P307" s="1" t="s">
        <v>44</v>
      </c>
      <c r="Q307" s="1" t="s">
        <v>1116</v>
      </c>
      <c r="R307" s="1">
        <v>18.899999999999999</v>
      </c>
      <c r="S307" s="1">
        <v>6</v>
      </c>
      <c r="T307" s="1">
        <v>0</v>
      </c>
      <c r="U307" s="1">
        <v>9.0719999999999992</v>
      </c>
    </row>
    <row r="308" spans="1:21" ht="15.75" x14ac:dyDescent="0.25">
      <c r="A308" s="1">
        <v>307</v>
      </c>
      <c r="B308" s="2" t="s">
        <v>1117</v>
      </c>
      <c r="C308" s="3">
        <v>45020</v>
      </c>
      <c r="D308" s="3">
        <v>45024</v>
      </c>
      <c r="E308" s="1" t="s">
        <v>22</v>
      </c>
      <c r="F308" s="1" t="s">
        <v>1118</v>
      </c>
      <c r="G308" s="1" t="s">
        <v>1119</v>
      </c>
      <c r="H308" s="1" t="s">
        <v>74</v>
      </c>
      <c r="I308" s="1" t="s">
        <v>26</v>
      </c>
      <c r="J308" s="1" t="s">
        <v>296</v>
      </c>
      <c r="K308" s="1" t="s">
        <v>162</v>
      </c>
      <c r="L308" s="1">
        <v>70506</v>
      </c>
      <c r="M308" s="1" t="s">
        <v>63</v>
      </c>
      <c r="N308" s="1" t="s">
        <v>808</v>
      </c>
      <c r="O308" s="1" t="s">
        <v>31</v>
      </c>
      <c r="P308" s="1" t="s">
        <v>32</v>
      </c>
      <c r="Q308" s="1" t="s">
        <v>809</v>
      </c>
      <c r="R308" s="1">
        <v>12.96</v>
      </c>
      <c r="S308" s="1">
        <v>2</v>
      </c>
      <c r="T308" s="1">
        <v>0</v>
      </c>
      <c r="U308" s="1">
        <v>6.3504000000000005</v>
      </c>
    </row>
    <row r="309" spans="1:21" ht="15.75" x14ac:dyDescent="0.25">
      <c r="A309" s="1">
        <v>308</v>
      </c>
      <c r="B309" s="2" t="s">
        <v>1117</v>
      </c>
      <c r="C309" s="3">
        <v>45020</v>
      </c>
      <c r="D309" s="3">
        <v>45024</v>
      </c>
      <c r="E309" s="1" t="s">
        <v>22</v>
      </c>
      <c r="F309" s="1" t="s">
        <v>1118</v>
      </c>
      <c r="G309" s="1" t="s">
        <v>1119</v>
      </c>
      <c r="H309" s="1" t="s">
        <v>74</v>
      </c>
      <c r="I309" s="1" t="s">
        <v>26</v>
      </c>
      <c r="J309" s="1" t="s">
        <v>296</v>
      </c>
      <c r="K309" s="1" t="s">
        <v>162</v>
      </c>
      <c r="L309" s="1">
        <v>70506</v>
      </c>
      <c r="M309" s="1" t="s">
        <v>63</v>
      </c>
      <c r="N309" s="1" t="s">
        <v>1120</v>
      </c>
      <c r="O309" s="1" t="s">
        <v>31</v>
      </c>
      <c r="P309" s="1" t="s">
        <v>32</v>
      </c>
      <c r="Q309" s="1" t="s">
        <v>1121</v>
      </c>
      <c r="R309" s="1">
        <v>19.440000000000001</v>
      </c>
      <c r="S309" s="1">
        <v>3</v>
      </c>
      <c r="T309" s="1">
        <v>0</v>
      </c>
      <c r="U309" s="1">
        <v>9.3312000000000008</v>
      </c>
    </row>
    <row r="310" spans="1:21" ht="15.75" x14ac:dyDescent="0.25">
      <c r="A310" s="1">
        <v>309</v>
      </c>
      <c r="B310" s="2" t="s">
        <v>1117</v>
      </c>
      <c r="C310" s="3">
        <v>45020</v>
      </c>
      <c r="D310" s="3">
        <v>45024</v>
      </c>
      <c r="E310" s="1" t="s">
        <v>22</v>
      </c>
      <c r="F310" s="1" t="s">
        <v>1118</v>
      </c>
      <c r="G310" s="1" t="s">
        <v>1119</v>
      </c>
      <c r="H310" s="1" t="s">
        <v>74</v>
      </c>
      <c r="I310" s="1" t="s">
        <v>26</v>
      </c>
      <c r="J310" s="1" t="s">
        <v>296</v>
      </c>
      <c r="K310" s="1" t="s">
        <v>162</v>
      </c>
      <c r="L310" s="1">
        <v>70506</v>
      </c>
      <c r="M310" s="1" t="s">
        <v>63</v>
      </c>
      <c r="N310" s="1" t="s">
        <v>1122</v>
      </c>
      <c r="O310" s="1" t="s">
        <v>31</v>
      </c>
      <c r="P310" s="1" t="s">
        <v>47</v>
      </c>
      <c r="Q310" s="1" t="s">
        <v>1123</v>
      </c>
      <c r="R310" s="1">
        <v>232.54999999999998</v>
      </c>
      <c r="S310" s="1">
        <v>5</v>
      </c>
      <c r="T310" s="1">
        <v>0</v>
      </c>
      <c r="U310" s="1">
        <v>9.3019999999999925</v>
      </c>
    </row>
    <row r="311" spans="1:21" ht="15.75" x14ac:dyDescent="0.25">
      <c r="A311" s="1">
        <v>310</v>
      </c>
      <c r="B311" s="2" t="s">
        <v>1117</v>
      </c>
      <c r="C311" s="3">
        <v>45020</v>
      </c>
      <c r="D311" s="3">
        <v>45024</v>
      </c>
      <c r="E311" s="1" t="s">
        <v>22</v>
      </c>
      <c r="F311" s="1" t="s">
        <v>1118</v>
      </c>
      <c r="G311" s="1" t="s">
        <v>1119</v>
      </c>
      <c r="H311" s="1" t="s">
        <v>74</v>
      </c>
      <c r="I311" s="1" t="s">
        <v>26</v>
      </c>
      <c r="J311" s="1" t="s">
        <v>296</v>
      </c>
      <c r="K311" s="1" t="s">
        <v>162</v>
      </c>
      <c r="L311" s="1">
        <v>70506</v>
      </c>
      <c r="M311" s="1" t="s">
        <v>63</v>
      </c>
      <c r="N311" s="1" t="s">
        <v>1124</v>
      </c>
      <c r="O311" s="1" t="s">
        <v>96</v>
      </c>
      <c r="P311" s="1" t="s">
        <v>117</v>
      </c>
      <c r="Q311" s="1" t="s">
        <v>1125</v>
      </c>
      <c r="R311" s="1">
        <v>99.98</v>
      </c>
      <c r="S311" s="1">
        <v>2</v>
      </c>
      <c r="T311" s="1">
        <v>0</v>
      </c>
      <c r="U311" s="1">
        <v>42.991400000000006</v>
      </c>
    </row>
    <row r="312" spans="1:21" ht="15.75" x14ac:dyDescent="0.25">
      <c r="A312" s="1">
        <v>311</v>
      </c>
      <c r="B312" s="2" t="s">
        <v>1126</v>
      </c>
      <c r="C312" s="3">
        <v>45021</v>
      </c>
      <c r="D312" s="3">
        <v>45025</v>
      </c>
      <c r="E312" s="1" t="s">
        <v>87</v>
      </c>
      <c r="F312" s="1" t="s">
        <v>1127</v>
      </c>
      <c r="G312" s="1" t="s">
        <v>1128</v>
      </c>
      <c r="H312" s="1" t="s">
        <v>74</v>
      </c>
      <c r="I312" s="1" t="s">
        <v>26</v>
      </c>
      <c r="J312" s="1" t="s">
        <v>317</v>
      </c>
      <c r="K312" s="1" t="s">
        <v>123</v>
      </c>
      <c r="L312" s="1">
        <v>22304</v>
      </c>
      <c r="M312" s="1" t="s">
        <v>63</v>
      </c>
      <c r="N312" s="1" t="s">
        <v>1129</v>
      </c>
      <c r="O312" s="1" t="s">
        <v>31</v>
      </c>
      <c r="P312" s="1" t="s">
        <v>56</v>
      </c>
      <c r="Q312" s="1" t="s">
        <v>1130</v>
      </c>
      <c r="R312" s="1">
        <v>22.959999999999997</v>
      </c>
      <c r="S312" s="1">
        <v>7</v>
      </c>
      <c r="T312" s="1">
        <v>0</v>
      </c>
      <c r="U312" s="1">
        <v>6.6583999999999968</v>
      </c>
    </row>
    <row r="313" spans="1:21" ht="15.75" x14ac:dyDescent="0.25">
      <c r="A313" s="1">
        <v>312</v>
      </c>
      <c r="B313" s="2" t="s">
        <v>1131</v>
      </c>
      <c r="C313" s="3">
        <v>45021</v>
      </c>
      <c r="D313" s="3">
        <v>45023</v>
      </c>
      <c r="E313" s="1" t="s">
        <v>87</v>
      </c>
      <c r="F313" s="1" t="s">
        <v>1132</v>
      </c>
      <c r="G313" s="1" t="s">
        <v>1133</v>
      </c>
      <c r="H313" s="1" t="s">
        <v>25</v>
      </c>
      <c r="I313" s="1" t="s">
        <v>26</v>
      </c>
      <c r="J313" s="1" t="s">
        <v>1134</v>
      </c>
      <c r="K313" s="1" t="s">
        <v>231</v>
      </c>
      <c r="L313" s="1">
        <v>48127</v>
      </c>
      <c r="M313" s="1" t="s">
        <v>29</v>
      </c>
      <c r="N313" s="1" t="s">
        <v>1135</v>
      </c>
      <c r="O313" s="1" t="s">
        <v>31</v>
      </c>
      <c r="P313" s="1" t="s">
        <v>56</v>
      </c>
      <c r="Q313" s="1" t="s">
        <v>1136</v>
      </c>
      <c r="R313" s="1">
        <v>26.7</v>
      </c>
      <c r="S313" s="1">
        <v>2</v>
      </c>
      <c r="T313" s="1">
        <v>0</v>
      </c>
      <c r="U313" s="1">
        <v>7.4759999999999991</v>
      </c>
    </row>
    <row r="314" spans="1:21" ht="15.75" x14ac:dyDescent="0.25">
      <c r="A314" s="1">
        <v>313</v>
      </c>
      <c r="B314" s="2" t="s">
        <v>1131</v>
      </c>
      <c r="C314" s="3">
        <v>45021</v>
      </c>
      <c r="D314" s="3">
        <v>45023</v>
      </c>
      <c r="E314" s="1" t="s">
        <v>87</v>
      </c>
      <c r="F314" s="1" t="s">
        <v>1132</v>
      </c>
      <c r="G314" s="1" t="s">
        <v>1133</v>
      </c>
      <c r="H314" s="1" t="s">
        <v>25</v>
      </c>
      <c r="I314" s="1" t="s">
        <v>26</v>
      </c>
      <c r="J314" s="1" t="s">
        <v>1134</v>
      </c>
      <c r="K314" s="1" t="s">
        <v>231</v>
      </c>
      <c r="L314" s="1">
        <v>48127</v>
      </c>
      <c r="M314" s="1" t="s">
        <v>29</v>
      </c>
      <c r="N314" s="1" t="s">
        <v>879</v>
      </c>
      <c r="O314" s="1" t="s">
        <v>31</v>
      </c>
      <c r="P314" s="1" t="s">
        <v>56</v>
      </c>
      <c r="Q314" s="1" t="s">
        <v>880</v>
      </c>
      <c r="R314" s="1">
        <v>13.89</v>
      </c>
      <c r="S314" s="1">
        <v>3</v>
      </c>
      <c r="T314" s="1">
        <v>0</v>
      </c>
      <c r="U314" s="1">
        <v>4.5836999999999994</v>
      </c>
    </row>
    <row r="315" spans="1:21" ht="15.75" x14ac:dyDescent="0.25">
      <c r="A315" s="1">
        <v>314</v>
      </c>
      <c r="B315" s="2" t="s">
        <v>1126</v>
      </c>
      <c r="C315" s="3">
        <v>45021</v>
      </c>
      <c r="D315" s="3">
        <v>45025</v>
      </c>
      <c r="E315" s="1" t="s">
        <v>87</v>
      </c>
      <c r="F315" s="1" t="s">
        <v>1127</v>
      </c>
      <c r="G315" s="1" t="s">
        <v>1128</v>
      </c>
      <c r="H315" s="1" t="s">
        <v>74</v>
      </c>
      <c r="I315" s="1" t="s">
        <v>26</v>
      </c>
      <c r="J315" s="1" t="s">
        <v>317</v>
      </c>
      <c r="K315" s="1" t="s">
        <v>123</v>
      </c>
      <c r="L315" s="1">
        <v>22304</v>
      </c>
      <c r="M315" s="1" t="s">
        <v>63</v>
      </c>
      <c r="N315" s="1" t="s">
        <v>1137</v>
      </c>
      <c r="O315" s="1" t="s">
        <v>31</v>
      </c>
      <c r="P315" s="1" t="s">
        <v>56</v>
      </c>
      <c r="Q315" s="1" t="s">
        <v>1138</v>
      </c>
      <c r="R315" s="1">
        <v>22.959999999999997</v>
      </c>
      <c r="S315" s="1">
        <v>7</v>
      </c>
      <c r="T315" s="1">
        <v>0</v>
      </c>
      <c r="U315" s="1">
        <v>7.5767999999999986</v>
      </c>
    </row>
    <row r="316" spans="1:21" ht="15.75" x14ac:dyDescent="0.25">
      <c r="A316" s="1">
        <v>315</v>
      </c>
      <c r="B316" s="2" t="s">
        <v>1139</v>
      </c>
      <c r="C316" s="3">
        <v>45021</v>
      </c>
      <c r="D316" s="3">
        <v>45025</v>
      </c>
      <c r="E316" s="1" t="s">
        <v>22</v>
      </c>
      <c r="F316" s="1" t="s">
        <v>1140</v>
      </c>
      <c r="G316" s="1" t="s">
        <v>1141</v>
      </c>
      <c r="H316" s="1" t="s">
        <v>74</v>
      </c>
      <c r="I316" s="1" t="s">
        <v>26</v>
      </c>
      <c r="J316" s="1" t="s">
        <v>512</v>
      </c>
      <c r="K316" s="1" t="s">
        <v>62</v>
      </c>
      <c r="L316" s="1">
        <v>40475</v>
      </c>
      <c r="M316" s="1" t="s">
        <v>63</v>
      </c>
      <c r="N316" s="1" t="s">
        <v>1142</v>
      </c>
      <c r="O316" s="1" t="s">
        <v>31</v>
      </c>
      <c r="P316" s="1" t="s">
        <v>41</v>
      </c>
      <c r="Q316" s="1" t="s">
        <v>1143</v>
      </c>
      <c r="R316" s="1">
        <v>115.36</v>
      </c>
      <c r="S316" s="1">
        <v>7</v>
      </c>
      <c r="T316" s="1">
        <v>0</v>
      </c>
      <c r="U316" s="1">
        <v>56.526400000000002</v>
      </c>
    </row>
    <row r="317" spans="1:21" ht="15.75" x14ac:dyDescent="0.25">
      <c r="A317" s="1">
        <v>316</v>
      </c>
      <c r="B317" s="2" t="s">
        <v>1131</v>
      </c>
      <c r="C317" s="3">
        <v>45021</v>
      </c>
      <c r="D317" s="3">
        <v>45023</v>
      </c>
      <c r="E317" s="1" t="s">
        <v>87</v>
      </c>
      <c r="F317" s="1" t="s">
        <v>1132</v>
      </c>
      <c r="G317" s="1" t="s">
        <v>1133</v>
      </c>
      <c r="H317" s="1" t="s">
        <v>25</v>
      </c>
      <c r="I317" s="1" t="s">
        <v>26</v>
      </c>
      <c r="J317" s="1" t="s">
        <v>1134</v>
      </c>
      <c r="K317" s="1" t="s">
        <v>231</v>
      </c>
      <c r="L317" s="1">
        <v>48127</v>
      </c>
      <c r="M317" s="1" t="s">
        <v>29</v>
      </c>
      <c r="N317" s="1" t="s">
        <v>1144</v>
      </c>
      <c r="O317" s="1" t="s">
        <v>31</v>
      </c>
      <c r="P317" s="1" t="s">
        <v>41</v>
      </c>
      <c r="Q317" s="1" t="s">
        <v>1145</v>
      </c>
      <c r="R317" s="1">
        <v>40.199999999999996</v>
      </c>
      <c r="S317" s="1">
        <v>5</v>
      </c>
      <c r="T317" s="1">
        <v>0</v>
      </c>
      <c r="U317" s="1">
        <v>18.089999999999996</v>
      </c>
    </row>
    <row r="318" spans="1:21" ht="15.75" x14ac:dyDescent="0.25">
      <c r="A318" s="1">
        <v>317</v>
      </c>
      <c r="B318" s="2" t="s">
        <v>1126</v>
      </c>
      <c r="C318" s="3">
        <v>45021</v>
      </c>
      <c r="D318" s="3">
        <v>45025</v>
      </c>
      <c r="E318" s="1" t="s">
        <v>87</v>
      </c>
      <c r="F318" s="1" t="s">
        <v>1127</v>
      </c>
      <c r="G318" s="1" t="s">
        <v>1128</v>
      </c>
      <c r="H318" s="1" t="s">
        <v>74</v>
      </c>
      <c r="I318" s="1" t="s">
        <v>26</v>
      </c>
      <c r="J318" s="1" t="s">
        <v>317</v>
      </c>
      <c r="K318" s="1" t="s">
        <v>123</v>
      </c>
      <c r="L318" s="1">
        <v>22304</v>
      </c>
      <c r="M318" s="1" t="s">
        <v>63</v>
      </c>
      <c r="N318" s="1" t="s">
        <v>816</v>
      </c>
      <c r="O318" s="1" t="s">
        <v>31</v>
      </c>
      <c r="P318" s="1" t="s">
        <v>32</v>
      </c>
      <c r="Q318" s="1" t="s">
        <v>817</v>
      </c>
      <c r="R318" s="1">
        <v>12.96</v>
      </c>
      <c r="S318" s="1">
        <v>2</v>
      </c>
      <c r="T318" s="1">
        <v>0</v>
      </c>
      <c r="U318" s="1">
        <v>6.3504000000000005</v>
      </c>
    </row>
    <row r="319" spans="1:21" ht="15.75" x14ac:dyDescent="0.25">
      <c r="A319" s="1">
        <v>318</v>
      </c>
      <c r="B319" s="2" t="s">
        <v>1146</v>
      </c>
      <c r="C319" s="3">
        <v>45021</v>
      </c>
      <c r="D319" s="3">
        <v>45023</v>
      </c>
      <c r="E319" s="1" t="s">
        <v>71</v>
      </c>
      <c r="F319" s="1" t="s">
        <v>1147</v>
      </c>
      <c r="G319" s="1" t="s">
        <v>1148</v>
      </c>
      <c r="H319" s="1" t="s">
        <v>37</v>
      </c>
      <c r="I319" s="1" t="s">
        <v>26</v>
      </c>
      <c r="J319" s="1" t="s">
        <v>348</v>
      </c>
      <c r="K319" s="1" t="s">
        <v>349</v>
      </c>
      <c r="L319" s="1">
        <v>10035</v>
      </c>
      <c r="M319" s="1" t="s">
        <v>54</v>
      </c>
      <c r="N319" s="1" t="s">
        <v>1149</v>
      </c>
      <c r="O319" s="1" t="s">
        <v>31</v>
      </c>
      <c r="P319" s="1" t="s">
        <v>32</v>
      </c>
      <c r="Q319" s="1" t="s">
        <v>1150</v>
      </c>
      <c r="R319" s="1">
        <v>55.48</v>
      </c>
      <c r="S319" s="1">
        <v>1</v>
      </c>
      <c r="T319" s="1">
        <v>0</v>
      </c>
      <c r="U319" s="1">
        <v>26.630399999999998</v>
      </c>
    </row>
    <row r="320" spans="1:21" ht="15.75" x14ac:dyDescent="0.25">
      <c r="A320" s="1">
        <v>319</v>
      </c>
      <c r="B320" s="2" t="s">
        <v>1131</v>
      </c>
      <c r="C320" s="3">
        <v>45021</v>
      </c>
      <c r="D320" s="3">
        <v>45023</v>
      </c>
      <c r="E320" s="1" t="s">
        <v>87</v>
      </c>
      <c r="F320" s="1" t="s">
        <v>1132</v>
      </c>
      <c r="G320" s="1" t="s">
        <v>1133</v>
      </c>
      <c r="H320" s="1" t="s">
        <v>25</v>
      </c>
      <c r="I320" s="1" t="s">
        <v>26</v>
      </c>
      <c r="J320" s="1" t="s">
        <v>1134</v>
      </c>
      <c r="K320" s="1" t="s">
        <v>231</v>
      </c>
      <c r="L320" s="1">
        <v>48127</v>
      </c>
      <c r="M320" s="1" t="s">
        <v>29</v>
      </c>
      <c r="N320" s="1" t="s">
        <v>358</v>
      </c>
      <c r="O320" s="1" t="s">
        <v>31</v>
      </c>
      <c r="P320" s="1" t="s">
        <v>47</v>
      </c>
      <c r="Q320" s="1" t="s">
        <v>359</v>
      </c>
      <c r="R320" s="1">
        <v>689.81999999999994</v>
      </c>
      <c r="S320" s="1">
        <v>6</v>
      </c>
      <c r="T320" s="1">
        <v>0</v>
      </c>
      <c r="U320" s="1">
        <v>20.694600000000008</v>
      </c>
    </row>
    <row r="321" spans="1:21" ht="15.75" x14ac:dyDescent="0.25">
      <c r="A321" s="1">
        <v>320</v>
      </c>
      <c r="B321" s="2" t="s">
        <v>1151</v>
      </c>
      <c r="C321" s="3">
        <v>45021</v>
      </c>
      <c r="D321" s="3">
        <v>45023</v>
      </c>
      <c r="E321" s="1" t="s">
        <v>71</v>
      </c>
      <c r="F321" s="1" t="s">
        <v>1152</v>
      </c>
      <c r="G321" s="1" t="s">
        <v>1153</v>
      </c>
      <c r="H321" s="1" t="s">
        <v>74</v>
      </c>
      <c r="I321" s="1" t="s">
        <v>26</v>
      </c>
      <c r="J321" s="1" t="s">
        <v>1154</v>
      </c>
      <c r="K321" s="1" t="s">
        <v>39</v>
      </c>
      <c r="L321" s="1">
        <v>62521</v>
      </c>
      <c r="M321" s="1" t="s">
        <v>29</v>
      </c>
      <c r="N321" s="1" t="s">
        <v>1155</v>
      </c>
      <c r="O321" s="1" t="s">
        <v>31</v>
      </c>
      <c r="P321" s="1" t="s">
        <v>47</v>
      </c>
      <c r="Q321" s="1" t="s">
        <v>1156</v>
      </c>
      <c r="R321" s="1">
        <v>52.096000000000004</v>
      </c>
      <c r="S321" s="1">
        <v>4</v>
      </c>
      <c r="T321" s="1">
        <v>0.2</v>
      </c>
      <c r="U321" s="1">
        <v>3.9072000000000031</v>
      </c>
    </row>
    <row r="322" spans="1:21" ht="15.75" x14ac:dyDescent="0.25">
      <c r="A322" s="1">
        <v>321</v>
      </c>
      <c r="B322" s="2" t="s">
        <v>1151</v>
      </c>
      <c r="C322" s="3">
        <v>45021</v>
      </c>
      <c r="D322" s="3">
        <v>45023</v>
      </c>
      <c r="E322" s="1" t="s">
        <v>71</v>
      </c>
      <c r="F322" s="1" t="s">
        <v>1152</v>
      </c>
      <c r="G322" s="1" t="s">
        <v>1153</v>
      </c>
      <c r="H322" s="1" t="s">
        <v>74</v>
      </c>
      <c r="I322" s="1" t="s">
        <v>26</v>
      </c>
      <c r="J322" s="1" t="s">
        <v>1154</v>
      </c>
      <c r="K322" s="1" t="s">
        <v>39</v>
      </c>
      <c r="L322" s="1">
        <v>62521</v>
      </c>
      <c r="M322" s="1" t="s">
        <v>29</v>
      </c>
      <c r="N322" s="1" t="s">
        <v>1157</v>
      </c>
      <c r="O322" s="1" t="s">
        <v>31</v>
      </c>
      <c r="P322" s="1" t="s">
        <v>47</v>
      </c>
      <c r="Q322" s="1" t="s">
        <v>1158</v>
      </c>
      <c r="R322" s="1">
        <v>49.632000000000005</v>
      </c>
      <c r="S322" s="1">
        <v>4</v>
      </c>
      <c r="T322" s="1">
        <v>0.2</v>
      </c>
      <c r="U322" s="1">
        <v>3.7224000000000004</v>
      </c>
    </row>
    <row r="323" spans="1:21" ht="15.75" x14ac:dyDescent="0.25">
      <c r="A323" s="1">
        <v>322</v>
      </c>
      <c r="B323" s="2" t="s">
        <v>1126</v>
      </c>
      <c r="C323" s="3">
        <v>45021</v>
      </c>
      <c r="D323" s="3">
        <v>45025</v>
      </c>
      <c r="E323" s="1" t="s">
        <v>87</v>
      </c>
      <c r="F323" s="1" t="s">
        <v>1127</v>
      </c>
      <c r="G323" s="1" t="s">
        <v>1128</v>
      </c>
      <c r="H323" s="1" t="s">
        <v>74</v>
      </c>
      <c r="I323" s="1" t="s">
        <v>26</v>
      </c>
      <c r="J323" s="1" t="s">
        <v>317</v>
      </c>
      <c r="K323" s="1" t="s">
        <v>123</v>
      </c>
      <c r="L323" s="1">
        <v>22304</v>
      </c>
      <c r="M323" s="1" t="s">
        <v>63</v>
      </c>
      <c r="N323" s="1" t="s">
        <v>1159</v>
      </c>
      <c r="O323" s="1" t="s">
        <v>31</v>
      </c>
      <c r="P323" s="1" t="s">
        <v>475</v>
      </c>
      <c r="Q323" s="1" t="s">
        <v>1160</v>
      </c>
      <c r="R323" s="1">
        <v>4164.0499999999993</v>
      </c>
      <c r="S323" s="1">
        <v>5</v>
      </c>
      <c r="T323" s="1">
        <v>0</v>
      </c>
      <c r="U323" s="1">
        <v>83.281000000000063</v>
      </c>
    </row>
    <row r="324" spans="1:21" ht="15.75" x14ac:dyDescent="0.25">
      <c r="A324" s="1">
        <v>323</v>
      </c>
      <c r="B324" s="2" t="s">
        <v>1126</v>
      </c>
      <c r="C324" s="3">
        <v>45021</v>
      </c>
      <c r="D324" s="3">
        <v>45025</v>
      </c>
      <c r="E324" s="1" t="s">
        <v>87</v>
      </c>
      <c r="F324" s="1" t="s">
        <v>1127</v>
      </c>
      <c r="G324" s="1" t="s">
        <v>1128</v>
      </c>
      <c r="H324" s="1" t="s">
        <v>74</v>
      </c>
      <c r="I324" s="1" t="s">
        <v>26</v>
      </c>
      <c r="J324" s="1" t="s">
        <v>317</v>
      </c>
      <c r="K324" s="1" t="s">
        <v>123</v>
      </c>
      <c r="L324" s="1">
        <v>22304</v>
      </c>
      <c r="M324" s="1" t="s">
        <v>63</v>
      </c>
      <c r="N324" s="1" t="s">
        <v>414</v>
      </c>
      <c r="O324" s="1" t="s">
        <v>96</v>
      </c>
      <c r="P324" s="1" t="s">
        <v>97</v>
      </c>
      <c r="Q324" s="1" t="s">
        <v>415</v>
      </c>
      <c r="R324" s="1">
        <v>28.99</v>
      </c>
      <c r="S324" s="1">
        <v>1</v>
      </c>
      <c r="T324" s="1">
        <v>0</v>
      </c>
      <c r="U324" s="1">
        <v>8.4070999999999962</v>
      </c>
    </row>
    <row r="325" spans="1:21" ht="15.75" x14ac:dyDescent="0.25">
      <c r="A325" s="1">
        <v>324</v>
      </c>
      <c r="B325" s="2" t="s">
        <v>1161</v>
      </c>
      <c r="C325" s="3">
        <v>45022</v>
      </c>
      <c r="D325" s="3">
        <v>45028</v>
      </c>
      <c r="E325" s="1" t="s">
        <v>22</v>
      </c>
      <c r="F325" s="1" t="s">
        <v>1162</v>
      </c>
      <c r="G325" s="1" t="s">
        <v>1163</v>
      </c>
      <c r="H325" s="1" t="s">
        <v>74</v>
      </c>
      <c r="I325" s="1" t="s">
        <v>26</v>
      </c>
      <c r="J325" s="1" t="s">
        <v>90</v>
      </c>
      <c r="K325" s="1" t="s">
        <v>91</v>
      </c>
      <c r="L325" s="1">
        <v>90049</v>
      </c>
      <c r="M325" s="1" t="s">
        <v>92</v>
      </c>
      <c r="N325" s="1" t="s">
        <v>1164</v>
      </c>
      <c r="O325" s="1" t="s">
        <v>65</v>
      </c>
      <c r="P325" s="1" t="s">
        <v>106</v>
      </c>
      <c r="Q325" s="1" t="s">
        <v>1165</v>
      </c>
      <c r="R325" s="1">
        <v>91.96</v>
      </c>
      <c r="S325" s="1">
        <v>2</v>
      </c>
      <c r="T325" s="1">
        <v>0</v>
      </c>
      <c r="U325" s="1">
        <v>15.633199999999988</v>
      </c>
    </row>
    <row r="326" spans="1:21" ht="15.75" x14ac:dyDescent="0.25">
      <c r="A326" s="1">
        <v>325</v>
      </c>
      <c r="B326" s="2" t="s">
        <v>1161</v>
      </c>
      <c r="C326" s="3">
        <v>45022</v>
      </c>
      <c r="D326" s="3">
        <v>45028</v>
      </c>
      <c r="E326" s="1" t="s">
        <v>22</v>
      </c>
      <c r="F326" s="1" t="s">
        <v>1162</v>
      </c>
      <c r="G326" s="1" t="s">
        <v>1163</v>
      </c>
      <c r="H326" s="1" t="s">
        <v>74</v>
      </c>
      <c r="I326" s="1" t="s">
        <v>26</v>
      </c>
      <c r="J326" s="1" t="s">
        <v>90</v>
      </c>
      <c r="K326" s="1" t="s">
        <v>91</v>
      </c>
      <c r="L326" s="1">
        <v>90049</v>
      </c>
      <c r="M326" s="1" t="s">
        <v>92</v>
      </c>
      <c r="N326" s="1" t="s">
        <v>1166</v>
      </c>
      <c r="O326" s="1" t="s">
        <v>65</v>
      </c>
      <c r="P326" s="1" t="s">
        <v>106</v>
      </c>
      <c r="Q326" s="1" t="s">
        <v>1167</v>
      </c>
      <c r="R326" s="1">
        <v>33.11</v>
      </c>
      <c r="S326" s="1">
        <v>7</v>
      </c>
      <c r="T326" s="1">
        <v>0</v>
      </c>
      <c r="U326" s="1">
        <v>12.912900000000004</v>
      </c>
    </row>
    <row r="327" spans="1:21" ht="15.75" x14ac:dyDescent="0.25">
      <c r="A327" s="1">
        <v>326</v>
      </c>
      <c r="B327" s="2" t="s">
        <v>1168</v>
      </c>
      <c r="C327" s="3">
        <v>45022</v>
      </c>
      <c r="D327" s="3">
        <v>45028</v>
      </c>
      <c r="E327" s="1" t="s">
        <v>22</v>
      </c>
      <c r="F327" s="1" t="s">
        <v>1169</v>
      </c>
      <c r="G327" s="1" t="s">
        <v>1170</v>
      </c>
      <c r="H327" s="1" t="s">
        <v>74</v>
      </c>
      <c r="I327" s="1" t="s">
        <v>26</v>
      </c>
      <c r="J327" s="1" t="s">
        <v>387</v>
      </c>
      <c r="K327" s="1" t="s">
        <v>388</v>
      </c>
      <c r="L327" s="1">
        <v>98115</v>
      </c>
      <c r="M327" s="1" t="s">
        <v>92</v>
      </c>
      <c r="N327" s="1" t="s">
        <v>1171</v>
      </c>
      <c r="O327" s="1" t="s">
        <v>65</v>
      </c>
      <c r="P327" s="1" t="s">
        <v>339</v>
      </c>
      <c r="Q327" s="1" t="s">
        <v>1172</v>
      </c>
      <c r="R327" s="1">
        <v>653.54999999999995</v>
      </c>
      <c r="S327" s="1">
        <v>3</v>
      </c>
      <c r="T327" s="1">
        <v>0</v>
      </c>
      <c r="U327" s="1">
        <v>111.10349999999994</v>
      </c>
    </row>
    <row r="328" spans="1:21" ht="15.75" x14ac:dyDescent="0.25">
      <c r="A328" s="1">
        <v>327</v>
      </c>
      <c r="B328" s="2" t="s">
        <v>1173</v>
      </c>
      <c r="C328" s="3">
        <v>45022</v>
      </c>
      <c r="D328" s="3">
        <v>45024</v>
      </c>
      <c r="E328" s="1" t="s">
        <v>71</v>
      </c>
      <c r="F328" s="1" t="s">
        <v>315</v>
      </c>
      <c r="G328" s="1" t="s">
        <v>316</v>
      </c>
      <c r="H328" s="1" t="s">
        <v>37</v>
      </c>
      <c r="I328" s="1" t="s">
        <v>26</v>
      </c>
      <c r="J328" s="1" t="s">
        <v>52</v>
      </c>
      <c r="K328" s="1" t="s">
        <v>53</v>
      </c>
      <c r="L328" s="1">
        <v>19143</v>
      </c>
      <c r="M328" s="1" t="s">
        <v>54</v>
      </c>
      <c r="N328" s="1" t="s">
        <v>1174</v>
      </c>
      <c r="O328" s="1" t="s">
        <v>65</v>
      </c>
      <c r="P328" s="1" t="s">
        <v>339</v>
      </c>
      <c r="Q328" s="1" t="s">
        <v>1175</v>
      </c>
      <c r="R328" s="1">
        <v>154.76400000000001</v>
      </c>
      <c r="S328" s="1">
        <v>3</v>
      </c>
      <c r="T328" s="1">
        <v>0.4</v>
      </c>
      <c r="U328" s="1">
        <v>-36.11160000000001</v>
      </c>
    </row>
    <row r="329" spans="1:21" ht="15.75" x14ac:dyDescent="0.25">
      <c r="A329" s="1">
        <v>328</v>
      </c>
      <c r="B329" s="2" t="s">
        <v>1176</v>
      </c>
      <c r="C329" s="3">
        <v>45022</v>
      </c>
      <c r="D329" s="3">
        <v>45026</v>
      </c>
      <c r="E329" s="1" t="s">
        <v>87</v>
      </c>
      <c r="F329" s="1" t="s">
        <v>1177</v>
      </c>
      <c r="G329" s="1" t="s">
        <v>1178</v>
      </c>
      <c r="H329" s="1" t="s">
        <v>74</v>
      </c>
      <c r="I329" s="1" t="s">
        <v>26</v>
      </c>
      <c r="J329" s="1" t="s">
        <v>90</v>
      </c>
      <c r="K329" s="1" t="s">
        <v>91</v>
      </c>
      <c r="L329" s="1">
        <v>90004</v>
      </c>
      <c r="M329" s="1" t="s">
        <v>92</v>
      </c>
      <c r="N329" s="1" t="s">
        <v>1179</v>
      </c>
      <c r="O329" s="1" t="s">
        <v>31</v>
      </c>
      <c r="P329" s="1" t="s">
        <v>56</v>
      </c>
      <c r="Q329" s="1" t="s">
        <v>1180</v>
      </c>
      <c r="R329" s="1">
        <v>70.949999999999989</v>
      </c>
      <c r="S329" s="1">
        <v>3</v>
      </c>
      <c r="T329" s="1">
        <v>0</v>
      </c>
      <c r="U329" s="1">
        <v>18.447000000000003</v>
      </c>
    </row>
    <row r="330" spans="1:21" ht="15.75" x14ac:dyDescent="0.25">
      <c r="A330" s="1">
        <v>329</v>
      </c>
      <c r="B330" s="2" t="s">
        <v>1176</v>
      </c>
      <c r="C330" s="3">
        <v>45022</v>
      </c>
      <c r="D330" s="3">
        <v>45026</v>
      </c>
      <c r="E330" s="1" t="s">
        <v>87</v>
      </c>
      <c r="F330" s="1" t="s">
        <v>1177</v>
      </c>
      <c r="G330" s="1" t="s">
        <v>1178</v>
      </c>
      <c r="H330" s="1" t="s">
        <v>74</v>
      </c>
      <c r="I330" s="1" t="s">
        <v>26</v>
      </c>
      <c r="J330" s="1" t="s">
        <v>90</v>
      </c>
      <c r="K330" s="1" t="s">
        <v>91</v>
      </c>
      <c r="L330" s="1">
        <v>90004</v>
      </c>
      <c r="M330" s="1" t="s">
        <v>92</v>
      </c>
      <c r="N330" s="1" t="s">
        <v>1181</v>
      </c>
      <c r="O330" s="1" t="s">
        <v>31</v>
      </c>
      <c r="P330" s="1" t="s">
        <v>41</v>
      </c>
      <c r="Q330" s="1" t="s">
        <v>1182</v>
      </c>
      <c r="R330" s="1">
        <v>65.567999999999998</v>
      </c>
      <c r="S330" s="1">
        <v>2</v>
      </c>
      <c r="T330" s="1">
        <v>0.2</v>
      </c>
      <c r="U330" s="1">
        <v>23.768399999999996</v>
      </c>
    </row>
    <row r="331" spans="1:21" ht="15.75" x14ac:dyDescent="0.25">
      <c r="A331" s="1">
        <v>330</v>
      </c>
      <c r="B331" s="2" t="s">
        <v>1183</v>
      </c>
      <c r="C331" s="3">
        <v>45022</v>
      </c>
      <c r="D331" s="3">
        <v>45026</v>
      </c>
      <c r="E331" s="1" t="s">
        <v>22</v>
      </c>
      <c r="F331" s="1" t="s">
        <v>1184</v>
      </c>
      <c r="G331" s="1" t="s">
        <v>1185</v>
      </c>
      <c r="H331" s="1" t="s">
        <v>74</v>
      </c>
      <c r="I331" s="1" t="s">
        <v>26</v>
      </c>
      <c r="J331" s="1" t="s">
        <v>1186</v>
      </c>
      <c r="K331" s="1" t="s">
        <v>53</v>
      </c>
      <c r="L331" s="1">
        <v>17602</v>
      </c>
      <c r="M331" s="1" t="s">
        <v>54</v>
      </c>
      <c r="N331" s="1" t="s">
        <v>1187</v>
      </c>
      <c r="O331" s="1" t="s">
        <v>31</v>
      </c>
      <c r="P331" s="1" t="s">
        <v>41</v>
      </c>
      <c r="Q331" s="1" t="s">
        <v>1188</v>
      </c>
      <c r="R331" s="1">
        <v>44.910000000000011</v>
      </c>
      <c r="S331" s="1">
        <v>6</v>
      </c>
      <c r="T331" s="1">
        <v>0.7</v>
      </c>
      <c r="U331" s="1">
        <v>-35.927999999999997</v>
      </c>
    </row>
    <row r="332" spans="1:21" ht="15.75" x14ac:dyDescent="0.25">
      <c r="A332" s="1">
        <v>331</v>
      </c>
      <c r="B332" s="2" t="s">
        <v>1161</v>
      </c>
      <c r="C332" s="3">
        <v>45022</v>
      </c>
      <c r="D332" s="3">
        <v>45028</v>
      </c>
      <c r="E332" s="1" t="s">
        <v>22</v>
      </c>
      <c r="F332" s="1" t="s">
        <v>1162</v>
      </c>
      <c r="G332" s="1" t="s">
        <v>1163</v>
      </c>
      <c r="H332" s="1" t="s">
        <v>74</v>
      </c>
      <c r="I332" s="1" t="s">
        <v>26</v>
      </c>
      <c r="J332" s="1" t="s">
        <v>90</v>
      </c>
      <c r="K332" s="1" t="s">
        <v>91</v>
      </c>
      <c r="L332" s="1">
        <v>90049</v>
      </c>
      <c r="M332" s="1" t="s">
        <v>92</v>
      </c>
      <c r="N332" s="1" t="s">
        <v>1189</v>
      </c>
      <c r="O332" s="1" t="s">
        <v>31</v>
      </c>
      <c r="P332" s="1" t="s">
        <v>32</v>
      </c>
      <c r="Q332" s="1" t="s">
        <v>1190</v>
      </c>
      <c r="R332" s="1">
        <v>55.48</v>
      </c>
      <c r="S332" s="1">
        <v>1</v>
      </c>
      <c r="T332" s="1">
        <v>0</v>
      </c>
      <c r="U332" s="1">
        <v>26.630399999999998</v>
      </c>
    </row>
    <row r="333" spans="1:21" ht="15.75" x14ac:dyDescent="0.25">
      <c r="A333" s="1">
        <v>332</v>
      </c>
      <c r="B333" s="2" t="s">
        <v>1161</v>
      </c>
      <c r="C333" s="3">
        <v>45022</v>
      </c>
      <c r="D333" s="3">
        <v>45028</v>
      </c>
      <c r="E333" s="1" t="s">
        <v>22</v>
      </c>
      <c r="F333" s="1" t="s">
        <v>1162</v>
      </c>
      <c r="G333" s="1" t="s">
        <v>1163</v>
      </c>
      <c r="H333" s="1" t="s">
        <v>74</v>
      </c>
      <c r="I333" s="1" t="s">
        <v>26</v>
      </c>
      <c r="J333" s="1" t="s">
        <v>90</v>
      </c>
      <c r="K333" s="1" t="s">
        <v>91</v>
      </c>
      <c r="L333" s="1">
        <v>90049</v>
      </c>
      <c r="M333" s="1" t="s">
        <v>92</v>
      </c>
      <c r="N333" s="1" t="s">
        <v>1191</v>
      </c>
      <c r="O333" s="1" t="s">
        <v>31</v>
      </c>
      <c r="P333" s="1" t="s">
        <v>32</v>
      </c>
      <c r="Q333" s="1" t="s">
        <v>1192</v>
      </c>
      <c r="R333" s="1">
        <v>19.440000000000001</v>
      </c>
      <c r="S333" s="1">
        <v>3</v>
      </c>
      <c r="T333" s="1">
        <v>0</v>
      </c>
      <c r="U333" s="1">
        <v>9.3312000000000008</v>
      </c>
    </row>
    <row r="334" spans="1:21" ht="15.75" x14ac:dyDescent="0.25">
      <c r="A334" s="1">
        <v>333</v>
      </c>
      <c r="B334" s="2" t="s">
        <v>1173</v>
      </c>
      <c r="C334" s="3">
        <v>45022</v>
      </c>
      <c r="D334" s="3">
        <v>45024</v>
      </c>
      <c r="E334" s="1" t="s">
        <v>71</v>
      </c>
      <c r="F334" s="1" t="s">
        <v>315</v>
      </c>
      <c r="G334" s="1" t="s">
        <v>316</v>
      </c>
      <c r="H334" s="1" t="s">
        <v>37</v>
      </c>
      <c r="I334" s="1" t="s">
        <v>26</v>
      </c>
      <c r="J334" s="1" t="s">
        <v>52</v>
      </c>
      <c r="K334" s="1" t="s">
        <v>53</v>
      </c>
      <c r="L334" s="1">
        <v>19143</v>
      </c>
      <c r="M334" s="1" t="s">
        <v>54</v>
      </c>
      <c r="N334" s="1" t="s">
        <v>1193</v>
      </c>
      <c r="O334" s="1" t="s">
        <v>31</v>
      </c>
      <c r="P334" s="1" t="s">
        <v>475</v>
      </c>
      <c r="Q334" s="1" t="s">
        <v>1194</v>
      </c>
      <c r="R334" s="1">
        <v>10.304000000000002</v>
      </c>
      <c r="S334" s="1">
        <v>1</v>
      </c>
      <c r="T334" s="1">
        <v>0.2</v>
      </c>
      <c r="U334" s="1">
        <v>-2.1896000000000004</v>
      </c>
    </row>
    <row r="335" spans="1:21" ht="15.75" x14ac:dyDescent="0.25">
      <c r="A335" s="1">
        <v>334</v>
      </c>
      <c r="B335" s="2" t="s">
        <v>1168</v>
      </c>
      <c r="C335" s="3">
        <v>45022</v>
      </c>
      <c r="D335" s="3">
        <v>45028</v>
      </c>
      <c r="E335" s="1" t="s">
        <v>22</v>
      </c>
      <c r="F335" s="1" t="s">
        <v>1169</v>
      </c>
      <c r="G335" s="1" t="s">
        <v>1170</v>
      </c>
      <c r="H335" s="1" t="s">
        <v>74</v>
      </c>
      <c r="I335" s="1" t="s">
        <v>26</v>
      </c>
      <c r="J335" s="1" t="s">
        <v>387</v>
      </c>
      <c r="K335" s="1" t="s">
        <v>388</v>
      </c>
      <c r="L335" s="1">
        <v>98115</v>
      </c>
      <c r="M335" s="1" t="s">
        <v>92</v>
      </c>
      <c r="N335" s="1" t="s">
        <v>1195</v>
      </c>
      <c r="O335" s="1" t="s">
        <v>96</v>
      </c>
      <c r="P335" s="1" t="s">
        <v>117</v>
      </c>
      <c r="Q335" s="1" t="s">
        <v>1196</v>
      </c>
      <c r="R335" s="1">
        <v>33.9</v>
      </c>
      <c r="S335" s="1">
        <v>2</v>
      </c>
      <c r="T335" s="1">
        <v>0</v>
      </c>
      <c r="U335" s="1">
        <v>2.0339999999999989</v>
      </c>
    </row>
    <row r="336" spans="1:21" ht="15.75" x14ac:dyDescent="0.25">
      <c r="A336" s="1">
        <v>335</v>
      </c>
      <c r="B336" s="2" t="s">
        <v>1176</v>
      </c>
      <c r="C336" s="3">
        <v>45022</v>
      </c>
      <c r="D336" s="3">
        <v>45026</v>
      </c>
      <c r="E336" s="1" t="s">
        <v>87</v>
      </c>
      <c r="F336" s="1" t="s">
        <v>1177</v>
      </c>
      <c r="G336" s="1" t="s">
        <v>1178</v>
      </c>
      <c r="H336" s="1" t="s">
        <v>74</v>
      </c>
      <c r="I336" s="1" t="s">
        <v>26</v>
      </c>
      <c r="J336" s="1" t="s">
        <v>90</v>
      </c>
      <c r="K336" s="1" t="s">
        <v>91</v>
      </c>
      <c r="L336" s="1">
        <v>90004</v>
      </c>
      <c r="M336" s="1" t="s">
        <v>92</v>
      </c>
      <c r="N336" s="1" t="s">
        <v>1197</v>
      </c>
      <c r="O336" s="1" t="s">
        <v>96</v>
      </c>
      <c r="P336" s="1" t="s">
        <v>117</v>
      </c>
      <c r="Q336" s="1" t="s">
        <v>1198</v>
      </c>
      <c r="R336" s="1">
        <v>299.96999999999997</v>
      </c>
      <c r="S336" s="1">
        <v>3</v>
      </c>
      <c r="T336" s="1">
        <v>0</v>
      </c>
      <c r="U336" s="1">
        <v>131.98680000000002</v>
      </c>
    </row>
    <row r="337" spans="1:21" ht="15.75" x14ac:dyDescent="0.25">
      <c r="A337" s="1">
        <v>336</v>
      </c>
      <c r="B337" s="2" t="s">
        <v>1173</v>
      </c>
      <c r="C337" s="3">
        <v>45022</v>
      </c>
      <c r="D337" s="3">
        <v>45024</v>
      </c>
      <c r="E337" s="1" t="s">
        <v>71</v>
      </c>
      <c r="F337" s="1" t="s">
        <v>315</v>
      </c>
      <c r="G337" s="1" t="s">
        <v>316</v>
      </c>
      <c r="H337" s="1" t="s">
        <v>37</v>
      </c>
      <c r="I337" s="1" t="s">
        <v>26</v>
      </c>
      <c r="J337" s="1" t="s">
        <v>52</v>
      </c>
      <c r="K337" s="1" t="s">
        <v>53</v>
      </c>
      <c r="L337" s="1">
        <v>19143</v>
      </c>
      <c r="M337" s="1" t="s">
        <v>54</v>
      </c>
      <c r="N337" s="1" t="s">
        <v>1199</v>
      </c>
      <c r="O337" s="1" t="s">
        <v>96</v>
      </c>
      <c r="P337" s="1" t="s">
        <v>117</v>
      </c>
      <c r="Q337" s="1" t="s">
        <v>1200</v>
      </c>
      <c r="R337" s="1">
        <v>116.78399999999999</v>
      </c>
      <c r="S337" s="1">
        <v>2</v>
      </c>
      <c r="T337" s="1">
        <v>0.2</v>
      </c>
      <c r="U337" s="1">
        <v>21.896999999999991</v>
      </c>
    </row>
    <row r="338" spans="1:21" ht="15.75" x14ac:dyDescent="0.25">
      <c r="A338" s="1">
        <v>337</v>
      </c>
      <c r="B338" s="2" t="s">
        <v>1201</v>
      </c>
      <c r="C338" s="3">
        <v>45023</v>
      </c>
      <c r="D338" s="3">
        <v>45026</v>
      </c>
      <c r="E338" s="1" t="s">
        <v>71</v>
      </c>
      <c r="F338" s="1" t="s">
        <v>1202</v>
      </c>
      <c r="G338" s="1" t="s">
        <v>1203</v>
      </c>
      <c r="H338" s="1" t="s">
        <v>25</v>
      </c>
      <c r="I338" s="1" t="s">
        <v>26</v>
      </c>
      <c r="J338" s="1" t="s">
        <v>1204</v>
      </c>
      <c r="K338" s="1" t="s">
        <v>1205</v>
      </c>
      <c r="L338" s="1">
        <v>36608</v>
      </c>
      <c r="M338" s="1" t="s">
        <v>63</v>
      </c>
      <c r="N338" s="1" t="s">
        <v>1206</v>
      </c>
      <c r="O338" s="1" t="s">
        <v>65</v>
      </c>
      <c r="P338" s="1" t="s">
        <v>106</v>
      </c>
      <c r="Q338" s="1" t="s">
        <v>1207</v>
      </c>
      <c r="R338" s="1">
        <v>8.9600000000000009</v>
      </c>
      <c r="S338" s="1">
        <v>2</v>
      </c>
      <c r="T338" s="1">
        <v>0</v>
      </c>
      <c r="U338" s="1">
        <v>2.7775999999999996</v>
      </c>
    </row>
    <row r="339" spans="1:21" ht="15.75" x14ac:dyDescent="0.25">
      <c r="A339" s="1">
        <v>338</v>
      </c>
      <c r="B339" s="2" t="s">
        <v>1208</v>
      </c>
      <c r="C339" s="3">
        <v>45023</v>
      </c>
      <c r="D339" s="3">
        <v>45028</v>
      </c>
      <c r="E339" s="1" t="s">
        <v>22</v>
      </c>
      <c r="F339" s="1" t="s">
        <v>1209</v>
      </c>
      <c r="G339" s="1" t="s">
        <v>1210</v>
      </c>
      <c r="H339" s="1" t="s">
        <v>74</v>
      </c>
      <c r="I339" s="1" t="s">
        <v>26</v>
      </c>
      <c r="J339" s="1" t="s">
        <v>437</v>
      </c>
      <c r="K339" s="1" t="s">
        <v>146</v>
      </c>
      <c r="L339" s="1">
        <v>29203</v>
      </c>
      <c r="M339" s="1" t="s">
        <v>63</v>
      </c>
      <c r="N339" s="1" t="s">
        <v>1211</v>
      </c>
      <c r="O339" s="1" t="s">
        <v>31</v>
      </c>
      <c r="P339" s="1" t="s">
        <v>32</v>
      </c>
      <c r="Q339" s="1" t="s">
        <v>1212</v>
      </c>
      <c r="R339" s="1">
        <v>122.97</v>
      </c>
      <c r="S339" s="1">
        <v>3</v>
      </c>
      <c r="T339" s="1">
        <v>0</v>
      </c>
      <c r="U339" s="1">
        <v>60.255300000000005</v>
      </c>
    </row>
    <row r="340" spans="1:21" ht="15.75" x14ac:dyDescent="0.25">
      <c r="A340" s="1">
        <v>339</v>
      </c>
      <c r="B340" s="2" t="s">
        <v>1213</v>
      </c>
      <c r="C340" s="3">
        <v>45023</v>
      </c>
      <c r="D340" s="3">
        <v>45023</v>
      </c>
      <c r="E340" s="1" t="s">
        <v>497</v>
      </c>
      <c r="F340" s="1" t="s">
        <v>1214</v>
      </c>
      <c r="G340" s="1" t="s">
        <v>1215</v>
      </c>
      <c r="H340" s="1" t="s">
        <v>37</v>
      </c>
      <c r="I340" s="1" t="s">
        <v>26</v>
      </c>
      <c r="J340" s="1" t="s">
        <v>1216</v>
      </c>
      <c r="K340" s="1" t="s">
        <v>76</v>
      </c>
      <c r="L340" s="1">
        <v>30062</v>
      </c>
      <c r="M340" s="1" t="s">
        <v>63</v>
      </c>
      <c r="N340" s="1" t="s">
        <v>1217</v>
      </c>
      <c r="O340" s="1" t="s">
        <v>31</v>
      </c>
      <c r="P340" s="1" t="s">
        <v>32</v>
      </c>
      <c r="Q340" s="1" t="s">
        <v>1218</v>
      </c>
      <c r="R340" s="1">
        <v>58.320000000000007</v>
      </c>
      <c r="S340" s="1">
        <v>9</v>
      </c>
      <c r="T340" s="1">
        <v>0</v>
      </c>
      <c r="U340" s="1">
        <v>27.993600000000001</v>
      </c>
    </row>
    <row r="341" spans="1:21" ht="15.75" x14ac:dyDescent="0.25">
      <c r="A341" s="1">
        <v>340</v>
      </c>
      <c r="B341" s="2" t="s">
        <v>1208</v>
      </c>
      <c r="C341" s="3">
        <v>45023</v>
      </c>
      <c r="D341" s="3">
        <v>45028</v>
      </c>
      <c r="E341" s="1" t="s">
        <v>22</v>
      </c>
      <c r="F341" s="1" t="s">
        <v>1209</v>
      </c>
      <c r="G341" s="1" t="s">
        <v>1210</v>
      </c>
      <c r="H341" s="1" t="s">
        <v>74</v>
      </c>
      <c r="I341" s="1" t="s">
        <v>26</v>
      </c>
      <c r="J341" s="1" t="s">
        <v>437</v>
      </c>
      <c r="K341" s="1" t="s">
        <v>146</v>
      </c>
      <c r="L341" s="1">
        <v>29203</v>
      </c>
      <c r="M341" s="1" t="s">
        <v>63</v>
      </c>
      <c r="N341" s="1" t="s">
        <v>989</v>
      </c>
      <c r="O341" s="1" t="s">
        <v>96</v>
      </c>
      <c r="P341" s="1" t="s">
        <v>97</v>
      </c>
      <c r="Q341" s="1" t="s">
        <v>990</v>
      </c>
      <c r="R341" s="1">
        <v>629.94999999999993</v>
      </c>
      <c r="S341" s="1">
        <v>5</v>
      </c>
      <c r="T341" s="1">
        <v>0</v>
      </c>
      <c r="U341" s="1">
        <v>163.78700000000003</v>
      </c>
    </row>
    <row r="342" spans="1:21" ht="15.75" x14ac:dyDescent="0.25">
      <c r="A342" s="1">
        <v>341</v>
      </c>
      <c r="B342" s="2" t="s">
        <v>1213</v>
      </c>
      <c r="C342" s="3">
        <v>45023</v>
      </c>
      <c r="D342" s="3">
        <v>45023</v>
      </c>
      <c r="E342" s="1" t="s">
        <v>497</v>
      </c>
      <c r="F342" s="1" t="s">
        <v>1214</v>
      </c>
      <c r="G342" s="1" t="s">
        <v>1215</v>
      </c>
      <c r="H342" s="1" t="s">
        <v>37</v>
      </c>
      <c r="I342" s="1" t="s">
        <v>26</v>
      </c>
      <c r="J342" s="1" t="s">
        <v>1216</v>
      </c>
      <c r="K342" s="1" t="s">
        <v>76</v>
      </c>
      <c r="L342" s="1">
        <v>30062</v>
      </c>
      <c r="M342" s="1" t="s">
        <v>63</v>
      </c>
      <c r="N342" s="1" t="s">
        <v>1219</v>
      </c>
      <c r="O342" s="1" t="s">
        <v>96</v>
      </c>
      <c r="P342" s="1" t="s">
        <v>97</v>
      </c>
      <c r="Q342" s="1" t="s">
        <v>1220</v>
      </c>
      <c r="R342" s="1">
        <v>200.96999999999997</v>
      </c>
      <c r="S342" s="1">
        <v>3</v>
      </c>
      <c r="T342" s="1">
        <v>0</v>
      </c>
      <c r="U342" s="1">
        <v>50.242500000000007</v>
      </c>
    </row>
    <row r="343" spans="1:21" ht="15.75" x14ac:dyDescent="0.25">
      <c r="A343" s="1">
        <v>342</v>
      </c>
      <c r="B343" s="2" t="s">
        <v>1221</v>
      </c>
      <c r="C343" s="3">
        <v>45024</v>
      </c>
      <c r="D343" s="3">
        <v>45028</v>
      </c>
      <c r="E343" s="1" t="s">
        <v>22</v>
      </c>
      <c r="F343" s="1" t="s">
        <v>1222</v>
      </c>
      <c r="G343" s="1" t="s">
        <v>1223</v>
      </c>
      <c r="H343" s="1" t="s">
        <v>74</v>
      </c>
      <c r="I343" s="1" t="s">
        <v>26</v>
      </c>
      <c r="J343" s="1" t="s">
        <v>1154</v>
      </c>
      <c r="K343" s="1" t="s">
        <v>1205</v>
      </c>
      <c r="L343" s="1">
        <v>35601</v>
      </c>
      <c r="M343" s="1" t="s">
        <v>63</v>
      </c>
      <c r="N343" s="1" t="s">
        <v>1224</v>
      </c>
      <c r="O343" s="1" t="s">
        <v>65</v>
      </c>
      <c r="P343" s="1" t="s">
        <v>339</v>
      </c>
      <c r="Q343" s="1" t="s">
        <v>1225</v>
      </c>
      <c r="R343" s="1">
        <v>1215.92</v>
      </c>
      <c r="S343" s="1">
        <v>8</v>
      </c>
      <c r="T343" s="1">
        <v>0</v>
      </c>
      <c r="U343" s="1">
        <v>316.13920000000007</v>
      </c>
    </row>
    <row r="344" spans="1:21" ht="15.75" x14ac:dyDescent="0.25">
      <c r="A344" s="1">
        <v>343</v>
      </c>
      <c r="B344" s="2" t="s">
        <v>1226</v>
      </c>
      <c r="C344" s="3">
        <v>45024</v>
      </c>
      <c r="D344" s="3">
        <v>45028</v>
      </c>
      <c r="E344" s="1" t="s">
        <v>22</v>
      </c>
      <c r="F344" s="1" t="s">
        <v>429</v>
      </c>
      <c r="G344" s="1" t="s">
        <v>430</v>
      </c>
      <c r="H344" s="1" t="s">
        <v>37</v>
      </c>
      <c r="I344" s="1" t="s">
        <v>26</v>
      </c>
      <c r="J344" s="1" t="s">
        <v>461</v>
      </c>
      <c r="K344" s="1" t="s">
        <v>91</v>
      </c>
      <c r="L344" s="1">
        <v>94521</v>
      </c>
      <c r="M344" s="1" t="s">
        <v>92</v>
      </c>
      <c r="N344" s="1" t="s">
        <v>1227</v>
      </c>
      <c r="O344" s="1" t="s">
        <v>65</v>
      </c>
      <c r="P344" s="1" t="s">
        <v>339</v>
      </c>
      <c r="Q344" s="1" t="s">
        <v>1228</v>
      </c>
      <c r="R344" s="1">
        <v>99.591999999999999</v>
      </c>
      <c r="S344" s="1">
        <v>1</v>
      </c>
      <c r="T344" s="1">
        <v>0.2</v>
      </c>
      <c r="U344" s="1">
        <v>2.4897999999999989</v>
      </c>
    </row>
    <row r="345" spans="1:21" ht="15.75" x14ac:dyDescent="0.25">
      <c r="A345" s="1">
        <v>344</v>
      </c>
      <c r="B345" s="2" t="s">
        <v>1229</v>
      </c>
      <c r="C345" s="3">
        <v>45024</v>
      </c>
      <c r="D345" s="3">
        <v>45028</v>
      </c>
      <c r="E345" s="1" t="s">
        <v>22</v>
      </c>
      <c r="F345" s="1" t="s">
        <v>1230</v>
      </c>
      <c r="G345" s="1" t="s">
        <v>1231</v>
      </c>
      <c r="H345" s="1" t="s">
        <v>25</v>
      </c>
      <c r="I345" s="1" t="s">
        <v>26</v>
      </c>
      <c r="J345" s="1" t="s">
        <v>1232</v>
      </c>
      <c r="K345" s="1" t="s">
        <v>155</v>
      </c>
      <c r="L345" s="1">
        <v>43615</v>
      </c>
      <c r="M345" s="1" t="s">
        <v>54</v>
      </c>
      <c r="N345" s="1" t="s">
        <v>1233</v>
      </c>
      <c r="O345" s="1" t="s">
        <v>65</v>
      </c>
      <c r="P345" s="1" t="s">
        <v>339</v>
      </c>
      <c r="Q345" s="1" t="s">
        <v>1234</v>
      </c>
      <c r="R345" s="1">
        <v>172.11</v>
      </c>
      <c r="S345" s="1">
        <v>1</v>
      </c>
      <c r="T345" s="1">
        <v>0.4</v>
      </c>
      <c r="U345" s="1">
        <v>-94.660500000000013</v>
      </c>
    </row>
    <row r="346" spans="1:21" ht="15.75" x14ac:dyDescent="0.25">
      <c r="A346" s="1">
        <v>345</v>
      </c>
      <c r="B346" s="2" t="s">
        <v>1235</v>
      </c>
      <c r="C346" s="3">
        <v>45024</v>
      </c>
      <c r="D346" s="3">
        <v>45031</v>
      </c>
      <c r="E346" s="1" t="s">
        <v>22</v>
      </c>
      <c r="F346" s="1" t="s">
        <v>1236</v>
      </c>
      <c r="G346" s="1" t="s">
        <v>1237</v>
      </c>
      <c r="H346" s="1" t="s">
        <v>74</v>
      </c>
      <c r="I346" s="1" t="s">
        <v>26</v>
      </c>
      <c r="J346" s="1" t="s">
        <v>1238</v>
      </c>
      <c r="K346" s="1" t="s">
        <v>211</v>
      </c>
      <c r="L346" s="1">
        <v>85301</v>
      </c>
      <c r="M346" s="1" t="s">
        <v>92</v>
      </c>
      <c r="N346" s="1" t="s">
        <v>1239</v>
      </c>
      <c r="O346" s="1" t="s">
        <v>31</v>
      </c>
      <c r="P346" s="1" t="s">
        <v>82</v>
      </c>
      <c r="Q346" s="1" t="s">
        <v>1240</v>
      </c>
      <c r="R346" s="1">
        <v>2.3679999999999999</v>
      </c>
      <c r="S346" s="1">
        <v>2</v>
      </c>
      <c r="T346" s="1">
        <v>0.2</v>
      </c>
      <c r="U346" s="1">
        <v>0.82879999999999987</v>
      </c>
    </row>
    <row r="347" spans="1:21" ht="15.75" x14ac:dyDescent="0.25">
      <c r="A347" s="1">
        <v>346</v>
      </c>
      <c r="B347" s="2" t="s">
        <v>1241</v>
      </c>
      <c r="C347" s="3">
        <v>45024</v>
      </c>
      <c r="D347" s="3">
        <v>45029</v>
      </c>
      <c r="E347" s="1" t="s">
        <v>22</v>
      </c>
      <c r="F347" s="1" t="s">
        <v>1242</v>
      </c>
      <c r="G347" s="1" t="s">
        <v>1243</v>
      </c>
      <c r="H347" s="1" t="s">
        <v>37</v>
      </c>
      <c r="I347" s="1" t="s">
        <v>26</v>
      </c>
      <c r="J347" s="1" t="s">
        <v>1244</v>
      </c>
      <c r="K347" s="1" t="s">
        <v>211</v>
      </c>
      <c r="L347" s="1">
        <v>85224</v>
      </c>
      <c r="M347" s="1" t="s">
        <v>92</v>
      </c>
      <c r="N347" s="1" t="s">
        <v>81</v>
      </c>
      <c r="O347" s="1" t="s">
        <v>31</v>
      </c>
      <c r="P347" s="1" t="s">
        <v>82</v>
      </c>
      <c r="Q347" s="1" t="s">
        <v>83</v>
      </c>
      <c r="R347" s="1">
        <v>49.792000000000002</v>
      </c>
      <c r="S347" s="1">
        <v>8</v>
      </c>
      <c r="T347" s="1">
        <v>0.2</v>
      </c>
      <c r="U347" s="1">
        <v>-11.825600000000001</v>
      </c>
    </row>
    <row r="348" spans="1:21" ht="15.75" x14ac:dyDescent="0.25">
      <c r="A348" s="1">
        <v>347</v>
      </c>
      <c r="B348" s="2" t="s">
        <v>1235</v>
      </c>
      <c r="C348" s="3">
        <v>45024</v>
      </c>
      <c r="D348" s="3">
        <v>45031</v>
      </c>
      <c r="E348" s="1" t="s">
        <v>22</v>
      </c>
      <c r="F348" s="1" t="s">
        <v>1236</v>
      </c>
      <c r="G348" s="1" t="s">
        <v>1237</v>
      </c>
      <c r="H348" s="1" t="s">
        <v>74</v>
      </c>
      <c r="I348" s="1" t="s">
        <v>26</v>
      </c>
      <c r="J348" s="1" t="s">
        <v>1238</v>
      </c>
      <c r="K348" s="1" t="s">
        <v>211</v>
      </c>
      <c r="L348" s="1">
        <v>85301</v>
      </c>
      <c r="M348" s="1" t="s">
        <v>92</v>
      </c>
      <c r="N348" s="1" t="s">
        <v>1245</v>
      </c>
      <c r="O348" s="1" t="s">
        <v>31</v>
      </c>
      <c r="P348" s="1" t="s">
        <v>32</v>
      </c>
      <c r="Q348" s="1" t="s">
        <v>1246</v>
      </c>
      <c r="R348" s="1">
        <v>19.008000000000003</v>
      </c>
      <c r="S348" s="1">
        <v>3</v>
      </c>
      <c r="T348" s="1">
        <v>0.2</v>
      </c>
      <c r="U348" s="1">
        <v>6.8903999999999979</v>
      </c>
    </row>
    <row r="349" spans="1:21" ht="15.75" x14ac:dyDescent="0.25">
      <c r="A349" s="1">
        <v>348</v>
      </c>
      <c r="B349" s="2" t="s">
        <v>1226</v>
      </c>
      <c r="C349" s="3">
        <v>45024</v>
      </c>
      <c r="D349" s="3">
        <v>45028</v>
      </c>
      <c r="E349" s="1" t="s">
        <v>22</v>
      </c>
      <c r="F349" s="1" t="s">
        <v>429</v>
      </c>
      <c r="G349" s="1" t="s">
        <v>430</v>
      </c>
      <c r="H349" s="1" t="s">
        <v>37</v>
      </c>
      <c r="I349" s="1" t="s">
        <v>26</v>
      </c>
      <c r="J349" s="1" t="s">
        <v>461</v>
      </c>
      <c r="K349" s="1" t="s">
        <v>91</v>
      </c>
      <c r="L349" s="1">
        <v>94521</v>
      </c>
      <c r="M349" s="1" t="s">
        <v>92</v>
      </c>
      <c r="N349" s="1" t="s">
        <v>1247</v>
      </c>
      <c r="O349" s="1" t="s">
        <v>96</v>
      </c>
      <c r="P349" s="1" t="s">
        <v>117</v>
      </c>
      <c r="Q349" s="1" t="s">
        <v>1248</v>
      </c>
      <c r="R349" s="1">
        <v>399.96</v>
      </c>
      <c r="S349" s="1">
        <v>4</v>
      </c>
      <c r="T349" s="1">
        <v>0</v>
      </c>
      <c r="U349" s="1">
        <v>139.98599999999999</v>
      </c>
    </row>
    <row r="350" spans="1:21" ht="15.75" x14ac:dyDescent="0.25">
      <c r="A350" s="1">
        <v>349</v>
      </c>
      <c r="B350" s="2" t="s">
        <v>1249</v>
      </c>
      <c r="C350" s="3">
        <v>45027</v>
      </c>
      <c r="D350" s="3">
        <v>45032</v>
      </c>
      <c r="E350" s="1" t="s">
        <v>22</v>
      </c>
      <c r="F350" s="1" t="s">
        <v>1250</v>
      </c>
      <c r="G350" s="1" t="s">
        <v>1251</v>
      </c>
      <c r="H350" s="1" t="s">
        <v>25</v>
      </c>
      <c r="I350" s="1" t="s">
        <v>26</v>
      </c>
      <c r="J350" s="1" t="s">
        <v>1252</v>
      </c>
      <c r="K350" s="1" t="s">
        <v>1253</v>
      </c>
      <c r="L350" s="1">
        <v>83501</v>
      </c>
      <c r="M350" s="1" t="s">
        <v>92</v>
      </c>
      <c r="N350" s="1" t="s">
        <v>1254</v>
      </c>
      <c r="O350" s="1" t="s">
        <v>31</v>
      </c>
      <c r="P350" s="1" t="s">
        <v>41</v>
      </c>
      <c r="Q350" s="1" t="s">
        <v>1255</v>
      </c>
      <c r="R350" s="1">
        <v>9.5840000000000014</v>
      </c>
      <c r="S350" s="1">
        <v>1</v>
      </c>
      <c r="T350" s="1">
        <v>0.2</v>
      </c>
      <c r="U350" s="1">
        <v>3.3543999999999996</v>
      </c>
    </row>
    <row r="351" spans="1:21" ht="15.75" x14ac:dyDescent="0.25">
      <c r="A351" s="1">
        <v>350</v>
      </c>
      <c r="B351" s="2" t="s">
        <v>1256</v>
      </c>
      <c r="C351" s="3">
        <v>45027</v>
      </c>
      <c r="D351" s="3">
        <v>45029</v>
      </c>
      <c r="E351" s="1" t="s">
        <v>87</v>
      </c>
      <c r="F351" s="1" t="s">
        <v>1257</v>
      </c>
      <c r="G351" s="1" t="s">
        <v>1258</v>
      </c>
      <c r="H351" s="1" t="s">
        <v>25</v>
      </c>
      <c r="I351" s="1" t="s">
        <v>26</v>
      </c>
      <c r="J351" s="1" t="s">
        <v>272</v>
      </c>
      <c r="K351" s="1" t="s">
        <v>273</v>
      </c>
      <c r="L351" s="1">
        <v>33180</v>
      </c>
      <c r="M351" s="1" t="s">
        <v>63</v>
      </c>
      <c r="N351" s="1" t="s">
        <v>1259</v>
      </c>
      <c r="O351" s="1" t="s">
        <v>31</v>
      </c>
      <c r="P351" s="1" t="s">
        <v>82</v>
      </c>
      <c r="Q351" s="1" t="s">
        <v>1260</v>
      </c>
      <c r="R351" s="1">
        <v>6.911999999999999</v>
      </c>
      <c r="S351" s="1">
        <v>3</v>
      </c>
      <c r="T351" s="1">
        <v>0.2</v>
      </c>
      <c r="U351" s="1">
        <v>2.3327999999999998</v>
      </c>
    </row>
    <row r="352" spans="1:21" ht="15.75" x14ac:dyDescent="0.25">
      <c r="A352" s="1">
        <v>351</v>
      </c>
      <c r="B352" s="2" t="s">
        <v>1256</v>
      </c>
      <c r="C352" s="3">
        <v>45027</v>
      </c>
      <c r="D352" s="3">
        <v>45029</v>
      </c>
      <c r="E352" s="1" t="s">
        <v>87</v>
      </c>
      <c r="F352" s="1" t="s">
        <v>1257</v>
      </c>
      <c r="G352" s="1" t="s">
        <v>1258</v>
      </c>
      <c r="H352" s="1" t="s">
        <v>25</v>
      </c>
      <c r="I352" s="1" t="s">
        <v>26</v>
      </c>
      <c r="J352" s="1" t="s">
        <v>272</v>
      </c>
      <c r="K352" s="1" t="s">
        <v>273</v>
      </c>
      <c r="L352" s="1">
        <v>33180</v>
      </c>
      <c r="M352" s="1" t="s">
        <v>63</v>
      </c>
      <c r="N352" s="1" t="s">
        <v>1261</v>
      </c>
      <c r="O352" s="1" t="s">
        <v>31</v>
      </c>
      <c r="P352" s="1" t="s">
        <v>32</v>
      </c>
      <c r="Q352" s="1" t="s">
        <v>1262</v>
      </c>
      <c r="R352" s="1">
        <v>10.368000000000002</v>
      </c>
      <c r="S352" s="1">
        <v>2</v>
      </c>
      <c r="T352" s="1">
        <v>0.2</v>
      </c>
      <c r="U352" s="1">
        <v>3.6288</v>
      </c>
    </row>
    <row r="353" spans="1:21" ht="15.75" x14ac:dyDescent="0.25">
      <c r="A353" s="1">
        <v>352</v>
      </c>
      <c r="B353" s="2" t="s">
        <v>1263</v>
      </c>
      <c r="C353" s="3">
        <v>45027</v>
      </c>
      <c r="D353" s="3">
        <v>45034</v>
      </c>
      <c r="E353" s="1" t="s">
        <v>22</v>
      </c>
      <c r="F353" s="1" t="s">
        <v>1264</v>
      </c>
      <c r="G353" s="1" t="s">
        <v>1265</v>
      </c>
      <c r="H353" s="1" t="s">
        <v>25</v>
      </c>
      <c r="I353" s="1" t="s">
        <v>26</v>
      </c>
      <c r="J353" s="1" t="s">
        <v>1266</v>
      </c>
      <c r="K353" s="1" t="s">
        <v>1267</v>
      </c>
      <c r="L353" s="1">
        <v>59405</v>
      </c>
      <c r="M353" s="1" t="s">
        <v>92</v>
      </c>
      <c r="N353" s="1" t="s">
        <v>1268</v>
      </c>
      <c r="O353" s="1" t="s">
        <v>31</v>
      </c>
      <c r="P353" s="1" t="s">
        <v>47</v>
      </c>
      <c r="Q353" s="1" t="s">
        <v>1269</v>
      </c>
      <c r="R353" s="1">
        <v>87.08</v>
      </c>
      <c r="S353" s="1">
        <v>7</v>
      </c>
      <c r="T353" s="1">
        <v>0</v>
      </c>
      <c r="U353" s="1">
        <v>24.382400000000001</v>
      </c>
    </row>
    <row r="354" spans="1:21" ht="15.75" x14ac:dyDescent="0.25">
      <c r="A354" s="1">
        <v>353</v>
      </c>
      <c r="B354" s="2" t="s">
        <v>1256</v>
      </c>
      <c r="C354" s="3">
        <v>45027</v>
      </c>
      <c r="D354" s="3">
        <v>45029</v>
      </c>
      <c r="E354" s="1" t="s">
        <v>87</v>
      </c>
      <c r="F354" s="1" t="s">
        <v>1257</v>
      </c>
      <c r="G354" s="1" t="s">
        <v>1258</v>
      </c>
      <c r="H354" s="1" t="s">
        <v>25</v>
      </c>
      <c r="I354" s="1" t="s">
        <v>26</v>
      </c>
      <c r="J354" s="1" t="s">
        <v>272</v>
      </c>
      <c r="K354" s="1" t="s">
        <v>273</v>
      </c>
      <c r="L354" s="1">
        <v>33180</v>
      </c>
      <c r="M354" s="1" t="s">
        <v>63</v>
      </c>
      <c r="N354" s="1" t="s">
        <v>1270</v>
      </c>
      <c r="O354" s="1" t="s">
        <v>96</v>
      </c>
      <c r="P354" s="1" t="s">
        <v>117</v>
      </c>
      <c r="Q354" s="1" t="s">
        <v>1271</v>
      </c>
      <c r="R354" s="1">
        <v>335.94400000000002</v>
      </c>
      <c r="S354" s="1">
        <v>7</v>
      </c>
      <c r="T354" s="1">
        <v>0.2</v>
      </c>
      <c r="U354" s="1">
        <v>41.992999999999995</v>
      </c>
    </row>
    <row r="355" spans="1:21" ht="15.75" x14ac:dyDescent="0.25">
      <c r="A355" s="1">
        <v>354</v>
      </c>
      <c r="B355" s="2" t="s">
        <v>1256</v>
      </c>
      <c r="C355" s="3">
        <v>45027</v>
      </c>
      <c r="D355" s="3">
        <v>45029</v>
      </c>
      <c r="E355" s="1" t="s">
        <v>87</v>
      </c>
      <c r="F355" s="1" t="s">
        <v>1257</v>
      </c>
      <c r="G355" s="1" t="s">
        <v>1258</v>
      </c>
      <c r="H355" s="1" t="s">
        <v>25</v>
      </c>
      <c r="I355" s="1" t="s">
        <v>26</v>
      </c>
      <c r="J355" s="1" t="s">
        <v>272</v>
      </c>
      <c r="K355" s="1" t="s">
        <v>273</v>
      </c>
      <c r="L355" s="1">
        <v>33180</v>
      </c>
      <c r="M355" s="1" t="s">
        <v>63</v>
      </c>
      <c r="N355" s="1" t="s">
        <v>644</v>
      </c>
      <c r="O355" s="1" t="s">
        <v>96</v>
      </c>
      <c r="P355" s="1" t="s">
        <v>117</v>
      </c>
      <c r="Q355" s="1" t="s">
        <v>645</v>
      </c>
      <c r="R355" s="1">
        <v>383.97600000000006</v>
      </c>
      <c r="S355" s="1">
        <v>3</v>
      </c>
      <c r="T355" s="1">
        <v>0.2</v>
      </c>
      <c r="U355" s="1">
        <v>81.59490000000001</v>
      </c>
    </row>
    <row r="356" spans="1:21" ht="15.75" x14ac:dyDescent="0.25">
      <c r="A356" s="1">
        <v>355</v>
      </c>
      <c r="B356" s="2" t="s">
        <v>1263</v>
      </c>
      <c r="C356" s="3">
        <v>45027</v>
      </c>
      <c r="D356" s="3">
        <v>45034</v>
      </c>
      <c r="E356" s="1" t="s">
        <v>22</v>
      </c>
      <c r="F356" s="1" t="s">
        <v>1264</v>
      </c>
      <c r="G356" s="1" t="s">
        <v>1265</v>
      </c>
      <c r="H356" s="1" t="s">
        <v>25</v>
      </c>
      <c r="I356" s="1" t="s">
        <v>26</v>
      </c>
      <c r="J356" s="1" t="s">
        <v>1266</v>
      </c>
      <c r="K356" s="1" t="s">
        <v>1267</v>
      </c>
      <c r="L356" s="1">
        <v>59405</v>
      </c>
      <c r="M356" s="1" t="s">
        <v>92</v>
      </c>
      <c r="N356" s="1" t="s">
        <v>1272</v>
      </c>
      <c r="O356" s="1" t="s">
        <v>96</v>
      </c>
      <c r="P356" s="1" t="s">
        <v>117</v>
      </c>
      <c r="Q356" s="1" t="s">
        <v>1273</v>
      </c>
      <c r="R356" s="1">
        <v>217.44</v>
      </c>
      <c r="S356" s="1">
        <v>6</v>
      </c>
      <c r="T356" s="1">
        <v>0</v>
      </c>
      <c r="U356" s="1">
        <v>91.32480000000001</v>
      </c>
    </row>
    <row r="357" spans="1:21" ht="15.75" x14ac:dyDescent="0.25">
      <c r="A357" s="1">
        <v>356</v>
      </c>
      <c r="B357" s="2" t="s">
        <v>1263</v>
      </c>
      <c r="C357" s="3">
        <v>45027</v>
      </c>
      <c r="D357" s="3">
        <v>45034</v>
      </c>
      <c r="E357" s="1" t="s">
        <v>22</v>
      </c>
      <c r="F357" s="1" t="s">
        <v>1264</v>
      </c>
      <c r="G357" s="1" t="s">
        <v>1265</v>
      </c>
      <c r="H357" s="1" t="s">
        <v>25</v>
      </c>
      <c r="I357" s="1" t="s">
        <v>26</v>
      </c>
      <c r="J357" s="1" t="s">
        <v>1266</v>
      </c>
      <c r="K357" s="1" t="s">
        <v>1267</v>
      </c>
      <c r="L357" s="1">
        <v>59405</v>
      </c>
      <c r="M357" s="1" t="s">
        <v>92</v>
      </c>
      <c r="N357" s="1" t="s">
        <v>1274</v>
      </c>
      <c r="O357" s="1" t="s">
        <v>96</v>
      </c>
      <c r="P357" s="1" t="s">
        <v>97</v>
      </c>
      <c r="Q357" s="1" t="s">
        <v>1275</v>
      </c>
      <c r="R357" s="1">
        <v>105.584</v>
      </c>
      <c r="S357" s="1">
        <v>2</v>
      </c>
      <c r="T357" s="1">
        <v>0.2</v>
      </c>
      <c r="U357" s="1">
        <v>9.2386000000000053</v>
      </c>
    </row>
    <row r="358" spans="1:21" ht="15.75" x14ac:dyDescent="0.25">
      <c r="A358" s="1">
        <v>357</v>
      </c>
      <c r="B358" s="2" t="s">
        <v>1276</v>
      </c>
      <c r="C358" s="3">
        <v>45027</v>
      </c>
      <c r="D358" s="3">
        <v>45032</v>
      </c>
      <c r="E358" s="1" t="s">
        <v>87</v>
      </c>
      <c r="F358" s="1" t="s">
        <v>1277</v>
      </c>
      <c r="G358" s="1" t="s">
        <v>1278</v>
      </c>
      <c r="H358" s="1" t="s">
        <v>37</v>
      </c>
      <c r="I358" s="1" t="s">
        <v>26</v>
      </c>
      <c r="J358" s="1" t="s">
        <v>1279</v>
      </c>
      <c r="K358" s="1" t="s">
        <v>28</v>
      </c>
      <c r="L358" s="1">
        <v>78745</v>
      </c>
      <c r="M358" s="1" t="s">
        <v>29</v>
      </c>
      <c r="N358" s="1" t="s">
        <v>1280</v>
      </c>
      <c r="O358" s="1" t="s">
        <v>96</v>
      </c>
      <c r="P358" s="1" t="s">
        <v>97</v>
      </c>
      <c r="Q358" s="1" t="s">
        <v>1281</v>
      </c>
      <c r="R358" s="1">
        <v>758.35200000000009</v>
      </c>
      <c r="S358" s="1">
        <v>6</v>
      </c>
      <c r="T358" s="1">
        <v>0.2</v>
      </c>
      <c r="U358" s="1">
        <v>265.42320000000001</v>
      </c>
    </row>
    <row r="359" spans="1:21" ht="15.75" x14ac:dyDescent="0.25">
      <c r="A359" s="1">
        <v>358</v>
      </c>
      <c r="B359" s="2" t="s">
        <v>1282</v>
      </c>
      <c r="C359" s="3">
        <v>45028</v>
      </c>
      <c r="D359" s="3">
        <v>45033</v>
      </c>
      <c r="E359" s="1" t="s">
        <v>22</v>
      </c>
      <c r="F359" s="1" t="s">
        <v>1283</v>
      </c>
      <c r="G359" s="1" t="s">
        <v>1284</v>
      </c>
      <c r="H359" s="1" t="s">
        <v>74</v>
      </c>
      <c r="I359" s="1" t="s">
        <v>26</v>
      </c>
      <c r="J359" s="1" t="s">
        <v>1285</v>
      </c>
      <c r="K359" s="1" t="s">
        <v>91</v>
      </c>
      <c r="L359" s="1">
        <v>90278</v>
      </c>
      <c r="M359" s="1" t="s">
        <v>92</v>
      </c>
      <c r="N359" s="1" t="s">
        <v>998</v>
      </c>
      <c r="O359" s="1" t="s">
        <v>65</v>
      </c>
      <c r="P359" s="1" t="s">
        <v>140</v>
      </c>
      <c r="Q359" s="1" t="s">
        <v>999</v>
      </c>
      <c r="R359" s="1">
        <v>308.49900000000002</v>
      </c>
      <c r="S359" s="1">
        <v>3</v>
      </c>
      <c r="T359" s="1">
        <v>0.15</v>
      </c>
      <c r="U359" s="1">
        <v>-18.146999999999998</v>
      </c>
    </row>
    <row r="360" spans="1:21" ht="15.75" x14ac:dyDescent="0.25">
      <c r="A360" s="1">
        <v>359</v>
      </c>
      <c r="B360" s="2" t="s">
        <v>1286</v>
      </c>
      <c r="C360" s="3">
        <v>45028</v>
      </c>
      <c r="D360" s="3">
        <v>45034</v>
      </c>
      <c r="E360" s="1" t="s">
        <v>22</v>
      </c>
      <c r="F360" s="1" t="s">
        <v>1287</v>
      </c>
      <c r="G360" s="1" t="s">
        <v>1288</v>
      </c>
      <c r="H360" s="1" t="s">
        <v>74</v>
      </c>
      <c r="I360" s="1" t="s">
        <v>26</v>
      </c>
      <c r="J360" s="1" t="s">
        <v>1289</v>
      </c>
      <c r="K360" s="1" t="s">
        <v>91</v>
      </c>
      <c r="L360" s="1">
        <v>95240</v>
      </c>
      <c r="M360" s="1" t="s">
        <v>92</v>
      </c>
      <c r="N360" s="1" t="s">
        <v>1290</v>
      </c>
      <c r="O360" s="1" t="s">
        <v>31</v>
      </c>
      <c r="P360" s="1" t="s">
        <v>56</v>
      </c>
      <c r="Q360" s="1" t="s">
        <v>1291</v>
      </c>
      <c r="R360" s="1">
        <v>39.68</v>
      </c>
      <c r="S360" s="1">
        <v>2</v>
      </c>
      <c r="T360" s="1">
        <v>0</v>
      </c>
      <c r="U360" s="1">
        <v>16.268800000000002</v>
      </c>
    </row>
    <row r="361" spans="1:21" ht="15.75" x14ac:dyDescent="0.25">
      <c r="A361" s="1">
        <v>360</v>
      </c>
      <c r="B361" s="2" t="s">
        <v>1282</v>
      </c>
      <c r="C361" s="3">
        <v>45028</v>
      </c>
      <c r="D361" s="3">
        <v>45033</v>
      </c>
      <c r="E361" s="1" t="s">
        <v>22</v>
      </c>
      <c r="F361" s="1" t="s">
        <v>1283</v>
      </c>
      <c r="G361" s="1" t="s">
        <v>1284</v>
      </c>
      <c r="H361" s="1" t="s">
        <v>74</v>
      </c>
      <c r="I361" s="1" t="s">
        <v>26</v>
      </c>
      <c r="J361" s="1" t="s">
        <v>1285</v>
      </c>
      <c r="K361" s="1" t="s">
        <v>91</v>
      </c>
      <c r="L361" s="1">
        <v>90278</v>
      </c>
      <c r="M361" s="1" t="s">
        <v>92</v>
      </c>
      <c r="N361" s="1" t="s">
        <v>1292</v>
      </c>
      <c r="O361" s="1" t="s">
        <v>31</v>
      </c>
      <c r="P361" s="1" t="s">
        <v>41</v>
      </c>
      <c r="Q361" s="1" t="s">
        <v>1293</v>
      </c>
      <c r="R361" s="1">
        <v>18.088000000000001</v>
      </c>
      <c r="S361" s="1">
        <v>7</v>
      </c>
      <c r="T361" s="1">
        <v>0.2</v>
      </c>
      <c r="U361" s="1">
        <v>6.5569000000000006</v>
      </c>
    </row>
    <row r="362" spans="1:21" ht="15.75" x14ac:dyDescent="0.25">
      <c r="A362" s="1">
        <v>361</v>
      </c>
      <c r="B362" s="2" t="s">
        <v>1294</v>
      </c>
      <c r="C362" s="3">
        <v>45028</v>
      </c>
      <c r="D362" s="3">
        <v>45033</v>
      </c>
      <c r="E362" s="1" t="s">
        <v>22</v>
      </c>
      <c r="F362" s="1" t="s">
        <v>1295</v>
      </c>
      <c r="G362" s="1" t="s">
        <v>1296</v>
      </c>
      <c r="H362" s="1" t="s">
        <v>25</v>
      </c>
      <c r="I362" s="1" t="s">
        <v>26</v>
      </c>
      <c r="J362" s="1" t="s">
        <v>1297</v>
      </c>
      <c r="K362" s="1" t="s">
        <v>297</v>
      </c>
      <c r="L362" s="1">
        <v>47401</v>
      </c>
      <c r="M362" s="1" t="s">
        <v>29</v>
      </c>
      <c r="N362" s="1" t="s">
        <v>1298</v>
      </c>
      <c r="O362" s="1" t="s">
        <v>31</v>
      </c>
      <c r="P362" s="1" t="s">
        <v>32</v>
      </c>
      <c r="Q362" s="1" t="s">
        <v>1299</v>
      </c>
      <c r="R362" s="1">
        <v>32.400000000000006</v>
      </c>
      <c r="S362" s="1">
        <v>5</v>
      </c>
      <c r="T362" s="1">
        <v>0</v>
      </c>
      <c r="U362" s="1">
        <v>15.552000000000001</v>
      </c>
    </row>
    <row r="363" spans="1:21" ht="15.75" x14ac:dyDescent="0.25">
      <c r="A363" s="1">
        <v>362</v>
      </c>
      <c r="B363" s="2" t="s">
        <v>1282</v>
      </c>
      <c r="C363" s="3">
        <v>45028</v>
      </c>
      <c r="D363" s="3">
        <v>45033</v>
      </c>
      <c r="E363" s="1" t="s">
        <v>22</v>
      </c>
      <c r="F363" s="1" t="s">
        <v>1283</v>
      </c>
      <c r="G363" s="1" t="s">
        <v>1284</v>
      </c>
      <c r="H363" s="1" t="s">
        <v>74</v>
      </c>
      <c r="I363" s="1" t="s">
        <v>26</v>
      </c>
      <c r="J363" s="1" t="s">
        <v>1285</v>
      </c>
      <c r="K363" s="1" t="s">
        <v>91</v>
      </c>
      <c r="L363" s="1">
        <v>90278</v>
      </c>
      <c r="M363" s="1" t="s">
        <v>92</v>
      </c>
      <c r="N363" s="1" t="s">
        <v>1300</v>
      </c>
      <c r="O363" s="1" t="s">
        <v>96</v>
      </c>
      <c r="P363" s="1" t="s">
        <v>97</v>
      </c>
      <c r="Q363" s="1" t="s">
        <v>1301</v>
      </c>
      <c r="R363" s="1">
        <v>438.36800000000005</v>
      </c>
      <c r="S363" s="1">
        <v>4</v>
      </c>
      <c r="T363" s="1">
        <v>0.2</v>
      </c>
      <c r="U363" s="1">
        <v>38.357200000000006</v>
      </c>
    </row>
    <row r="364" spans="1:21" ht="15.75" x14ac:dyDescent="0.25">
      <c r="A364" s="1">
        <v>363</v>
      </c>
      <c r="B364" s="2" t="s">
        <v>1282</v>
      </c>
      <c r="C364" s="3">
        <v>45028</v>
      </c>
      <c r="D364" s="3">
        <v>45033</v>
      </c>
      <c r="E364" s="1" t="s">
        <v>22</v>
      </c>
      <c r="F364" s="1" t="s">
        <v>1283</v>
      </c>
      <c r="G364" s="1" t="s">
        <v>1284</v>
      </c>
      <c r="H364" s="1" t="s">
        <v>74</v>
      </c>
      <c r="I364" s="1" t="s">
        <v>26</v>
      </c>
      <c r="J364" s="1" t="s">
        <v>1285</v>
      </c>
      <c r="K364" s="1" t="s">
        <v>91</v>
      </c>
      <c r="L364" s="1">
        <v>90278</v>
      </c>
      <c r="M364" s="1" t="s">
        <v>92</v>
      </c>
      <c r="N364" s="1" t="s">
        <v>1302</v>
      </c>
      <c r="O364" s="1" t="s">
        <v>96</v>
      </c>
      <c r="P364" s="1" t="s">
        <v>97</v>
      </c>
      <c r="Q364" s="1" t="s">
        <v>1303</v>
      </c>
      <c r="R364" s="1">
        <v>1075.088</v>
      </c>
      <c r="S364" s="1">
        <v>14</v>
      </c>
      <c r="T364" s="1">
        <v>0.2</v>
      </c>
      <c r="U364" s="1">
        <v>94.070199999999943</v>
      </c>
    </row>
    <row r="365" spans="1:21" ht="15.75" x14ac:dyDescent="0.25">
      <c r="A365" s="1">
        <v>364</v>
      </c>
      <c r="B365" s="2" t="s">
        <v>1304</v>
      </c>
      <c r="C365" s="3">
        <v>45029</v>
      </c>
      <c r="D365" s="3">
        <v>45033</v>
      </c>
      <c r="E365" s="1" t="s">
        <v>87</v>
      </c>
      <c r="F365" s="1" t="s">
        <v>965</v>
      </c>
      <c r="G365" s="1" t="s">
        <v>966</v>
      </c>
      <c r="H365" s="1" t="s">
        <v>74</v>
      </c>
      <c r="I365" s="1" t="s">
        <v>26</v>
      </c>
      <c r="J365" s="1" t="s">
        <v>52</v>
      </c>
      <c r="K365" s="1" t="s">
        <v>53</v>
      </c>
      <c r="L365" s="1">
        <v>19140</v>
      </c>
      <c r="M365" s="1" t="s">
        <v>54</v>
      </c>
      <c r="N365" s="1" t="s">
        <v>1305</v>
      </c>
      <c r="O365" s="1" t="s">
        <v>31</v>
      </c>
      <c r="P365" s="1" t="s">
        <v>56</v>
      </c>
      <c r="Q365" s="1" t="s">
        <v>1306</v>
      </c>
      <c r="R365" s="1">
        <v>17.856000000000002</v>
      </c>
      <c r="S365" s="1">
        <v>4</v>
      </c>
      <c r="T365" s="1">
        <v>0.2</v>
      </c>
      <c r="U365" s="1">
        <v>1.1159999999999979</v>
      </c>
    </row>
    <row r="366" spans="1:21" ht="15.75" x14ac:dyDescent="0.25">
      <c r="A366" s="1">
        <v>365</v>
      </c>
      <c r="B366" s="2" t="s">
        <v>1304</v>
      </c>
      <c r="C366" s="3">
        <v>45029</v>
      </c>
      <c r="D366" s="3">
        <v>45033</v>
      </c>
      <c r="E366" s="1" t="s">
        <v>87</v>
      </c>
      <c r="F366" s="1" t="s">
        <v>965</v>
      </c>
      <c r="G366" s="1" t="s">
        <v>966</v>
      </c>
      <c r="H366" s="1" t="s">
        <v>74</v>
      </c>
      <c r="I366" s="1" t="s">
        <v>26</v>
      </c>
      <c r="J366" s="1" t="s">
        <v>52</v>
      </c>
      <c r="K366" s="1" t="s">
        <v>53</v>
      </c>
      <c r="L366" s="1">
        <v>19140</v>
      </c>
      <c r="M366" s="1" t="s">
        <v>54</v>
      </c>
      <c r="N366" s="1" t="s">
        <v>1307</v>
      </c>
      <c r="O366" s="1" t="s">
        <v>31</v>
      </c>
      <c r="P366" s="1" t="s">
        <v>41</v>
      </c>
      <c r="Q366" s="1" t="s">
        <v>1308</v>
      </c>
      <c r="R366" s="1">
        <v>509.97000000000008</v>
      </c>
      <c r="S366" s="1">
        <v>10</v>
      </c>
      <c r="T366" s="1">
        <v>0.7</v>
      </c>
      <c r="U366" s="1">
        <v>-407.97599999999989</v>
      </c>
    </row>
    <row r="367" spans="1:21" ht="15.75" x14ac:dyDescent="0.25">
      <c r="A367" s="1">
        <v>366</v>
      </c>
      <c r="B367" s="2" t="s">
        <v>1304</v>
      </c>
      <c r="C367" s="3">
        <v>45029</v>
      </c>
      <c r="D367" s="3">
        <v>45033</v>
      </c>
      <c r="E367" s="1" t="s">
        <v>87</v>
      </c>
      <c r="F367" s="1" t="s">
        <v>965</v>
      </c>
      <c r="G367" s="1" t="s">
        <v>966</v>
      </c>
      <c r="H367" s="1" t="s">
        <v>74</v>
      </c>
      <c r="I367" s="1" t="s">
        <v>26</v>
      </c>
      <c r="J367" s="1" t="s">
        <v>52</v>
      </c>
      <c r="K367" s="1" t="s">
        <v>53</v>
      </c>
      <c r="L367" s="1">
        <v>19140</v>
      </c>
      <c r="M367" s="1" t="s">
        <v>54</v>
      </c>
      <c r="N367" s="1" t="s">
        <v>1309</v>
      </c>
      <c r="O367" s="1" t="s">
        <v>31</v>
      </c>
      <c r="P367" s="1" t="s">
        <v>82</v>
      </c>
      <c r="Q367" s="1" t="s">
        <v>383</v>
      </c>
      <c r="R367" s="1">
        <v>30.991999999999997</v>
      </c>
      <c r="S367" s="1">
        <v>13</v>
      </c>
      <c r="T367" s="1">
        <v>0.2</v>
      </c>
      <c r="U367" s="1">
        <v>10.072399999999996</v>
      </c>
    </row>
    <row r="368" spans="1:21" ht="15.75" x14ac:dyDescent="0.25">
      <c r="A368" s="1">
        <v>367</v>
      </c>
      <c r="B368" s="2" t="s">
        <v>1310</v>
      </c>
      <c r="C368" s="3">
        <v>45029</v>
      </c>
      <c r="D368" s="3">
        <v>45034</v>
      </c>
      <c r="E368" s="1" t="s">
        <v>22</v>
      </c>
      <c r="F368" s="1" t="s">
        <v>1311</v>
      </c>
      <c r="G368" s="1" t="s">
        <v>1312</v>
      </c>
      <c r="H368" s="1" t="s">
        <v>37</v>
      </c>
      <c r="I368" s="1" t="s">
        <v>26</v>
      </c>
      <c r="J368" s="1" t="s">
        <v>1313</v>
      </c>
      <c r="K368" s="1" t="s">
        <v>1314</v>
      </c>
      <c r="L368" s="1">
        <v>21215</v>
      </c>
      <c r="M368" s="1" t="s">
        <v>54</v>
      </c>
      <c r="N368" s="1" t="s">
        <v>1315</v>
      </c>
      <c r="O368" s="1" t="s">
        <v>31</v>
      </c>
      <c r="P368" s="1" t="s">
        <v>44</v>
      </c>
      <c r="Q368" s="1" t="s">
        <v>1316</v>
      </c>
      <c r="R368" s="1">
        <v>7.83</v>
      </c>
      <c r="S368" s="1">
        <v>3</v>
      </c>
      <c r="T368" s="1">
        <v>0</v>
      </c>
      <c r="U368" s="1">
        <v>3.6017999999999999</v>
      </c>
    </row>
    <row r="369" spans="1:21" ht="15.75" x14ac:dyDescent="0.25">
      <c r="A369" s="1">
        <v>368</v>
      </c>
      <c r="B369" s="2" t="s">
        <v>1304</v>
      </c>
      <c r="C369" s="3">
        <v>45029</v>
      </c>
      <c r="D369" s="3">
        <v>45033</v>
      </c>
      <c r="E369" s="1" t="s">
        <v>87</v>
      </c>
      <c r="F369" s="1" t="s">
        <v>965</v>
      </c>
      <c r="G369" s="1" t="s">
        <v>966</v>
      </c>
      <c r="H369" s="1" t="s">
        <v>74</v>
      </c>
      <c r="I369" s="1" t="s">
        <v>26</v>
      </c>
      <c r="J369" s="1" t="s">
        <v>52</v>
      </c>
      <c r="K369" s="1" t="s">
        <v>53</v>
      </c>
      <c r="L369" s="1">
        <v>19140</v>
      </c>
      <c r="M369" s="1" t="s">
        <v>54</v>
      </c>
      <c r="N369" s="1" t="s">
        <v>1317</v>
      </c>
      <c r="O369" s="1" t="s">
        <v>96</v>
      </c>
      <c r="P369" s="1" t="s">
        <v>97</v>
      </c>
      <c r="Q369" s="1" t="s">
        <v>1318</v>
      </c>
      <c r="R369" s="1">
        <v>71.927999999999997</v>
      </c>
      <c r="S369" s="1">
        <v>12</v>
      </c>
      <c r="T369" s="1">
        <v>0.4</v>
      </c>
      <c r="U369" s="1">
        <v>8.3915999999999897</v>
      </c>
    </row>
    <row r="370" spans="1:21" ht="15.75" x14ac:dyDescent="0.25">
      <c r="A370" s="1">
        <v>369</v>
      </c>
      <c r="B370" s="2" t="s">
        <v>1319</v>
      </c>
      <c r="C370" s="3">
        <v>45031</v>
      </c>
      <c r="D370" s="3">
        <v>45031</v>
      </c>
      <c r="E370" s="1" t="s">
        <v>497</v>
      </c>
      <c r="F370" s="1" t="s">
        <v>1320</v>
      </c>
      <c r="G370" s="1" t="s">
        <v>1321</v>
      </c>
      <c r="H370" s="1" t="s">
        <v>37</v>
      </c>
      <c r="I370" s="1" t="s">
        <v>26</v>
      </c>
      <c r="J370" s="1" t="s">
        <v>90</v>
      </c>
      <c r="K370" s="1" t="s">
        <v>91</v>
      </c>
      <c r="L370" s="1">
        <v>90049</v>
      </c>
      <c r="M370" s="1" t="s">
        <v>92</v>
      </c>
      <c r="N370" s="1" t="s">
        <v>1322</v>
      </c>
      <c r="O370" s="1" t="s">
        <v>65</v>
      </c>
      <c r="P370" s="1" t="s">
        <v>106</v>
      </c>
      <c r="Q370" s="1" t="s">
        <v>1323</v>
      </c>
      <c r="R370" s="1">
        <v>187.76</v>
      </c>
      <c r="S370" s="1">
        <v>4</v>
      </c>
      <c r="T370" s="1">
        <v>0</v>
      </c>
      <c r="U370" s="1">
        <v>76.9816</v>
      </c>
    </row>
    <row r="371" spans="1:21" ht="15.75" x14ac:dyDescent="0.25">
      <c r="A371" s="1">
        <v>370</v>
      </c>
      <c r="B371" s="2" t="s">
        <v>1319</v>
      </c>
      <c r="C371" s="3">
        <v>45031</v>
      </c>
      <c r="D371" s="3">
        <v>45031</v>
      </c>
      <c r="E371" s="1" t="s">
        <v>497</v>
      </c>
      <c r="F371" s="1" t="s">
        <v>1320</v>
      </c>
      <c r="G371" s="1" t="s">
        <v>1321</v>
      </c>
      <c r="H371" s="1" t="s">
        <v>37</v>
      </c>
      <c r="I371" s="1" t="s">
        <v>26</v>
      </c>
      <c r="J371" s="1" t="s">
        <v>90</v>
      </c>
      <c r="K371" s="1" t="s">
        <v>91</v>
      </c>
      <c r="L371" s="1">
        <v>90049</v>
      </c>
      <c r="M371" s="1" t="s">
        <v>92</v>
      </c>
      <c r="N371" s="1" t="s">
        <v>1324</v>
      </c>
      <c r="O371" s="1" t="s">
        <v>31</v>
      </c>
      <c r="P371" s="1" t="s">
        <v>205</v>
      </c>
      <c r="Q371" s="1" t="s">
        <v>1325</v>
      </c>
      <c r="R371" s="1">
        <v>106.96</v>
      </c>
      <c r="S371" s="1">
        <v>2</v>
      </c>
      <c r="T371" s="1">
        <v>0</v>
      </c>
      <c r="U371" s="1">
        <v>31.018399999999986</v>
      </c>
    </row>
    <row r="372" spans="1:21" ht="15.75" x14ac:dyDescent="0.25">
      <c r="A372" s="1">
        <v>371</v>
      </c>
      <c r="B372" s="2" t="s">
        <v>1326</v>
      </c>
      <c r="C372" s="3">
        <v>45032</v>
      </c>
      <c r="D372" s="3">
        <v>45036</v>
      </c>
      <c r="E372" s="1" t="s">
        <v>22</v>
      </c>
      <c r="F372" s="1" t="s">
        <v>1327</v>
      </c>
      <c r="G372" s="1" t="s">
        <v>1328</v>
      </c>
      <c r="H372" s="1" t="s">
        <v>74</v>
      </c>
      <c r="I372" s="1" t="s">
        <v>26</v>
      </c>
      <c r="J372" s="1" t="s">
        <v>610</v>
      </c>
      <c r="K372" s="1" t="s">
        <v>611</v>
      </c>
      <c r="L372" s="1">
        <v>28403</v>
      </c>
      <c r="M372" s="1" t="s">
        <v>63</v>
      </c>
      <c r="N372" s="1" t="s">
        <v>55</v>
      </c>
      <c r="O372" s="1" t="s">
        <v>31</v>
      </c>
      <c r="P372" s="1" t="s">
        <v>56</v>
      </c>
      <c r="Q372" s="1" t="s">
        <v>57</v>
      </c>
      <c r="R372" s="1">
        <v>39.072000000000003</v>
      </c>
      <c r="S372" s="1">
        <v>6</v>
      </c>
      <c r="T372" s="1">
        <v>0.2</v>
      </c>
      <c r="U372" s="1">
        <v>9.7680000000000007</v>
      </c>
    </row>
    <row r="373" spans="1:21" ht="15.75" x14ac:dyDescent="0.25">
      <c r="A373" s="1">
        <v>372</v>
      </c>
      <c r="B373" s="2" t="s">
        <v>1329</v>
      </c>
      <c r="C373" s="3">
        <v>45034</v>
      </c>
      <c r="D373" s="3">
        <v>45038</v>
      </c>
      <c r="E373" s="1" t="s">
        <v>22</v>
      </c>
      <c r="F373" s="1" t="s">
        <v>1012</v>
      </c>
      <c r="G373" s="1" t="s">
        <v>1013</v>
      </c>
      <c r="H373" s="1" t="s">
        <v>25</v>
      </c>
      <c r="I373" s="1" t="s">
        <v>26</v>
      </c>
      <c r="J373" s="1" t="s">
        <v>27</v>
      </c>
      <c r="K373" s="1" t="s">
        <v>28</v>
      </c>
      <c r="L373" s="1">
        <v>77095</v>
      </c>
      <c r="M373" s="1" t="s">
        <v>29</v>
      </c>
      <c r="N373" s="1" t="s">
        <v>1330</v>
      </c>
      <c r="O373" s="1" t="s">
        <v>65</v>
      </c>
      <c r="P373" s="1" t="s">
        <v>66</v>
      </c>
      <c r="Q373" s="1" t="s">
        <v>1331</v>
      </c>
      <c r="R373" s="1">
        <v>317.05799999999999</v>
      </c>
      <c r="S373" s="1">
        <v>3</v>
      </c>
      <c r="T373" s="1">
        <v>0.3</v>
      </c>
      <c r="U373" s="1">
        <v>-18.117599999999996</v>
      </c>
    </row>
    <row r="374" spans="1:21" ht="15.75" x14ac:dyDescent="0.25">
      <c r="A374" s="1">
        <v>373</v>
      </c>
      <c r="B374" s="2" t="s">
        <v>1332</v>
      </c>
      <c r="C374" s="3">
        <v>45034</v>
      </c>
      <c r="D374" s="3">
        <v>45039</v>
      </c>
      <c r="E374" s="1" t="s">
        <v>22</v>
      </c>
      <c r="F374" s="1" t="s">
        <v>1333</v>
      </c>
      <c r="G374" s="1" t="s">
        <v>1334</v>
      </c>
      <c r="H374" s="1" t="s">
        <v>25</v>
      </c>
      <c r="I374" s="1" t="s">
        <v>26</v>
      </c>
      <c r="J374" s="1" t="s">
        <v>90</v>
      </c>
      <c r="K374" s="1" t="s">
        <v>91</v>
      </c>
      <c r="L374" s="1">
        <v>90049</v>
      </c>
      <c r="M374" s="1" t="s">
        <v>92</v>
      </c>
      <c r="N374" s="1" t="s">
        <v>1335</v>
      </c>
      <c r="O374" s="1" t="s">
        <v>31</v>
      </c>
      <c r="P374" s="1" t="s">
        <v>56</v>
      </c>
      <c r="Q374" s="1" t="s">
        <v>1336</v>
      </c>
      <c r="R374" s="1">
        <v>10.75</v>
      </c>
      <c r="S374" s="1">
        <v>5</v>
      </c>
      <c r="T374" s="1">
        <v>0</v>
      </c>
      <c r="U374" s="1">
        <v>3.547499999999999</v>
      </c>
    </row>
    <row r="375" spans="1:21" ht="15.75" x14ac:dyDescent="0.25">
      <c r="A375" s="1">
        <v>374</v>
      </c>
      <c r="B375" s="2" t="s">
        <v>1329</v>
      </c>
      <c r="C375" s="3">
        <v>45034</v>
      </c>
      <c r="D375" s="3">
        <v>45038</v>
      </c>
      <c r="E375" s="1" t="s">
        <v>22</v>
      </c>
      <c r="F375" s="1" t="s">
        <v>1012</v>
      </c>
      <c r="G375" s="1" t="s">
        <v>1013</v>
      </c>
      <c r="H375" s="1" t="s">
        <v>25</v>
      </c>
      <c r="I375" s="1" t="s">
        <v>26</v>
      </c>
      <c r="J375" s="1" t="s">
        <v>27</v>
      </c>
      <c r="K375" s="1" t="s">
        <v>28</v>
      </c>
      <c r="L375" s="1">
        <v>77095</v>
      </c>
      <c r="M375" s="1" t="s">
        <v>29</v>
      </c>
      <c r="N375" s="1" t="s">
        <v>1337</v>
      </c>
      <c r="O375" s="1" t="s">
        <v>31</v>
      </c>
      <c r="P375" s="1" t="s">
        <v>56</v>
      </c>
      <c r="Q375" s="1" t="s">
        <v>1338</v>
      </c>
      <c r="R375" s="1">
        <v>2.6880000000000002</v>
      </c>
      <c r="S375" s="1">
        <v>2</v>
      </c>
      <c r="T375" s="1">
        <v>0.2</v>
      </c>
      <c r="U375" s="1">
        <v>1.008</v>
      </c>
    </row>
    <row r="376" spans="1:21" ht="15.75" x14ac:dyDescent="0.25">
      <c r="A376" s="1">
        <v>375</v>
      </c>
      <c r="B376" s="2" t="s">
        <v>1332</v>
      </c>
      <c r="C376" s="3">
        <v>45034</v>
      </c>
      <c r="D376" s="3">
        <v>45039</v>
      </c>
      <c r="E376" s="1" t="s">
        <v>22</v>
      </c>
      <c r="F376" s="1" t="s">
        <v>1333</v>
      </c>
      <c r="G376" s="1" t="s">
        <v>1334</v>
      </c>
      <c r="H376" s="1" t="s">
        <v>25</v>
      </c>
      <c r="I376" s="1" t="s">
        <v>26</v>
      </c>
      <c r="J376" s="1" t="s">
        <v>90</v>
      </c>
      <c r="K376" s="1" t="s">
        <v>91</v>
      </c>
      <c r="L376" s="1">
        <v>90049</v>
      </c>
      <c r="M376" s="1" t="s">
        <v>92</v>
      </c>
      <c r="N376" s="1" t="s">
        <v>243</v>
      </c>
      <c r="O376" s="1" t="s">
        <v>31</v>
      </c>
      <c r="P376" s="1" t="s">
        <v>56</v>
      </c>
      <c r="Q376" s="1" t="s">
        <v>244</v>
      </c>
      <c r="R376" s="1">
        <v>13.12</v>
      </c>
      <c r="S376" s="1">
        <v>4</v>
      </c>
      <c r="T376" s="1">
        <v>0</v>
      </c>
      <c r="U376" s="1">
        <v>3.8047999999999984</v>
      </c>
    </row>
    <row r="377" spans="1:21" ht="15.75" x14ac:dyDescent="0.25">
      <c r="A377" s="1">
        <v>376</v>
      </c>
      <c r="B377" s="2" t="s">
        <v>1329</v>
      </c>
      <c r="C377" s="3">
        <v>45034</v>
      </c>
      <c r="D377" s="3">
        <v>45038</v>
      </c>
      <c r="E377" s="1" t="s">
        <v>22</v>
      </c>
      <c r="F377" s="1" t="s">
        <v>1012</v>
      </c>
      <c r="G377" s="1" t="s">
        <v>1013</v>
      </c>
      <c r="H377" s="1" t="s">
        <v>25</v>
      </c>
      <c r="I377" s="1" t="s">
        <v>26</v>
      </c>
      <c r="J377" s="1" t="s">
        <v>27</v>
      </c>
      <c r="K377" s="1" t="s">
        <v>28</v>
      </c>
      <c r="L377" s="1">
        <v>77095</v>
      </c>
      <c r="M377" s="1" t="s">
        <v>29</v>
      </c>
      <c r="N377" s="1" t="s">
        <v>1339</v>
      </c>
      <c r="O377" s="1" t="s">
        <v>31</v>
      </c>
      <c r="P377" s="1" t="s">
        <v>166</v>
      </c>
      <c r="Q377" s="1" t="s">
        <v>1340</v>
      </c>
      <c r="R377" s="1">
        <v>149.352</v>
      </c>
      <c r="S377" s="1">
        <v>3</v>
      </c>
      <c r="T377" s="1">
        <v>0.2</v>
      </c>
      <c r="U377" s="1">
        <v>50.40629999999998</v>
      </c>
    </row>
    <row r="378" spans="1:21" ht="15.75" x14ac:dyDescent="0.25">
      <c r="A378" s="1">
        <v>377</v>
      </c>
      <c r="B378" s="2" t="s">
        <v>1332</v>
      </c>
      <c r="C378" s="3">
        <v>45034</v>
      </c>
      <c r="D378" s="3">
        <v>45039</v>
      </c>
      <c r="E378" s="1" t="s">
        <v>22</v>
      </c>
      <c r="F378" s="1" t="s">
        <v>1333</v>
      </c>
      <c r="G378" s="1" t="s">
        <v>1334</v>
      </c>
      <c r="H378" s="1" t="s">
        <v>25</v>
      </c>
      <c r="I378" s="1" t="s">
        <v>26</v>
      </c>
      <c r="J378" s="1" t="s">
        <v>90</v>
      </c>
      <c r="K378" s="1" t="s">
        <v>91</v>
      </c>
      <c r="L378" s="1">
        <v>90049</v>
      </c>
      <c r="M378" s="1" t="s">
        <v>92</v>
      </c>
      <c r="N378" s="1" t="s">
        <v>1341</v>
      </c>
      <c r="O378" s="1" t="s">
        <v>31</v>
      </c>
      <c r="P378" s="1" t="s">
        <v>82</v>
      </c>
      <c r="Q378" s="1" t="s">
        <v>1342</v>
      </c>
      <c r="R378" s="1">
        <v>11.62</v>
      </c>
      <c r="S378" s="1">
        <v>2</v>
      </c>
      <c r="T378" s="1">
        <v>0</v>
      </c>
      <c r="U378" s="1">
        <v>3.6021999999999998</v>
      </c>
    </row>
    <row r="379" spans="1:21" ht="15.75" x14ac:dyDescent="0.25">
      <c r="A379" s="1">
        <v>378</v>
      </c>
      <c r="B379" s="2" t="s">
        <v>1329</v>
      </c>
      <c r="C379" s="3">
        <v>45034</v>
      </c>
      <c r="D379" s="3">
        <v>45038</v>
      </c>
      <c r="E379" s="1" t="s">
        <v>22</v>
      </c>
      <c r="F379" s="1" t="s">
        <v>1012</v>
      </c>
      <c r="G379" s="1" t="s">
        <v>1013</v>
      </c>
      <c r="H379" s="1" t="s">
        <v>25</v>
      </c>
      <c r="I379" s="1" t="s">
        <v>26</v>
      </c>
      <c r="J379" s="1" t="s">
        <v>27</v>
      </c>
      <c r="K379" s="1" t="s">
        <v>28</v>
      </c>
      <c r="L379" s="1">
        <v>77095</v>
      </c>
      <c r="M379" s="1" t="s">
        <v>29</v>
      </c>
      <c r="N379" s="1" t="s">
        <v>1343</v>
      </c>
      <c r="O379" s="1" t="s">
        <v>96</v>
      </c>
      <c r="P379" s="1" t="s">
        <v>117</v>
      </c>
      <c r="Q379" s="1" t="s">
        <v>1344</v>
      </c>
      <c r="R379" s="1">
        <v>227.976</v>
      </c>
      <c r="S379" s="1">
        <v>3</v>
      </c>
      <c r="T379" s="1">
        <v>0.2</v>
      </c>
      <c r="U379" s="1">
        <v>28.496999999999957</v>
      </c>
    </row>
    <row r="380" spans="1:21" ht="15.75" x14ac:dyDescent="0.25">
      <c r="A380" s="1">
        <v>379</v>
      </c>
      <c r="B380" s="2" t="s">
        <v>1332</v>
      </c>
      <c r="C380" s="3">
        <v>45034</v>
      </c>
      <c r="D380" s="3">
        <v>45039</v>
      </c>
      <c r="E380" s="1" t="s">
        <v>22</v>
      </c>
      <c r="F380" s="1" t="s">
        <v>1333</v>
      </c>
      <c r="G380" s="1" t="s">
        <v>1334</v>
      </c>
      <c r="H380" s="1" t="s">
        <v>25</v>
      </c>
      <c r="I380" s="1" t="s">
        <v>26</v>
      </c>
      <c r="J380" s="1" t="s">
        <v>90</v>
      </c>
      <c r="K380" s="1" t="s">
        <v>91</v>
      </c>
      <c r="L380" s="1">
        <v>90049</v>
      </c>
      <c r="M380" s="1" t="s">
        <v>92</v>
      </c>
      <c r="N380" s="1" t="s">
        <v>1345</v>
      </c>
      <c r="O380" s="1" t="s">
        <v>96</v>
      </c>
      <c r="P380" s="1" t="s">
        <v>754</v>
      </c>
      <c r="Q380" s="1" t="s">
        <v>1346</v>
      </c>
      <c r="R380" s="1">
        <v>287.96800000000002</v>
      </c>
      <c r="S380" s="1">
        <v>4</v>
      </c>
      <c r="T380" s="1">
        <v>0.2</v>
      </c>
      <c r="U380" s="1">
        <v>97.189199999999985</v>
      </c>
    </row>
    <row r="381" spans="1:21" ht="15.75" x14ac:dyDescent="0.25">
      <c r="A381" s="1">
        <v>380</v>
      </c>
      <c r="B381" s="2" t="s">
        <v>1347</v>
      </c>
      <c r="C381" s="3">
        <v>45035</v>
      </c>
      <c r="D381" s="3">
        <v>45037</v>
      </c>
      <c r="E381" s="1" t="s">
        <v>87</v>
      </c>
      <c r="F381" s="1" t="s">
        <v>711</v>
      </c>
      <c r="G381" s="1" t="s">
        <v>712</v>
      </c>
      <c r="H381" s="1" t="s">
        <v>37</v>
      </c>
      <c r="I381" s="1" t="s">
        <v>26</v>
      </c>
      <c r="J381" s="1" t="s">
        <v>1348</v>
      </c>
      <c r="K381" s="1" t="s">
        <v>91</v>
      </c>
      <c r="L381" s="1">
        <v>95123</v>
      </c>
      <c r="M381" s="1" t="s">
        <v>92</v>
      </c>
      <c r="N381" s="1" t="s">
        <v>1349</v>
      </c>
      <c r="O381" s="1" t="s">
        <v>65</v>
      </c>
      <c r="P381" s="1" t="s">
        <v>106</v>
      </c>
      <c r="Q381" s="1" t="s">
        <v>1350</v>
      </c>
      <c r="R381" s="1">
        <v>76.14</v>
      </c>
      <c r="S381" s="1">
        <v>3</v>
      </c>
      <c r="T381" s="1">
        <v>0</v>
      </c>
      <c r="U381" s="1">
        <v>26.648999999999997</v>
      </c>
    </row>
    <row r="382" spans="1:21" ht="15.75" x14ac:dyDescent="0.25">
      <c r="A382" s="1">
        <v>381</v>
      </c>
      <c r="B382" s="2" t="s">
        <v>1351</v>
      </c>
      <c r="C382" s="3">
        <v>45035</v>
      </c>
      <c r="D382" s="3">
        <v>45039</v>
      </c>
      <c r="E382" s="1" t="s">
        <v>87</v>
      </c>
      <c r="F382" s="1" t="s">
        <v>1352</v>
      </c>
      <c r="G382" s="1" t="s">
        <v>1353</v>
      </c>
      <c r="H382" s="1" t="s">
        <v>25</v>
      </c>
      <c r="I382" s="1" t="s">
        <v>26</v>
      </c>
      <c r="J382" s="1" t="s">
        <v>506</v>
      </c>
      <c r="K382" s="1" t="s">
        <v>123</v>
      </c>
      <c r="L382" s="1">
        <v>22204</v>
      </c>
      <c r="M382" s="1" t="s">
        <v>63</v>
      </c>
      <c r="N382" s="1" t="s">
        <v>1354</v>
      </c>
      <c r="O382" s="1" t="s">
        <v>31</v>
      </c>
      <c r="P382" s="1" t="s">
        <v>41</v>
      </c>
      <c r="Q382" s="1" t="s">
        <v>1355</v>
      </c>
      <c r="R382" s="1">
        <v>58.050000000000004</v>
      </c>
      <c r="S382" s="1">
        <v>3</v>
      </c>
      <c r="T382" s="1">
        <v>0</v>
      </c>
      <c r="U382" s="1">
        <v>26.702999999999999</v>
      </c>
    </row>
    <row r="383" spans="1:21" ht="15.75" x14ac:dyDescent="0.25">
      <c r="A383" s="1">
        <v>382</v>
      </c>
      <c r="B383" s="2" t="s">
        <v>1351</v>
      </c>
      <c r="C383" s="3">
        <v>45035</v>
      </c>
      <c r="D383" s="3">
        <v>45039</v>
      </c>
      <c r="E383" s="1" t="s">
        <v>87</v>
      </c>
      <c r="F383" s="1" t="s">
        <v>1352</v>
      </c>
      <c r="G383" s="1" t="s">
        <v>1353</v>
      </c>
      <c r="H383" s="1" t="s">
        <v>25</v>
      </c>
      <c r="I383" s="1" t="s">
        <v>26</v>
      </c>
      <c r="J383" s="1" t="s">
        <v>506</v>
      </c>
      <c r="K383" s="1" t="s">
        <v>123</v>
      </c>
      <c r="L383" s="1">
        <v>22204</v>
      </c>
      <c r="M383" s="1" t="s">
        <v>63</v>
      </c>
      <c r="N383" s="1" t="s">
        <v>1356</v>
      </c>
      <c r="O383" s="1" t="s">
        <v>31</v>
      </c>
      <c r="P383" s="1" t="s">
        <v>32</v>
      </c>
      <c r="Q383" s="1" t="s">
        <v>1357</v>
      </c>
      <c r="R383" s="1">
        <v>71.28</v>
      </c>
      <c r="S383" s="1">
        <v>11</v>
      </c>
      <c r="T383" s="1">
        <v>0</v>
      </c>
      <c r="U383" s="1">
        <v>34.214400000000005</v>
      </c>
    </row>
    <row r="384" spans="1:21" ht="15.75" x14ac:dyDescent="0.25">
      <c r="A384" s="1">
        <v>383</v>
      </c>
      <c r="B384" s="2" t="s">
        <v>1358</v>
      </c>
      <c r="C384" s="3">
        <v>45036</v>
      </c>
      <c r="D384" s="3">
        <v>45041</v>
      </c>
      <c r="E384" s="1" t="s">
        <v>22</v>
      </c>
      <c r="F384" s="1" t="s">
        <v>1359</v>
      </c>
      <c r="G384" s="1" t="s">
        <v>1360</v>
      </c>
      <c r="H384" s="1" t="s">
        <v>25</v>
      </c>
      <c r="I384" s="1" t="s">
        <v>26</v>
      </c>
      <c r="J384" s="1" t="s">
        <v>90</v>
      </c>
      <c r="K384" s="1" t="s">
        <v>91</v>
      </c>
      <c r="L384" s="1">
        <v>90045</v>
      </c>
      <c r="M384" s="1" t="s">
        <v>92</v>
      </c>
      <c r="N384" s="1" t="s">
        <v>1361</v>
      </c>
      <c r="O384" s="1" t="s">
        <v>65</v>
      </c>
      <c r="P384" s="1" t="s">
        <v>106</v>
      </c>
      <c r="Q384" s="1" t="s">
        <v>1362</v>
      </c>
      <c r="R384" s="1">
        <v>59.92</v>
      </c>
      <c r="S384" s="1">
        <v>4</v>
      </c>
      <c r="T384" s="1">
        <v>0</v>
      </c>
      <c r="U384" s="1">
        <v>27.563200000000002</v>
      </c>
    </row>
    <row r="385" spans="1:21" ht="15.75" x14ac:dyDescent="0.25">
      <c r="A385" s="1">
        <v>384</v>
      </c>
      <c r="B385" s="2" t="s">
        <v>1363</v>
      </c>
      <c r="C385" s="3">
        <v>45036</v>
      </c>
      <c r="D385" s="3">
        <v>45038</v>
      </c>
      <c r="E385" s="1" t="s">
        <v>87</v>
      </c>
      <c r="F385" s="1" t="s">
        <v>129</v>
      </c>
      <c r="G385" s="1" t="s">
        <v>130</v>
      </c>
      <c r="H385" s="1" t="s">
        <v>25</v>
      </c>
      <c r="I385" s="1" t="s">
        <v>26</v>
      </c>
      <c r="J385" s="1" t="s">
        <v>27</v>
      </c>
      <c r="K385" s="1" t="s">
        <v>28</v>
      </c>
      <c r="L385" s="1">
        <v>77070</v>
      </c>
      <c r="M385" s="1" t="s">
        <v>29</v>
      </c>
      <c r="N385" s="1" t="s">
        <v>1364</v>
      </c>
      <c r="O385" s="1" t="s">
        <v>65</v>
      </c>
      <c r="P385" s="1" t="s">
        <v>339</v>
      </c>
      <c r="Q385" s="1" t="s">
        <v>1365</v>
      </c>
      <c r="R385" s="1">
        <v>744.09999999999991</v>
      </c>
      <c r="S385" s="1">
        <v>5</v>
      </c>
      <c r="T385" s="1">
        <v>0.3</v>
      </c>
      <c r="U385" s="1">
        <v>-95.670000000000044</v>
      </c>
    </row>
    <row r="386" spans="1:21" ht="15.75" x14ac:dyDescent="0.25">
      <c r="A386" s="1">
        <v>385</v>
      </c>
      <c r="B386" s="2" t="s">
        <v>1363</v>
      </c>
      <c r="C386" s="3">
        <v>45036</v>
      </c>
      <c r="D386" s="3">
        <v>45038</v>
      </c>
      <c r="E386" s="1" t="s">
        <v>87</v>
      </c>
      <c r="F386" s="1" t="s">
        <v>129</v>
      </c>
      <c r="G386" s="1" t="s">
        <v>130</v>
      </c>
      <c r="H386" s="1" t="s">
        <v>25</v>
      </c>
      <c r="I386" s="1" t="s">
        <v>26</v>
      </c>
      <c r="J386" s="1" t="s">
        <v>27</v>
      </c>
      <c r="K386" s="1" t="s">
        <v>28</v>
      </c>
      <c r="L386" s="1">
        <v>77070</v>
      </c>
      <c r="M386" s="1" t="s">
        <v>29</v>
      </c>
      <c r="N386" s="1" t="s">
        <v>1233</v>
      </c>
      <c r="O386" s="1" t="s">
        <v>65</v>
      </c>
      <c r="P386" s="1" t="s">
        <v>339</v>
      </c>
      <c r="Q386" s="1" t="s">
        <v>1234</v>
      </c>
      <c r="R386" s="1">
        <v>401.59000000000003</v>
      </c>
      <c r="S386" s="1">
        <v>2</v>
      </c>
      <c r="T386" s="1">
        <v>0.3</v>
      </c>
      <c r="U386" s="1">
        <v>-131.95100000000002</v>
      </c>
    </row>
    <row r="387" spans="1:21" ht="15.75" x14ac:dyDescent="0.25">
      <c r="A387" s="1">
        <v>386</v>
      </c>
      <c r="B387" s="2" t="s">
        <v>1363</v>
      </c>
      <c r="C387" s="3">
        <v>45036</v>
      </c>
      <c r="D387" s="3">
        <v>45038</v>
      </c>
      <c r="E387" s="1" t="s">
        <v>87</v>
      </c>
      <c r="F387" s="1" t="s">
        <v>129</v>
      </c>
      <c r="G387" s="1" t="s">
        <v>130</v>
      </c>
      <c r="H387" s="1" t="s">
        <v>25</v>
      </c>
      <c r="I387" s="1" t="s">
        <v>26</v>
      </c>
      <c r="J387" s="1" t="s">
        <v>27</v>
      </c>
      <c r="K387" s="1" t="s">
        <v>28</v>
      </c>
      <c r="L387" s="1">
        <v>77070</v>
      </c>
      <c r="M387" s="1" t="s">
        <v>29</v>
      </c>
      <c r="N387" s="1" t="s">
        <v>1366</v>
      </c>
      <c r="O387" s="1" t="s">
        <v>31</v>
      </c>
      <c r="P387" s="1" t="s">
        <v>47</v>
      </c>
      <c r="Q387" s="1" t="s">
        <v>1367</v>
      </c>
      <c r="R387" s="1">
        <v>44.840000000000011</v>
      </c>
      <c r="S387" s="1">
        <v>5</v>
      </c>
      <c r="T387" s="1">
        <v>0.2</v>
      </c>
      <c r="U387" s="1">
        <v>5.6049999999999951</v>
      </c>
    </row>
    <row r="388" spans="1:21" ht="15.75" x14ac:dyDescent="0.25">
      <c r="A388" s="1">
        <v>387</v>
      </c>
      <c r="B388" s="2" t="s">
        <v>1368</v>
      </c>
      <c r="C388" s="3">
        <v>45037</v>
      </c>
      <c r="D388" s="3">
        <v>45041</v>
      </c>
      <c r="E388" s="1" t="s">
        <v>22</v>
      </c>
      <c r="F388" s="1" t="s">
        <v>1369</v>
      </c>
      <c r="G388" s="1" t="s">
        <v>1370</v>
      </c>
      <c r="H388" s="1" t="s">
        <v>25</v>
      </c>
      <c r="I388" s="1" t="s">
        <v>26</v>
      </c>
      <c r="J388" s="1" t="s">
        <v>90</v>
      </c>
      <c r="K388" s="1" t="s">
        <v>91</v>
      </c>
      <c r="L388" s="1">
        <v>90008</v>
      </c>
      <c r="M388" s="1" t="s">
        <v>92</v>
      </c>
      <c r="N388" s="1" t="s">
        <v>1371</v>
      </c>
      <c r="O388" s="1" t="s">
        <v>31</v>
      </c>
      <c r="P388" s="1" t="s">
        <v>41</v>
      </c>
      <c r="Q388" s="1" t="s">
        <v>1372</v>
      </c>
      <c r="R388" s="1">
        <v>16.520000000000003</v>
      </c>
      <c r="S388" s="1">
        <v>5</v>
      </c>
      <c r="T388" s="1">
        <v>0.2</v>
      </c>
      <c r="U388" s="1">
        <v>5.5754999999999999</v>
      </c>
    </row>
    <row r="389" spans="1:21" ht="15.75" x14ac:dyDescent="0.25">
      <c r="A389" s="1">
        <v>388</v>
      </c>
      <c r="B389" s="2" t="s">
        <v>1373</v>
      </c>
      <c r="C389" s="3">
        <v>45037</v>
      </c>
      <c r="D389" s="3">
        <v>45042</v>
      </c>
      <c r="E389" s="1" t="s">
        <v>22</v>
      </c>
      <c r="F389" s="1" t="s">
        <v>1374</v>
      </c>
      <c r="G389" s="1" t="s">
        <v>1375</v>
      </c>
      <c r="H389" s="1" t="s">
        <v>74</v>
      </c>
      <c r="I389" s="1" t="s">
        <v>26</v>
      </c>
      <c r="J389" s="1" t="s">
        <v>61</v>
      </c>
      <c r="K389" s="1" t="s">
        <v>62</v>
      </c>
      <c r="L389" s="1">
        <v>42420</v>
      </c>
      <c r="M389" s="1" t="s">
        <v>63</v>
      </c>
      <c r="N389" s="1" t="s">
        <v>1376</v>
      </c>
      <c r="O389" s="1" t="s">
        <v>31</v>
      </c>
      <c r="P389" s="1" t="s">
        <v>47</v>
      </c>
      <c r="Q389" s="1" t="s">
        <v>1377</v>
      </c>
      <c r="R389" s="1">
        <v>828.83999999999992</v>
      </c>
      <c r="S389" s="1">
        <v>6</v>
      </c>
      <c r="T389" s="1">
        <v>0</v>
      </c>
      <c r="U389" s="1">
        <v>0</v>
      </c>
    </row>
    <row r="390" spans="1:21" ht="15.75" x14ac:dyDescent="0.25">
      <c r="A390" s="1">
        <v>389</v>
      </c>
      <c r="B390" s="2" t="s">
        <v>1378</v>
      </c>
      <c r="C390" s="3">
        <v>45038</v>
      </c>
      <c r="D390" s="3">
        <v>45040</v>
      </c>
      <c r="E390" s="1" t="s">
        <v>87</v>
      </c>
      <c r="F390" s="1" t="s">
        <v>1379</v>
      </c>
      <c r="G390" s="1" t="s">
        <v>1380</v>
      </c>
      <c r="H390" s="1" t="s">
        <v>74</v>
      </c>
      <c r="I390" s="1" t="s">
        <v>26</v>
      </c>
      <c r="J390" s="1" t="s">
        <v>1381</v>
      </c>
      <c r="K390" s="1" t="s">
        <v>349</v>
      </c>
      <c r="L390" s="1">
        <v>12180</v>
      </c>
      <c r="M390" s="1" t="s">
        <v>54</v>
      </c>
      <c r="N390" s="1" t="s">
        <v>1382</v>
      </c>
      <c r="O390" s="1" t="s">
        <v>31</v>
      </c>
      <c r="P390" s="1" t="s">
        <v>41</v>
      </c>
      <c r="Q390" s="1" t="s">
        <v>1383</v>
      </c>
      <c r="R390" s="1">
        <v>9.9120000000000008</v>
      </c>
      <c r="S390" s="1">
        <v>3</v>
      </c>
      <c r="T390" s="1">
        <v>0.2</v>
      </c>
      <c r="U390" s="1">
        <v>3.3452999999999995</v>
      </c>
    </row>
    <row r="391" spans="1:21" ht="15.75" x14ac:dyDescent="0.25">
      <c r="A391" s="1">
        <v>390</v>
      </c>
      <c r="B391" s="2" t="s">
        <v>1378</v>
      </c>
      <c r="C391" s="3">
        <v>45038</v>
      </c>
      <c r="D391" s="3">
        <v>45040</v>
      </c>
      <c r="E391" s="1" t="s">
        <v>87</v>
      </c>
      <c r="F391" s="1" t="s">
        <v>1379</v>
      </c>
      <c r="G391" s="1" t="s">
        <v>1380</v>
      </c>
      <c r="H391" s="1" t="s">
        <v>74</v>
      </c>
      <c r="I391" s="1" t="s">
        <v>26</v>
      </c>
      <c r="J391" s="1" t="s">
        <v>1381</v>
      </c>
      <c r="K391" s="1" t="s">
        <v>349</v>
      </c>
      <c r="L391" s="1">
        <v>12180</v>
      </c>
      <c r="M391" s="1" t="s">
        <v>54</v>
      </c>
      <c r="N391" s="1" t="s">
        <v>1384</v>
      </c>
      <c r="O391" s="1" t="s">
        <v>31</v>
      </c>
      <c r="P391" s="1" t="s">
        <v>166</v>
      </c>
      <c r="Q391" s="1" t="s">
        <v>169</v>
      </c>
      <c r="R391" s="1">
        <v>247.84</v>
      </c>
      <c r="S391" s="1">
        <v>8</v>
      </c>
      <c r="T391" s="1">
        <v>0</v>
      </c>
      <c r="U391" s="1">
        <v>121.44159999999999</v>
      </c>
    </row>
    <row r="392" spans="1:21" ht="15.75" x14ac:dyDescent="0.25">
      <c r="A392" s="1">
        <v>391</v>
      </c>
      <c r="B392" s="2" t="s">
        <v>1385</v>
      </c>
      <c r="C392" s="3">
        <v>45039</v>
      </c>
      <c r="D392" s="3">
        <v>45043</v>
      </c>
      <c r="E392" s="1" t="s">
        <v>22</v>
      </c>
      <c r="F392" s="1" t="s">
        <v>1386</v>
      </c>
      <c r="G392" s="1" t="s">
        <v>1387</v>
      </c>
      <c r="H392" s="1" t="s">
        <v>37</v>
      </c>
      <c r="I392" s="1" t="s">
        <v>26</v>
      </c>
      <c r="J392" s="1" t="s">
        <v>549</v>
      </c>
      <c r="K392" s="1" t="s">
        <v>155</v>
      </c>
      <c r="L392" s="1">
        <v>43229</v>
      </c>
      <c r="M392" s="1" t="s">
        <v>54</v>
      </c>
      <c r="N392" s="1" t="s">
        <v>1037</v>
      </c>
      <c r="O392" s="1" t="s">
        <v>65</v>
      </c>
      <c r="P392" s="1" t="s">
        <v>66</v>
      </c>
      <c r="Q392" s="1" t="s">
        <v>1038</v>
      </c>
      <c r="R392" s="1">
        <v>281.37199999999996</v>
      </c>
      <c r="S392" s="1">
        <v>2</v>
      </c>
      <c r="T392" s="1">
        <v>0.3</v>
      </c>
      <c r="U392" s="1">
        <v>-12.058799999999991</v>
      </c>
    </row>
    <row r="393" spans="1:21" ht="15.75" x14ac:dyDescent="0.25">
      <c r="A393" s="1">
        <v>392</v>
      </c>
      <c r="B393" s="2" t="s">
        <v>1385</v>
      </c>
      <c r="C393" s="3">
        <v>45039</v>
      </c>
      <c r="D393" s="3">
        <v>45043</v>
      </c>
      <c r="E393" s="1" t="s">
        <v>22</v>
      </c>
      <c r="F393" s="1" t="s">
        <v>1386</v>
      </c>
      <c r="G393" s="1" t="s">
        <v>1387</v>
      </c>
      <c r="H393" s="1" t="s">
        <v>37</v>
      </c>
      <c r="I393" s="1" t="s">
        <v>26</v>
      </c>
      <c r="J393" s="1" t="s">
        <v>549</v>
      </c>
      <c r="K393" s="1" t="s">
        <v>155</v>
      </c>
      <c r="L393" s="1">
        <v>43229</v>
      </c>
      <c r="M393" s="1" t="s">
        <v>54</v>
      </c>
      <c r="N393" s="1" t="s">
        <v>1037</v>
      </c>
      <c r="O393" s="1" t="s">
        <v>65</v>
      </c>
      <c r="P393" s="1" t="s">
        <v>66</v>
      </c>
      <c r="Q393" s="1" t="s">
        <v>1038</v>
      </c>
      <c r="R393" s="1">
        <v>281.37199999999996</v>
      </c>
      <c r="S393" s="1">
        <v>2</v>
      </c>
      <c r="T393" s="1">
        <v>0.3</v>
      </c>
      <c r="U393" s="1">
        <v>-12.058799999999991</v>
      </c>
    </row>
    <row r="394" spans="1:21" ht="15.75" x14ac:dyDescent="0.25">
      <c r="A394" s="1">
        <v>393</v>
      </c>
      <c r="B394" s="2" t="s">
        <v>1385</v>
      </c>
      <c r="C394" s="3">
        <v>45039</v>
      </c>
      <c r="D394" s="3">
        <v>45043</v>
      </c>
      <c r="E394" s="1" t="s">
        <v>22</v>
      </c>
      <c r="F394" s="1" t="s">
        <v>1386</v>
      </c>
      <c r="G394" s="1" t="s">
        <v>1387</v>
      </c>
      <c r="H394" s="1" t="s">
        <v>37</v>
      </c>
      <c r="I394" s="1" t="s">
        <v>26</v>
      </c>
      <c r="J394" s="1" t="s">
        <v>549</v>
      </c>
      <c r="K394" s="1" t="s">
        <v>155</v>
      </c>
      <c r="L394" s="1">
        <v>43229</v>
      </c>
      <c r="M394" s="1" t="s">
        <v>54</v>
      </c>
      <c r="N394" s="1" t="s">
        <v>1388</v>
      </c>
      <c r="O394" s="1" t="s">
        <v>65</v>
      </c>
      <c r="P394" s="1" t="s">
        <v>106</v>
      </c>
      <c r="Q394" s="1" t="s">
        <v>1389</v>
      </c>
      <c r="R394" s="1">
        <v>22.336000000000002</v>
      </c>
      <c r="S394" s="1">
        <v>4</v>
      </c>
      <c r="T394" s="1">
        <v>0.2</v>
      </c>
      <c r="U394" s="1">
        <v>7.8175999999999997</v>
      </c>
    </row>
    <row r="395" spans="1:21" ht="15.75" x14ac:dyDescent="0.25">
      <c r="A395" s="1">
        <v>394</v>
      </c>
      <c r="B395" s="2" t="s">
        <v>1385</v>
      </c>
      <c r="C395" s="3">
        <v>45039</v>
      </c>
      <c r="D395" s="3">
        <v>45043</v>
      </c>
      <c r="E395" s="1" t="s">
        <v>22</v>
      </c>
      <c r="F395" s="1" t="s">
        <v>1386</v>
      </c>
      <c r="G395" s="1" t="s">
        <v>1387</v>
      </c>
      <c r="H395" s="1" t="s">
        <v>37</v>
      </c>
      <c r="I395" s="1" t="s">
        <v>26</v>
      </c>
      <c r="J395" s="1" t="s">
        <v>549</v>
      </c>
      <c r="K395" s="1" t="s">
        <v>155</v>
      </c>
      <c r="L395" s="1">
        <v>43229</v>
      </c>
      <c r="M395" s="1" t="s">
        <v>54</v>
      </c>
      <c r="N395" s="1" t="s">
        <v>1074</v>
      </c>
      <c r="O395" s="1" t="s">
        <v>31</v>
      </c>
      <c r="P395" s="1" t="s">
        <v>41</v>
      </c>
      <c r="Q395" s="1" t="s">
        <v>1075</v>
      </c>
      <c r="R395" s="1">
        <v>7.4880000000000013</v>
      </c>
      <c r="S395" s="1">
        <v>8</v>
      </c>
      <c r="T395" s="1">
        <v>0.7</v>
      </c>
      <c r="U395" s="1">
        <v>-5.2415999999999983</v>
      </c>
    </row>
    <row r="396" spans="1:21" ht="15.75" x14ac:dyDescent="0.25">
      <c r="A396" s="1">
        <v>395</v>
      </c>
      <c r="B396" s="2" t="s">
        <v>1390</v>
      </c>
      <c r="C396" s="3">
        <v>45039</v>
      </c>
      <c r="D396" s="3">
        <v>45040</v>
      </c>
      <c r="E396" s="1" t="s">
        <v>71</v>
      </c>
      <c r="F396" s="1" t="s">
        <v>1391</v>
      </c>
      <c r="G396" s="1" t="s">
        <v>1392</v>
      </c>
      <c r="H396" s="1" t="s">
        <v>74</v>
      </c>
      <c r="I396" s="1" t="s">
        <v>26</v>
      </c>
      <c r="J396" s="1" t="s">
        <v>52</v>
      </c>
      <c r="K396" s="1" t="s">
        <v>53</v>
      </c>
      <c r="L396" s="1">
        <v>19134</v>
      </c>
      <c r="M396" s="1" t="s">
        <v>54</v>
      </c>
      <c r="N396" s="1" t="s">
        <v>1393</v>
      </c>
      <c r="O396" s="1" t="s">
        <v>31</v>
      </c>
      <c r="P396" s="1" t="s">
        <v>41</v>
      </c>
      <c r="Q396" s="1" t="s">
        <v>1394</v>
      </c>
      <c r="R396" s="1">
        <v>2.5020000000000002</v>
      </c>
      <c r="S396" s="1">
        <v>3</v>
      </c>
      <c r="T396" s="1">
        <v>0.7</v>
      </c>
      <c r="U396" s="1">
        <v>-1.7513999999999994</v>
      </c>
    </row>
    <row r="397" spans="1:21" ht="15.75" x14ac:dyDescent="0.25">
      <c r="A397" s="1">
        <v>396</v>
      </c>
      <c r="B397" s="2" t="s">
        <v>1395</v>
      </c>
      <c r="C397" s="3">
        <v>45039</v>
      </c>
      <c r="D397" s="3">
        <v>45042</v>
      </c>
      <c r="E397" s="1" t="s">
        <v>87</v>
      </c>
      <c r="F397" s="1" t="s">
        <v>429</v>
      </c>
      <c r="G397" s="1" t="s">
        <v>430</v>
      </c>
      <c r="H397" s="1" t="s">
        <v>37</v>
      </c>
      <c r="I397" s="1" t="s">
        <v>26</v>
      </c>
      <c r="J397" s="1" t="s">
        <v>138</v>
      </c>
      <c r="K397" s="1" t="s">
        <v>91</v>
      </c>
      <c r="L397" s="1">
        <v>94109</v>
      </c>
      <c r="M397" s="1" t="s">
        <v>92</v>
      </c>
      <c r="N397" s="1" t="s">
        <v>640</v>
      </c>
      <c r="O397" s="1" t="s">
        <v>31</v>
      </c>
      <c r="P397" s="1" t="s">
        <v>32</v>
      </c>
      <c r="Q397" s="1" t="s">
        <v>641</v>
      </c>
      <c r="R397" s="1">
        <v>48.91</v>
      </c>
      <c r="S397" s="1">
        <v>1</v>
      </c>
      <c r="T397" s="1">
        <v>0</v>
      </c>
      <c r="U397" s="1">
        <v>22.987699999999997</v>
      </c>
    </row>
    <row r="398" spans="1:21" ht="15.75" x14ac:dyDescent="0.25">
      <c r="A398" s="1">
        <v>397</v>
      </c>
      <c r="B398" s="2" t="s">
        <v>1396</v>
      </c>
      <c r="C398" s="3">
        <v>45041</v>
      </c>
      <c r="D398" s="3">
        <v>45046</v>
      </c>
      <c r="E398" s="1" t="s">
        <v>22</v>
      </c>
      <c r="F398" s="1" t="s">
        <v>1397</v>
      </c>
      <c r="G398" s="1" t="s">
        <v>1398</v>
      </c>
      <c r="H398" s="1" t="s">
        <v>37</v>
      </c>
      <c r="I398" s="1" t="s">
        <v>26</v>
      </c>
      <c r="J398" s="1" t="s">
        <v>1399</v>
      </c>
      <c r="K398" s="1" t="s">
        <v>91</v>
      </c>
      <c r="L398" s="1">
        <v>91776</v>
      </c>
      <c r="M398" s="1" t="s">
        <v>92</v>
      </c>
      <c r="N398" s="1" t="s">
        <v>1400</v>
      </c>
      <c r="O398" s="1" t="s">
        <v>65</v>
      </c>
      <c r="P398" s="1" t="s">
        <v>66</v>
      </c>
      <c r="Q398" s="1" t="s">
        <v>1401</v>
      </c>
      <c r="R398" s="1">
        <v>1487.04</v>
      </c>
      <c r="S398" s="1">
        <v>5</v>
      </c>
      <c r="T398" s="1">
        <v>0.2</v>
      </c>
      <c r="U398" s="1">
        <v>148.70400000000006</v>
      </c>
    </row>
    <row r="399" spans="1:21" ht="15.75" x14ac:dyDescent="0.25">
      <c r="A399" s="1">
        <v>398</v>
      </c>
      <c r="B399" s="2" t="s">
        <v>1396</v>
      </c>
      <c r="C399" s="3">
        <v>45041</v>
      </c>
      <c r="D399" s="3">
        <v>45046</v>
      </c>
      <c r="E399" s="1" t="s">
        <v>22</v>
      </c>
      <c r="F399" s="1" t="s">
        <v>1397</v>
      </c>
      <c r="G399" s="1" t="s">
        <v>1398</v>
      </c>
      <c r="H399" s="1" t="s">
        <v>37</v>
      </c>
      <c r="I399" s="1" t="s">
        <v>26</v>
      </c>
      <c r="J399" s="1" t="s">
        <v>1399</v>
      </c>
      <c r="K399" s="1" t="s">
        <v>91</v>
      </c>
      <c r="L399" s="1">
        <v>91776</v>
      </c>
      <c r="M399" s="1" t="s">
        <v>92</v>
      </c>
      <c r="N399" s="1" t="s">
        <v>1402</v>
      </c>
      <c r="O399" s="1" t="s">
        <v>65</v>
      </c>
      <c r="P399" s="1" t="s">
        <v>106</v>
      </c>
      <c r="Q399" s="1" t="s">
        <v>1403</v>
      </c>
      <c r="R399" s="1">
        <v>303.25</v>
      </c>
      <c r="S399" s="1">
        <v>5</v>
      </c>
      <c r="T399" s="1">
        <v>0</v>
      </c>
      <c r="U399" s="1">
        <v>63.682499999999997</v>
      </c>
    </row>
    <row r="400" spans="1:21" ht="15.75" x14ac:dyDescent="0.25">
      <c r="A400" s="1">
        <v>399</v>
      </c>
      <c r="B400" s="2" t="s">
        <v>1396</v>
      </c>
      <c r="C400" s="3">
        <v>45041</v>
      </c>
      <c r="D400" s="3">
        <v>45046</v>
      </c>
      <c r="E400" s="1" t="s">
        <v>22</v>
      </c>
      <c r="F400" s="1" t="s">
        <v>1397</v>
      </c>
      <c r="G400" s="1" t="s">
        <v>1398</v>
      </c>
      <c r="H400" s="1" t="s">
        <v>37</v>
      </c>
      <c r="I400" s="1" t="s">
        <v>26</v>
      </c>
      <c r="J400" s="1" t="s">
        <v>1399</v>
      </c>
      <c r="K400" s="1" t="s">
        <v>91</v>
      </c>
      <c r="L400" s="1">
        <v>91776</v>
      </c>
      <c r="M400" s="1" t="s">
        <v>92</v>
      </c>
      <c r="N400" s="1" t="s">
        <v>1404</v>
      </c>
      <c r="O400" s="1" t="s">
        <v>31</v>
      </c>
      <c r="P400" s="1" t="s">
        <v>205</v>
      </c>
      <c r="Q400" s="1" t="s">
        <v>1405</v>
      </c>
      <c r="R400" s="1">
        <v>270.71999999999997</v>
      </c>
      <c r="S400" s="1">
        <v>3</v>
      </c>
      <c r="T400" s="1">
        <v>0</v>
      </c>
      <c r="U400" s="1">
        <v>78.508799999999965</v>
      </c>
    </row>
    <row r="401" spans="1:21" ht="15.75" x14ac:dyDescent="0.25">
      <c r="A401" s="1">
        <v>400</v>
      </c>
      <c r="B401" s="2" t="s">
        <v>1406</v>
      </c>
      <c r="C401" s="3">
        <v>45041</v>
      </c>
      <c r="D401" s="3">
        <v>45045</v>
      </c>
      <c r="E401" s="1" t="s">
        <v>22</v>
      </c>
      <c r="F401" s="1" t="s">
        <v>1407</v>
      </c>
      <c r="G401" s="1" t="s">
        <v>1408</v>
      </c>
      <c r="H401" s="1" t="s">
        <v>37</v>
      </c>
      <c r="I401" s="1" t="s">
        <v>26</v>
      </c>
      <c r="J401" s="1" t="s">
        <v>27</v>
      </c>
      <c r="K401" s="1" t="s">
        <v>28</v>
      </c>
      <c r="L401" s="1">
        <v>77095</v>
      </c>
      <c r="M401" s="1" t="s">
        <v>29</v>
      </c>
      <c r="N401" s="1" t="s">
        <v>1409</v>
      </c>
      <c r="O401" s="1" t="s">
        <v>31</v>
      </c>
      <c r="P401" s="1" t="s">
        <v>56</v>
      </c>
      <c r="Q401" s="1" t="s">
        <v>1410</v>
      </c>
      <c r="R401" s="1">
        <v>6.24</v>
      </c>
      <c r="S401" s="1">
        <v>3</v>
      </c>
      <c r="T401" s="1">
        <v>0.2</v>
      </c>
      <c r="U401" s="1">
        <v>0.54600000000000071</v>
      </c>
    </row>
    <row r="402" spans="1:21" ht="15.75" x14ac:dyDescent="0.25">
      <c r="A402" s="1">
        <v>401</v>
      </c>
      <c r="B402" s="2" t="s">
        <v>1406</v>
      </c>
      <c r="C402" s="3">
        <v>45041</v>
      </c>
      <c r="D402" s="3">
        <v>45045</v>
      </c>
      <c r="E402" s="1" t="s">
        <v>22</v>
      </c>
      <c r="F402" s="1" t="s">
        <v>1407</v>
      </c>
      <c r="G402" s="1" t="s">
        <v>1408</v>
      </c>
      <c r="H402" s="1" t="s">
        <v>37</v>
      </c>
      <c r="I402" s="1" t="s">
        <v>26</v>
      </c>
      <c r="J402" s="1" t="s">
        <v>27</v>
      </c>
      <c r="K402" s="1" t="s">
        <v>28</v>
      </c>
      <c r="L402" s="1">
        <v>77095</v>
      </c>
      <c r="M402" s="1" t="s">
        <v>29</v>
      </c>
      <c r="N402" s="1" t="s">
        <v>1411</v>
      </c>
      <c r="O402" s="1" t="s">
        <v>31</v>
      </c>
      <c r="P402" s="1" t="s">
        <v>32</v>
      </c>
      <c r="Q402" s="1" t="s">
        <v>1412</v>
      </c>
      <c r="R402" s="1">
        <v>10.368000000000002</v>
      </c>
      <c r="S402" s="1">
        <v>2</v>
      </c>
      <c r="T402" s="1">
        <v>0.2</v>
      </c>
      <c r="U402" s="1">
        <v>3.6288</v>
      </c>
    </row>
    <row r="403" spans="1:21" ht="15.75" x14ac:dyDescent="0.25">
      <c r="A403" s="1">
        <v>402</v>
      </c>
      <c r="B403" s="2" t="s">
        <v>1413</v>
      </c>
      <c r="C403" s="3">
        <v>45041</v>
      </c>
      <c r="D403" s="3">
        <v>45045</v>
      </c>
      <c r="E403" s="1" t="s">
        <v>22</v>
      </c>
      <c r="F403" s="1" t="s">
        <v>1414</v>
      </c>
      <c r="G403" s="1" t="s">
        <v>1415</v>
      </c>
      <c r="H403" s="1" t="s">
        <v>25</v>
      </c>
      <c r="I403" s="1" t="s">
        <v>26</v>
      </c>
      <c r="J403" s="1" t="s">
        <v>610</v>
      </c>
      <c r="K403" s="1" t="s">
        <v>611</v>
      </c>
      <c r="L403" s="1">
        <v>28403</v>
      </c>
      <c r="M403" s="1" t="s">
        <v>63</v>
      </c>
      <c r="N403" s="1" t="s">
        <v>1416</v>
      </c>
      <c r="O403" s="1" t="s">
        <v>96</v>
      </c>
      <c r="P403" s="1" t="s">
        <v>97</v>
      </c>
      <c r="Q403" s="1" t="s">
        <v>1417</v>
      </c>
      <c r="R403" s="1">
        <v>302.37599999999998</v>
      </c>
      <c r="S403" s="1">
        <v>3</v>
      </c>
      <c r="T403" s="1">
        <v>0.2</v>
      </c>
      <c r="U403" s="1">
        <v>37.796999999999997</v>
      </c>
    </row>
    <row r="404" spans="1:21" ht="15.75" x14ac:dyDescent="0.25">
      <c r="A404" s="1">
        <v>403</v>
      </c>
      <c r="B404" s="2" t="s">
        <v>1418</v>
      </c>
      <c r="C404" s="3">
        <v>45042</v>
      </c>
      <c r="D404" s="3">
        <v>45049</v>
      </c>
      <c r="E404" s="1" t="s">
        <v>22</v>
      </c>
      <c r="F404" s="1" t="s">
        <v>1419</v>
      </c>
      <c r="G404" s="1" t="s">
        <v>1420</v>
      </c>
      <c r="H404" s="1" t="s">
        <v>74</v>
      </c>
      <c r="I404" s="1" t="s">
        <v>26</v>
      </c>
      <c r="J404" s="1" t="s">
        <v>90</v>
      </c>
      <c r="K404" s="1" t="s">
        <v>91</v>
      </c>
      <c r="L404" s="1">
        <v>90049</v>
      </c>
      <c r="M404" s="1" t="s">
        <v>92</v>
      </c>
      <c r="N404" s="1" t="s">
        <v>1421</v>
      </c>
      <c r="O404" s="1" t="s">
        <v>65</v>
      </c>
      <c r="P404" s="1" t="s">
        <v>66</v>
      </c>
      <c r="Q404" s="1" t="s">
        <v>1422</v>
      </c>
      <c r="R404" s="1">
        <v>230.28000000000003</v>
      </c>
      <c r="S404" s="1">
        <v>3</v>
      </c>
      <c r="T404" s="1">
        <v>0.2</v>
      </c>
      <c r="U404" s="1">
        <v>23.027999999999992</v>
      </c>
    </row>
    <row r="405" spans="1:21" ht="15.75" x14ac:dyDescent="0.25">
      <c r="A405" s="1">
        <v>404</v>
      </c>
      <c r="B405" s="2" t="s">
        <v>1423</v>
      </c>
      <c r="C405" s="3">
        <v>45042</v>
      </c>
      <c r="D405" s="3">
        <v>45046</v>
      </c>
      <c r="E405" s="1" t="s">
        <v>22</v>
      </c>
      <c r="F405" s="1" t="s">
        <v>1424</v>
      </c>
      <c r="G405" s="1" t="s">
        <v>1425</v>
      </c>
      <c r="H405" s="1" t="s">
        <v>37</v>
      </c>
      <c r="I405" s="1" t="s">
        <v>26</v>
      </c>
      <c r="J405" s="1" t="s">
        <v>90</v>
      </c>
      <c r="K405" s="1" t="s">
        <v>91</v>
      </c>
      <c r="L405" s="1">
        <v>90036</v>
      </c>
      <c r="M405" s="1" t="s">
        <v>92</v>
      </c>
      <c r="N405" s="1" t="s">
        <v>1426</v>
      </c>
      <c r="O405" s="1" t="s">
        <v>31</v>
      </c>
      <c r="P405" s="1" t="s">
        <v>56</v>
      </c>
      <c r="Q405" s="1" t="s">
        <v>1427</v>
      </c>
      <c r="R405" s="1">
        <v>21.400000000000002</v>
      </c>
      <c r="S405" s="1">
        <v>5</v>
      </c>
      <c r="T405" s="1">
        <v>0</v>
      </c>
      <c r="U405" s="1">
        <v>6.2059999999999977</v>
      </c>
    </row>
    <row r="406" spans="1:21" ht="15.75" x14ac:dyDescent="0.25">
      <c r="A406" s="1">
        <v>405</v>
      </c>
      <c r="B406" s="2" t="s">
        <v>1418</v>
      </c>
      <c r="C406" s="3">
        <v>45042</v>
      </c>
      <c r="D406" s="3">
        <v>45049</v>
      </c>
      <c r="E406" s="1" t="s">
        <v>22</v>
      </c>
      <c r="F406" s="1" t="s">
        <v>1419</v>
      </c>
      <c r="G406" s="1" t="s">
        <v>1420</v>
      </c>
      <c r="H406" s="1" t="s">
        <v>74</v>
      </c>
      <c r="I406" s="1" t="s">
        <v>26</v>
      </c>
      <c r="J406" s="1" t="s">
        <v>90</v>
      </c>
      <c r="K406" s="1" t="s">
        <v>91</v>
      </c>
      <c r="L406" s="1">
        <v>90049</v>
      </c>
      <c r="M406" s="1" t="s">
        <v>92</v>
      </c>
      <c r="N406" s="1" t="s">
        <v>1428</v>
      </c>
      <c r="O406" s="1" t="s">
        <v>31</v>
      </c>
      <c r="P406" s="1" t="s">
        <v>41</v>
      </c>
      <c r="Q406" s="1" t="s">
        <v>1429</v>
      </c>
      <c r="R406" s="1">
        <v>18.288</v>
      </c>
      <c r="S406" s="1">
        <v>6</v>
      </c>
      <c r="T406" s="1">
        <v>0.2</v>
      </c>
      <c r="U406" s="1">
        <v>5.714999999999999</v>
      </c>
    </row>
    <row r="407" spans="1:21" ht="15.75" x14ac:dyDescent="0.25">
      <c r="A407" s="1">
        <v>406</v>
      </c>
      <c r="B407" s="2" t="s">
        <v>1423</v>
      </c>
      <c r="C407" s="3">
        <v>45042</v>
      </c>
      <c r="D407" s="3">
        <v>45046</v>
      </c>
      <c r="E407" s="1" t="s">
        <v>22</v>
      </c>
      <c r="F407" s="1" t="s">
        <v>1424</v>
      </c>
      <c r="G407" s="1" t="s">
        <v>1425</v>
      </c>
      <c r="H407" s="1" t="s">
        <v>37</v>
      </c>
      <c r="I407" s="1" t="s">
        <v>26</v>
      </c>
      <c r="J407" s="1" t="s">
        <v>90</v>
      </c>
      <c r="K407" s="1" t="s">
        <v>91</v>
      </c>
      <c r="L407" s="1">
        <v>90036</v>
      </c>
      <c r="M407" s="1" t="s">
        <v>92</v>
      </c>
      <c r="N407" s="1" t="s">
        <v>617</v>
      </c>
      <c r="O407" s="1" t="s">
        <v>31</v>
      </c>
      <c r="P407" s="1" t="s">
        <v>44</v>
      </c>
      <c r="Q407" s="1" t="s">
        <v>618</v>
      </c>
      <c r="R407" s="1">
        <v>12.6</v>
      </c>
      <c r="S407" s="1">
        <v>2</v>
      </c>
      <c r="T407" s="1">
        <v>0</v>
      </c>
      <c r="U407" s="1">
        <v>5.7959999999999994</v>
      </c>
    </row>
    <row r="408" spans="1:21" ht="15.75" x14ac:dyDescent="0.25">
      <c r="A408" s="1">
        <v>407</v>
      </c>
      <c r="B408" s="2" t="s">
        <v>1430</v>
      </c>
      <c r="C408" s="3">
        <v>45044</v>
      </c>
      <c r="D408" s="3">
        <v>45049</v>
      </c>
      <c r="E408" s="1" t="s">
        <v>22</v>
      </c>
      <c r="F408" s="1" t="s">
        <v>1431</v>
      </c>
      <c r="G408" s="1" t="s">
        <v>1432</v>
      </c>
      <c r="H408" s="1" t="s">
        <v>74</v>
      </c>
      <c r="I408" s="1" t="s">
        <v>26</v>
      </c>
      <c r="J408" s="1" t="s">
        <v>1313</v>
      </c>
      <c r="K408" s="1" t="s">
        <v>1314</v>
      </c>
      <c r="L408" s="1">
        <v>21215</v>
      </c>
      <c r="M408" s="1" t="s">
        <v>54</v>
      </c>
      <c r="N408" s="1" t="s">
        <v>1433</v>
      </c>
      <c r="O408" s="1" t="s">
        <v>31</v>
      </c>
      <c r="P408" s="1" t="s">
        <v>56</v>
      </c>
      <c r="Q408" s="1" t="s">
        <v>1434</v>
      </c>
      <c r="R408" s="1">
        <v>5.34</v>
      </c>
      <c r="S408" s="1">
        <v>2</v>
      </c>
      <c r="T408" s="1">
        <v>0</v>
      </c>
      <c r="U408" s="1">
        <v>1.4952000000000001</v>
      </c>
    </row>
    <row r="409" spans="1:21" ht="15.75" x14ac:dyDescent="0.25">
      <c r="A409" s="1">
        <v>408</v>
      </c>
      <c r="B409" s="2" t="s">
        <v>1430</v>
      </c>
      <c r="C409" s="3">
        <v>45044</v>
      </c>
      <c r="D409" s="3">
        <v>45049</v>
      </c>
      <c r="E409" s="1" t="s">
        <v>22</v>
      </c>
      <c r="F409" s="1" t="s">
        <v>1431</v>
      </c>
      <c r="G409" s="1" t="s">
        <v>1432</v>
      </c>
      <c r="H409" s="1" t="s">
        <v>74</v>
      </c>
      <c r="I409" s="1" t="s">
        <v>26</v>
      </c>
      <c r="J409" s="1" t="s">
        <v>1313</v>
      </c>
      <c r="K409" s="1" t="s">
        <v>1314</v>
      </c>
      <c r="L409" s="1">
        <v>21215</v>
      </c>
      <c r="M409" s="1" t="s">
        <v>54</v>
      </c>
      <c r="N409" s="1" t="s">
        <v>1435</v>
      </c>
      <c r="O409" s="1" t="s">
        <v>31</v>
      </c>
      <c r="P409" s="1" t="s">
        <v>41</v>
      </c>
      <c r="Q409" s="1" t="s">
        <v>1436</v>
      </c>
      <c r="R409" s="1">
        <v>20.86</v>
      </c>
      <c r="S409" s="1">
        <v>2</v>
      </c>
      <c r="T409" s="1">
        <v>0</v>
      </c>
      <c r="U409" s="1">
        <v>9.3869999999999987</v>
      </c>
    </row>
    <row r="410" spans="1:21" ht="15.75" x14ac:dyDescent="0.25">
      <c r="A410" s="1">
        <v>409</v>
      </c>
      <c r="B410" s="2" t="s">
        <v>1430</v>
      </c>
      <c r="C410" s="3">
        <v>45044</v>
      </c>
      <c r="D410" s="3">
        <v>45049</v>
      </c>
      <c r="E410" s="1" t="s">
        <v>22</v>
      </c>
      <c r="F410" s="1" t="s">
        <v>1431</v>
      </c>
      <c r="G410" s="1" t="s">
        <v>1432</v>
      </c>
      <c r="H410" s="1" t="s">
        <v>74</v>
      </c>
      <c r="I410" s="1" t="s">
        <v>26</v>
      </c>
      <c r="J410" s="1" t="s">
        <v>1313</v>
      </c>
      <c r="K410" s="1" t="s">
        <v>1314</v>
      </c>
      <c r="L410" s="1">
        <v>21215</v>
      </c>
      <c r="M410" s="1" t="s">
        <v>54</v>
      </c>
      <c r="N410" s="1" t="s">
        <v>1437</v>
      </c>
      <c r="O410" s="1" t="s">
        <v>31</v>
      </c>
      <c r="P410" s="1" t="s">
        <v>44</v>
      </c>
      <c r="Q410" s="1" t="s">
        <v>1438</v>
      </c>
      <c r="R410" s="1">
        <v>3.15</v>
      </c>
      <c r="S410" s="1">
        <v>1</v>
      </c>
      <c r="T410" s="1">
        <v>0</v>
      </c>
      <c r="U410" s="1">
        <v>1.512</v>
      </c>
    </row>
    <row r="411" spans="1:21" ht="15.75" x14ac:dyDescent="0.25">
      <c r="A411" s="1">
        <v>410</v>
      </c>
      <c r="B411" s="2" t="s">
        <v>1439</v>
      </c>
      <c r="C411" s="3">
        <v>45044</v>
      </c>
      <c r="D411" s="3">
        <v>45049</v>
      </c>
      <c r="E411" s="1" t="s">
        <v>22</v>
      </c>
      <c r="F411" s="1" t="s">
        <v>1440</v>
      </c>
      <c r="G411" s="1" t="s">
        <v>1441</v>
      </c>
      <c r="H411" s="1" t="s">
        <v>74</v>
      </c>
      <c r="I411" s="1" t="s">
        <v>26</v>
      </c>
      <c r="J411" s="1" t="s">
        <v>154</v>
      </c>
      <c r="K411" s="1" t="s">
        <v>155</v>
      </c>
      <c r="L411" s="1">
        <v>43055</v>
      </c>
      <c r="M411" s="1" t="s">
        <v>54</v>
      </c>
      <c r="N411" s="1" t="s">
        <v>1442</v>
      </c>
      <c r="O411" s="1" t="s">
        <v>31</v>
      </c>
      <c r="P411" s="1" t="s">
        <v>44</v>
      </c>
      <c r="Q411" s="1" t="s">
        <v>1443</v>
      </c>
      <c r="R411" s="1">
        <v>6.911999999999999</v>
      </c>
      <c r="S411" s="1">
        <v>3</v>
      </c>
      <c r="T411" s="1">
        <v>0.2</v>
      </c>
      <c r="U411" s="1">
        <v>2.5056000000000003</v>
      </c>
    </row>
    <row r="412" spans="1:21" ht="15.75" x14ac:dyDescent="0.25">
      <c r="A412" s="1">
        <v>411</v>
      </c>
      <c r="B412" s="2" t="s">
        <v>1430</v>
      </c>
      <c r="C412" s="3">
        <v>45044</v>
      </c>
      <c r="D412" s="3">
        <v>45049</v>
      </c>
      <c r="E412" s="1" t="s">
        <v>22</v>
      </c>
      <c r="F412" s="1" t="s">
        <v>1431</v>
      </c>
      <c r="G412" s="1" t="s">
        <v>1432</v>
      </c>
      <c r="H412" s="1" t="s">
        <v>74</v>
      </c>
      <c r="I412" s="1" t="s">
        <v>26</v>
      </c>
      <c r="J412" s="1" t="s">
        <v>1313</v>
      </c>
      <c r="K412" s="1" t="s">
        <v>1314</v>
      </c>
      <c r="L412" s="1">
        <v>21215</v>
      </c>
      <c r="M412" s="1" t="s">
        <v>54</v>
      </c>
      <c r="N412" s="1" t="s">
        <v>1444</v>
      </c>
      <c r="O412" s="1" t="s">
        <v>31</v>
      </c>
      <c r="P412" s="1" t="s">
        <v>47</v>
      </c>
      <c r="Q412" s="1" t="s">
        <v>1445</v>
      </c>
      <c r="R412" s="1">
        <v>497.61</v>
      </c>
      <c r="S412" s="1">
        <v>9</v>
      </c>
      <c r="T412" s="1">
        <v>0</v>
      </c>
      <c r="U412" s="1">
        <v>129.37860000000001</v>
      </c>
    </row>
    <row r="413" spans="1:21" ht="15.75" x14ac:dyDescent="0.25">
      <c r="A413" s="1">
        <v>412</v>
      </c>
      <c r="B413" s="2" t="s">
        <v>1439</v>
      </c>
      <c r="C413" s="3">
        <v>45044</v>
      </c>
      <c r="D413" s="3">
        <v>45049</v>
      </c>
      <c r="E413" s="1" t="s">
        <v>22</v>
      </c>
      <c r="F413" s="1" t="s">
        <v>1440</v>
      </c>
      <c r="G413" s="1" t="s">
        <v>1441</v>
      </c>
      <c r="H413" s="1" t="s">
        <v>74</v>
      </c>
      <c r="I413" s="1" t="s">
        <v>26</v>
      </c>
      <c r="J413" s="1" t="s">
        <v>154</v>
      </c>
      <c r="K413" s="1" t="s">
        <v>155</v>
      </c>
      <c r="L413" s="1">
        <v>43055</v>
      </c>
      <c r="M413" s="1" t="s">
        <v>54</v>
      </c>
      <c r="N413" s="1" t="s">
        <v>1446</v>
      </c>
      <c r="O413" s="1" t="s">
        <v>31</v>
      </c>
      <c r="P413" s="1" t="s">
        <v>47</v>
      </c>
      <c r="Q413" s="1" t="s">
        <v>1447</v>
      </c>
      <c r="R413" s="1">
        <v>177.56800000000001</v>
      </c>
      <c r="S413" s="1">
        <v>2</v>
      </c>
      <c r="T413" s="1">
        <v>0.2</v>
      </c>
      <c r="U413" s="1">
        <v>-37.733199999999989</v>
      </c>
    </row>
    <row r="414" spans="1:21" ht="15.75" x14ac:dyDescent="0.25">
      <c r="A414" s="1">
        <v>413</v>
      </c>
      <c r="B414" s="2" t="s">
        <v>1439</v>
      </c>
      <c r="C414" s="3">
        <v>45044</v>
      </c>
      <c r="D414" s="3">
        <v>45049</v>
      </c>
      <c r="E414" s="1" t="s">
        <v>22</v>
      </c>
      <c r="F414" s="1" t="s">
        <v>1440</v>
      </c>
      <c r="G414" s="1" t="s">
        <v>1441</v>
      </c>
      <c r="H414" s="1" t="s">
        <v>74</v>
      </c>
      <c r="I414" s="1" t="s">
        <v>26</v>
      </c>
      <c r="J414" s="1" t="s">
        <v>154</v>
      </c>
      <c r="K414" s="1" t="s">
        <v>155</v>
      </c>
      <c r="L414" s="1">
        <v>43055</v>
      </c>
      <c r="M414" s="1" t="s">
        <v>54</v>
      </c>
      <c r="N414" s="1" t="s">
        <v>1448</v>
      </c>
      <c r="O414" s="1" t="s">
        <v>31</v>
      </c>
      <c r="P414" s="1" t="s">
        <v>47</v>
      </c>
      <c r="Q414" s="1" t="s">
        <v>1449</v>
      </c>
      <c r="R414" s="1">
        <v>27.096</v>
      </c>
      <c r="S414" s="1">
        <v>3</v>
      </c>
      <c r="T414" s="1">
        <v>0.2</v>
      </c>
      <c r="U414" s="1">
        <v>2.0321999999999987</v>
      </c>
    </row>
    <row r="415" spans="1:21" ht="15.75" x14ac:dyDescent="0.25">
      <c r="A415" s="1">
        <v>414</v>
      </c>
      <c r="B415" s="2" t="s">
        <v>1450</v>
      </c>
      <c r="C415" s="3">
        <v>45044</v>
      </c>
      <c r="D415" s="3">
        <v>45049</v>
      </c>
      <c r="E415" s="1" t="s">
        <v>22</v>
      </c>
      <c r="F415" s="1" t="s">
        <v>1451</v>
      </c>
      <c r="G415" s="1" t="s">
        <v>1452</v>
      </c>
      <c r="H415" s="1" t="s">
        <v>74</v>
      </c>
      <c r="I415" s="1" t="s">
        <v>26</v>
      </c>
      <c r="J415" s="1" t="s">
        <v>1453</v>
      </c>
      <c r="K415" s="1" t="s">
        <v>349</v>
      </c>
      <c r="L415" s="1">
        <v>14701</v>
      </c>
      <c r="M415" s="1" t="s">
        <v>54</v>
      </c>
      <c r="N415" s="1" t="s">
        <v>477</v>
      </c>
      <c r="O415" s="1" t="s">
        <v>96</v>
      </c>
      <c r="P415" s="1" t="s">
        <v>117</v>
      </c>
      <c r="Q415" s="1" t="s">
        <v>478</v>
      </c>
      <c r="R415" s="1">
        <v>159.97999999999999</v>
      </c>
      <c r="S415" s="1">
        <v>2</v>
      </c>
      <c r="T415" s="1">
        <v>0</v>
      </c>
      <c r="U415" s="1">
        <v>57.592799999999997</v>
      </c>
    </row>
    <row r="416" spans="1:21" ht="15.75" x14ac:dyDescent="0.25">
      <c r="A416" s="1">
        <v>415</v>
      </c>
      <c r="B416" s="2" t="s">
        <v>1454</v>
      </c>
      <c r="C416" s="3">
        <v>45044</v>
      </c>
      <c r="D416" s="3">
        <v>45046</v>
      </c>
      <c r="E416" s="1" t="s">
        <v>71</v>
      </c>
      <c r="F416" s="1" t="s">
        <v>1455</v>
      </c>
      <c r="G416" s="1" t="s">
        <v>1456</v>
      </c>
      <c r="H416" s="1" t="s">
        <v>25</v>
      </c>
      <c r="I416" s="1" t="s">
        <v>26</v>
      </c>
      <c r="J416" s="1" t="s">
        <v>138</v>
      </c>
      <c r="K416" s="1" t="s">
        <v>91</v>
      </c>
      <c r="L416" s="1">
        <v>94122</v>
      </c>
      <c r="M416" s="1" t="s">
        <v>92</v>
      </c>
      <c r="N416" s="1" t="s">
        <v>1457</v>
      </c>
      <c r="O416" s="1" t="s">
        <v>96</v>
      </c>
      <c r="P416" s="1" t="s">
        <v>97</v>
      </c>
      <c r="Q416" s="1" t="s">
        <v>1458</v>
      </c>
      <c r="R416" s="1">
        <v>1679.96</v>
      </c>
      <c r="S416" s="1">
        <v>5</v>
      </c>
      <c r="T416" s="1">
        <v>0.2</v>
      </c>
      <c r="U416" s="1">
        <v>125.99700000000007</v>
      </c>
    </row>
    <row r="417" spans="1:21" ht="15.75" x14ac:dyDescent="0.25">
      <c r="A417" s="1">
        <v>416</v>
      </c>
      <c r="B417" s="2" t="s">
        <v>1459</v>
      </c>
      <c r="C417" s="3">
        <v>45045</v>
      </c>
      <c r="D417" s="3">
        <v>45049</v>
      </c>
      <c r="E417" s="1" t="s">
        <v>22</v>
      </c>
      <c r="F417" s="1" t="s">
        <v>1460</v>
      </c>
      <c r="G417" s="1" t="s">
        <v>1461</v>
      </c>
      <c r="H417" s="1" t="s">
        <v>74</v>
      </c>
      <c r="I417" s="1" t="s">
        <v>26</v>
      </c>
      <c r="J417" s="1" t="s">
        <v>1462</v>
      </c>
      <c r="K417" s="1" t="s">
        <v>255</v>
      </c>
      <c r="L417" s="1">
        <v>38109</v>
      </c>
      <c r="M417" s="1" t="s">
        <v>63</v>
      </c>
      <c r="N417" s="1" t="s">
        <v>1463</v>
      </c>
      <c r="O417" s="1" t="s">
        <v>65</v>
      </c>
      <c r="P417" s="1" t="s">
        <v>66</v>
      </c>
      <c r="Q417" s="1" t="s">
        <v>1464</v>
      </c>
      <c r="R417" s="1">
        <v>561.58400000000006</v>
      </c>
      <c r="S417" s="1">
        <v>2</v>
      </c>
      <c r="T417" s="1">
        <v>0.2</v>
      </c>
      <c r="U417" s="1">
        <v>70.197999999999922</v>
      </c>
    </row>
    <row r="418" spans="1:21" ht="15.75" x14ac:dyDescent="0.25">
      <c r="A418" s="1">
        <v>417</v>
      </c>
      <c r="B418" s="2" t="s">
        <v>1465</v>
      </c>
      <c r="C418" s="3">
        <v>45045</v>
      </c>
      <c r="D418" s="3">
        <v>45047</v>
      </c>
      <c r="E418" s="1" t="s">
        <v>87</v>
      </c>
      <c r="F418" s="1" t="s">
        <v>1466</v>
      </c>
      <c r="G418" s="1" t="s">
        <v>1467</v>
      </c>
      <c r="H418" s="1" t="s">
        <v>25</v>
      </c>
      <c r="I418" s="1" t="s">
        <v>26</v>
      </c>
      <c r="J418" s="1" t="s">
        <v>1468</v>
      </c>
      <c r="K418" s="1" t="s">
        <v>162</v>
      </c>
      <c r="L418" s="1">
        <v>70601</v>
      </c>
      <c r="M418" s="1" t="s">
        <v>63</v>
      </c>
      <c r="N418" s="1" t="s">
        <v>1004</v>
      </c>
      <c r="O418" s="1" t="s">
        <v>65</v>
      </c>
      <c r="P418" s="1" t="s">
        <v>66</v>
      </c>
      <c r="Q418" s="1" t="s">
        <v>1005</v>
      </c>
      <c r="R418" s="1">
        <v>51.96</v>
      </c>
      <c r="S418" s="1">
        <v>2</v>
      </c>
      <c r="T418" s="1">
        <v>0</v>
      </c>
      <c r="U418" s="1">
        <v>12.990000000000002</v>
      </c>
    </row>
    <row r="419" spans="1:21" ht="15.75" x14ac:dyDescent="0.25">
      <c r="A419" s="1">
        <v>418</v>
      </c>
      <c r="B419" s="2" t="s">
        <v>1469</v>
      </c>
      <c r="C419" s="3">
        <v>45045</v>
      </c>
      <c r="D419" s="3">
        <v>45050</v>
      </c>
      <c r="E419" s="1" t="s">
        <v>22</v>
      </c>
      <c r="F419" s="1" t="s">
        <v>1470</v>
      </c>
      <c r="G419" s="1" t="s">
        <v>1471</v>
      </c>
      <c r="H419" s="1" t="s">
        <v>25</v>
      </c>
      <c r="I419" s="1" t="s">
        <v>26</v>
      </c>
      <c r="J419" s="1" t="s">
        <v>1472</v>
      </c>
      <c r="K419" s="1" t="s">
        <v>349</v>
      </c>
      <c r="L419" s="1">
        <v>14609</v>
      </c>
      <c r="M419" s="1" t="s">
        <v>54</v>
      </c>
      <c r="N419" s="1" t="s">
        <v>1473</v>
      </c>
      <c r="O419" s="1" t="s">
        <v>65</v>
      </c>
      <c r="P419" s="1" t="s">
        <v>106</v>
      </c>
      <c r="Q419" s="1" t="s">
        <v>1474</v>
      </c>
      <c r="R419" s="1">
        <v>17.46</v>
      </c>
      <c r="S419" s="1">
        <v>2</v>
      </c>
      <c r="T419" s="1">
        <v>0</v>
      </c>
      <c r="U419" s="1">
        <v>5.936399999999999</v>
      </c>
    </row>
    <row r="420" spans="1:21" ht="15.75" x14ac:dyDescent="0.25">
      <c r="A420" s="1">
        <v>419</v>
      </c>
      <c r="B420" s="2" t="s">
        <v>1465</v>
      </c>
      <c r="C420" s="3">
        <v>45045</v>
      </c>
      <c r="D420" s="3">
        <v>45047</v>
      </c>
      <c r="E420" s="1" t="s">
        <v>87</v>
      </c>
      <c r="F420" s="1" t="s">
        <v>1466</v>
      </c>
      <c r="G420" s="1" t="s">
        <v>1467</v>
      </c>
      <c r="H420" s="1" t="s">
        <v>25</v>
      </c>
      <c r="I420" s="1" t="s">
        <v>26</v>
      </c>
      <c r="J420" s="1" t="s">
        <v>1468</v>
      </c>
      <c r="K420" s="1" t="s">
        <v>162</v>
      </c>
      <c r="L420" s="1">
        <v>70601</v>
      </c>
      <c r="M420" s="1" t="s">
        <v>63</v>
      </c>
      <c r="N420" s="1" t="s">
        <v>802</v>
      </c>
      <c r="O420" s="1" t="s">
        <v>31</v>
      </c>
      <c r="P420" s="1" t="s">
        <v>41</v>
      </c>
      <c r="Q420" s="1" t="s">
        <v>803</v>
      </c>
      <c r="R420" s="1">
        <v>17.940000000000001</v>
      </c>
      <c r="S420" s="1">
        <v>3</v>
      </c>
      <c r="T420" s="1">
        <v>0</v>
      </c>
      <c r="U420" s="1">
        <v>8.6112000000000002</v>
      </c>
    </row>
    <row r="421" spans="1:21" ht="15.75" x14ac:dyDescent="0.25">
      <c r="A421" s="1">
        <v>420</v>
      </c>
      <c r="B421" s="2" t="s">
        <v>1459</v>
      </c>
      <c r="C421" s="3">
        <v>45045</v>
      </c>
      <c r="D421" s="3">
        <v>45049</v>
      </c>
      <c r="E421" s="1" t="s">
        <v>22</v>
      </c>
      <c r="F421" s="1" t="s">
        <v>1460</v>
      </c>
      <c r="G421" s="1" t="s">
        <v>1461</v>
      </c>
      <c r="H421" s="1" t="s">
        <v>74</v>
      </c>
      <c r="I421" s="1" t="s">
        <v>26</v>
      </c>
      <c r="J421" s="1" t="s">
        <v>1462</v>
      </c>
      <c r="K421" s="1" t="s">
        <v>255</v>
      </c>
      <c r="L421" s="1">
        <v>38109</v>
      </c>
      <c r="M421" s="1" t="s">
        <v>63</v>
      </c>
      <c r="N421" s="1" t="s">
        <v>1475</v>
      </c>
      <c r="O421" s="1" t="s">
        <v>31</v>
      </c>
      <c r="P421" s="1" t="s">
        <v>47</v>
      </c>
      <c r="Q421" s="1" t="s">
        <v>1476</v>
      </c>
      <c r="R421" s="1">
        <v>99.920000000000016</v>
      </c>
      <c r="S421" s="1">
        <v>5</v>
      </c>
      <c r="T421" s="1">
        <v>0.2</v>
      </c>
      <c r="U421" s="1">
        <v>-1.249000000000013</v>
      </c>
    </row>
    <row r="422" spans="1:21" ht="15.75" x14ac:dyDescent="0.25">
      <c r="A422" s="1">
        <v>421</v>
      </c>
      <c r="B422" s="2" t="s">
        <v>1477</v>
      </c>
      <c r="C422" s="3">
        <v>45045</v>
      </c>
      <c r="D422" s="3">
        <v>45050</v>
      </c>
      <c r="E422" s="1" t="s">
        <v>22</v>
      </c>
      <c r="F422" s="1" t="s">
        <v>1478</v>
      </c>
      <c r="G422" s="1" t="s">
        <v>1479</v>
      </c>
      <c r="H422" s="1" t="s">
        <v>25</v>
      </c>
      <c r="I422" s="1" t="s">
        <v>26</v>
      </c>
      <c r="J422" s="1" t="s">
        <v>131</v>
      </c>
      <c r="K422" s="1" t="s">
        <v>132</v>
      </c>
      <c r="L422" s="1">
        <v>19901</v>
      </c>
      <c r="M422" s="1" t="s">
        <v>54</v>
      </c>
      <c r="N422" s="1" t="s">
        <v>1480</v>
      </c>
      <c r="O422" s="1" t="s">
        <v>96</v>
      </c>
      <c r="P422" s="1" t="s">
        <v>97</v>
      </c>
      <c r="Q422" s="1" t="s">
        <v>1481</v>
      </c>
      <c r="R422" s="1">
        <v>19.98</v>
      </c>
      <c r="S422" s="1">
        <v>2</v>
      </c>
      <c r="T422" s="1">
        <v>0</v>
      </c>
      <c r="U422" s="1">
        <v>5.1948000000000008</v>
      </c>
    </row>
    <row r="423" spans="1:21" ht="15.75" x14ac:dyDescent="0.25">
      <c r="A423" s="1">
        <v>422</v>
      </c>
      <c r="B423" s="2" t="s">
        <v>1482</v>
      </c>
      <c r="C423" s="3">
        <v>45046</v>
      </c>
      <c r="D423" s="3">
        <v>45048</v>
      </c>
      <c r="E423" s="1" t="s">
        <v>71</v>
      </c>
      <c r="F423" s="1" t="s">
        <v>1483</v>
      </c>
      <c r="G423" s="1" t="s">
        <v>1484</v>
      </c>
      <c r="H423" s="1" t="s">
        <v>25</v>
      </c>
      <c r="I423" s="1" t="s">
        <v>26</v>
      </c>
      <c r="J423" s="1" t="s">
        <v>1485</v>
      </c>
      <c r="K423" s="1" t="s">
        <v>62</v>
      </c>
      <c r="L423" s="1">
        <v>40214</v>
      </c>
      <c r="M423" s="1" t="s">
        <v>63</v>
      </c>
      <c r="N423" s="1" t="s">
        <v>1486</v>
      </c>
      <c r="O423" s="1" t="s">
        <v>31</v>
      </c>
      <c r="P423" s="1" t="s">
        <v>56</v>
      </c>
      <c r="Q423" s="1" t="s">
        <v>1487</v>
      </c>
      <c r="R423" s="1">
        <v>174.95000000000002</v>
      </c>
      <c r="S423" s="1">
        <v>5</v>
      </c>
      <c r="T423" s="1">
        <v>0</v>
      </c>
      <c r="U423" s="1">
        <v>45.487000000000002</v>
      </c>
    </row>
    <row r="424" spans="1:21" ht="15.75" x14ac:dyDescent="0.25">
      <c r="A424" s="1">
        <v>423</v>
      </c>
      <c r="B424" s="2" t="s">
        <v>1482</v>
      </c>
      <c r="C424" s="3">
        <v>45046</v>
      </c>
      <c r="D424" s="3">
        <v>45048</v>
      </c>
      <c r="E424" s="1" t="s">
        <v>71</v>
      </c>
      <c r="F424" s="1" t="s">
        <v>1483</v>
      </c>
      <c r="G424" s="1" t="s">
        <v>1484</v>
      </c>
      <c r="H424" s="1" t="s">
        <v>25</v>
      </c>
      <c r="I424" s="1" t="s">
        <v>26</v>
      </c>
      <c r="J424" s="1" t="s">
        <v>1485</v>
      </c>
      <c r="K424" s="1" t="s">
        <v>62</v>
      </c>
      <c r="L424" s="1">
        <v>40214</v>
      </c>
      <c r="M424" s="1" t="s">
        <v>63</v>
      </c>
      <c r="N424" s="1" t="s">
        <v>926</v>
      </c>
      <c r="O424" s="1" t="s">
        <v>31</v>
      </c>
      <c r="P424" s="1" t="s">
        <v>47</v>
      </c>
      <c r="Q424" s="1" t="s">
        <v>927</v>
      </c>
      <c r="R424" s="1">
        <v>826</v>
      </c>
      <c r="S424" s="1">
        <v>5</v>
      </c>
      <c r="T424" s="1">
        <v>0</v>
      </c>
      <c r="U424" s="1">
        <v>214.76</v>
      </c>
    </row>
    <row r="425" spans="1:21" ht="15.75" x14ac:dyDescent="0.25">
      <c r="A425" s="1">
        <v>424</v>
      </c>
      <c r="B425" s="2" t="s">
        <v>1488</v>
      </c>
      <c r="C425" s="3">
        <v>45046</v>
      </c>
      <c r="D425" s="3">
        <v>45048</v>
      </c>
      <c r="E425" s="1" t="s">
        <v>87</v>
      </c>
      <c r="F425" s="1" t="s">
        <v>523</v>
      </c>
      <c r="G425" s="1" t="s">
        <v>524</v>
      </c>
      <c r="H425" s="1" t="s">
        <v>25</v>
      </c>
      <c r="I425" s="1" t="s">
        <v>26</v>
      </c>
      <c r="J425" s="1" t="s">
        <v>791</v>
      </c>
      <c r="K425" s="1" t="s">
        <v>792</v>
      </c>
      <c r="L425" s="1">
        <v>39212</v>
      </c>
      <c r="M425" s="1" t="s">
        <v>63</v>
      </c>
      <c r="N425" s="1" t="s">
        <v>1489</v>
      </c>
      <c r="O425" s="1" t="s">
        <v>96</v>
      </c>
      <c r="P425" s="1" t="s">
        <v>117</v>
      </c>
      <c r="Q425" s="1" t="s">
        <v>1490</v>
      </c>
      <c r="R425" s="1">
        <v>47.79</v>
      </c>
      <c r="S425" s="1">
        <v>3</v>
      </c>
      <c r="T425" s="1">
        <v>0</v>
      </c>
      <c r="U425" s="1">
        <v>16.2486</v>
      </c>
    </row>
    <row r="426" spans="1:21" ht="15.75" x14ac:dyDescent="0.25">
      <c r="A426" s="1">
        <v>425</v>
      </c>
      <c r="B426" s="2" t="s">
        <v>1491</v>
      </c>
      <c r="C426" s="3">
        <v>45048</v>
      </c>
      <c r="D426" s="3">
        <v>45048</v>
      </c>
      <c r="E426" s="1" t="s">
        <v>497</v>
      </c>
      <c r="F426" s="1" t="s">
        <v>1492</v>
      </c>
      <c r="G426" s="1" t="s">
        <v>1493</v>
      </c>
      <c r="H426" s="1" t="s">
        <v>25</v>
      </c>
      <c r="I426" s="1" t="s">
        <v>26</v>
      </c>
      <c r="J426" s="1" t="s">
        <v>549</v>
      </c>
      <c r="K426" s="1" t="s">
        <v>155</v>
      </c>
      <c r="L426" s="1">
        <v>43229</v>
      </c>
      <c r="M426" s="1" t="s">
        <v>54</v>
      </c>
      <c r="N426" s="1" t="s">
        <v>793</v>
      </c>
      <c r="O426" s="1" t="s">
        <v>31</v>
      </c>
      <c r="P426" s="1" t="s">
        <v>205</v>
      </c>
      <c r="Q426" s="1" t="s">
        <v>794</v>
      </c>
      <c r="R426" s="1">
        <v>26.136000000000003</v>
      </c>
      <c r="S426" s="1">
        <v>3</v>
      </c>
      <c r="T426" s="1">
        <v>0.2</v>
      </c>
      <c r="U426" s="1">
        <v>1.9602000000000004</v>
      </c>
    </row>
    <row r="427" spans="1:21" ht="15.75" x14ac:dyDescent="0.25">
      <c r="A427" s="1">
        <v>426</v>
      </c>
      <c r="B427" s="2" t="s">
        <v>1494</v>
      </c>
      <c r="C427" s="3">
        <v>45048</v>
      </c>
      <c r="D427" s="3">
        <v>45050</v>
      </c>
      <c r="E427" s="1" t="s">
        <v>87</v>
      </c>
      <c r="F427" s="1" t="s">
        <v>1495</v>
      </c>
      <c r="G427" s="1" t="s">
        <v>1496</v>
      </c>
      <c r="H427" s="1" t="s">
        <v>25</v>
      </c>
      <c r="I427" s="1" t="s">
        <v>26</v>
      </c>
      <c r="J427" s="1" t="s">
        <v>851</v>
      </c>
      <c r="K427" s="1" t="s">
        <v>273</v>
      </c>
      <c r="L427" s="1">
        <v>33801</v>
      </c>
      <c r="M427" s="1" t="s">
        <v>63</v>
      </c>
      <c r="N427" s="1" t="s">
        <v>1497</v>
      </c>
      <c r="O427" s="1" t="s">
        <v>96</v>
      </c>
      <c r="P427" s="1" t="s">
        <v>1498</v>
      </c>
      <c r="Q427" s="1" t="s">
        <v>1499</v>
      </c>
      <c r="R427" s="1">
        <v>479.98400000000004</v>
      </c>
      <c r="S427" s="1">
        <v>2</v>
      </c>
      <c r="T427" s="1">
        <v>0.2</v>
      </c>
      <c r="U427" s="1">
        <v>89.996999999999986</v>
      </c>
    </row>
    <row r="428" spans="1:21" ht="15.75" x14ac:dyDescent="0.25">
      <c r="A428" s="1">
        <v>427</v>
      </c>
      <c r="B428" s="2" t="s">
        <v>1500</v>
      </c>
      <c r="C428" s="3">
        <v>45049</v>
      </c>
      <c r="D428" s="3">
        <v>45056</v>
      </c>
      <c r="E428" s="1" t="s">
        <v>22</v>
      </c>
      <c r="F428" s="1" t="s">
        <v>1501</v>
      </c>
      <c r="G428" s="1" t="s">
        <v>1502</v>
      </c>
      <c r="H428" s="1" t="s">
        <v>25</v>
      </c>
      <c r="I428" s="1" t="s">
        <v>26</v>
      </c>
      <c r="J428" s="1" t="s">
        <v>635</v>
      </c>
      <c r="K428" s="1" t="s">
        <v>349</v>
      </c>
      <c r="L428" s="1">
        <v>10701</v>
      </c>
      <c r="M428" s="1" t="s">
        <v>54</v>
      </c>
      <c r="N428" s="1" t="s">
        <v>1503</v>
      </c>
      <c r="O428" s="1" t="s">
        <v>31</v>
      </c>
      <c r="P428" s="1" t="s">
        <v>41</v>
      </c>
      <c r="Q428" s="1" t="s">
        <v>1504</v>
      </c>
      <c r="R428" s="1">
        <v>10.896000000000001</v>
      </c>
      <c r="S428" s="1">
        <v>3</v>
      </c>
      <c r="T428" s="1">
        <v>0.2</v>
      </c>
      <c r="U428" s="1">
        <v>3.9497999999999998</v>
      </c>
    </row>
    <row r="429" spans="1:21" ht="15.75" x14ac:dyDescent="0.25">
      <c r="A429" s="1">
        <v>428</v>
      </c>
      <c r="B429" s="2" t="s">
        <v>1500</v>
      </c>
      <c r="C429" s="3">
        <v>45049</v>
      </c>
      <c r="D429" s="3">
        <v>45056</v>
      </c>
      <c r="E429" s="1" t="s">
        <v>22</v>
      </c>
      <c r="F429" s="1" t="s">
        <v>1501</v>
      </c>
      <c r="G429" s="1" t="s">
        <v>1502</v>
      </c>
      <c r="H429" s="1" t="s">
        <v>25</v>
      </c>
      <c r="I429" s="1" t="s">
        <v>26</v>
      </c>
      <c r="J429" s="1" t="s">
        <v>635</v>
      </c>
      <c r="K429" s="1" t="s">
        <v>349</v>
      </c>
      <c r="L429" s="1">
        <v>10701</v>
      </c>
      <c r="M429" s="1" t="s">
        <v>54</v>
      </c>
      <c r="N429" s="1" t="s">
        <v>1505</v>
      </c>
      <c r="O429" s="1" t="s">
        <v>31</v>
      </c>
      <c r="P429" s="1" t="s">
        <v>41</v>
      </c>
      <c r="Q429" s="1" t="s">
        <v>1506</v>
      </c>
      <c r="R429" s="1">
        <v>40.176000000000002</v>
      </c>
      <c r="S429" s="1">
        <v>3</v>
      </c>
      <c r="T429" s="1">
        <v>0.2</v>
      </c>
      <c r="U429" s="1">
        <v>14.563799999999997</v>
      </c>
    </row>
    <row r="430" spans="1:21" ht="15.75" x14ac:dyDescent="0.25">
      <c r="A430" s="1">
        <v>429</v>
      </c>
      <c r="B430" s="2" t="s">
        <v>1507</v>
      </c>
      <c r="C430" s="3">
        <v>45049</v>
      </c>
      <c r="D430" s="3">
        <v>45051</v>
      </c>
      <c r="E430" s="1" t="s">
        <v>71</v>
      </c>
      <c r="F430" s="1" t="s">
        <v>1508</v>
      </c>
      <c r="G430" s="1" t="s">
        <v>1509</v>
      </c>
      <c r="H430" s="1" t="s">
        <v>37</v>
      </c>
      <c r="I430" s="1" t="s">
        <v>26</v>
      </c>
      <c r="J430" s="1" t="s">
        <v>1510</v>
      </c>
      <c r="K430" s="1" t="s">
        <v>370</v>
      </c>
      <c r="L430" s="1">
        <v>54915</v>
      </c>
      <c r="M430" s="1" t="s">
        <v>29</v>
      </c>
      <c r="N430" s="1" t="s">
        <v>1511</v>
      </c>
      <c r="O430" s="1" t="s">
        <v>31</v>
      </c>
      <c r="P430" s="1" t="s">
        <v>44</v>
      </c>
      <c r="Q430" s="1" t="s">
        <v>1512</v>
      </c>
      <c r="R430" s="1">
        <v>21.560000000000002</v>
      </c>
      <c r="S430" s="1">
        <v>7</v>
      </c>
      <c r="T430" s="1">
        <v>0</v>
      </c>
      <c r="U430" s="1">
        <v>10.348799999999999</v>
      </c>
    </row>
    <row r="431" spans="1:21" ht="15.75" x14ac:dyDescent="0.25">
      <c r="A431" s="1">
        <v>430</v>
      </c>
      <c r="B431" s="2" t="s">
        <v>1513</v>
      </c>
      <c r="C431" s="3">
        <v>45050</v>
      </c>
      <c r="D431" s="3">
        <v>45050</v>
      </c>
      <c r="E431" s="1" t="s">
        <v>497</v>
      </c>
      <c r="F431" s="1" t="s">
        <v>1514</v>
      </c>
      <c r="G431" s="1" t="s">
        <v>1515</v>
      </c>
      <c r="H431" s="1" t="s">
        <v>25</v>
      </c>
      <c r="I431" s="1" t="s">
        <v>26</v>
      </c>
      <c r="J431" s="1" t="s">
        <v>1516</v>
      </c>
      <c r="K431" s="1" t="s">
        <v>1517</v>
      </c>
      <c r="L431" s="1">
        <v>6457</v>
      </c>
      <c r="M431" s="1" t="s">
        <v>54</v>
      </c>
      <c r="N431" s="1" t="s">
        <v>866</v>
      </c>
      <c r="O431" s="1" t="s">
        <v>65</v>
      </c>
      <c r="P431" s="1" t="s">
        <v>106</v>
      </c>
      <c r="Q431" s="1" t="s">
        <v>867</v>
      </c>
      <c r="R431" s="1">
        <v>27.46</v>
      </c>
      <c r="S431" s="1">
        <v>2</v>
      </c>
      <c r="T431" s="1">
        <v>0</v>
      </c>
      <c r="U431" s="1">
        <v>9.8856000000000002</v>
      </c>
    </row>
    <row r="432" spans="1:21" ht="15.75" x14ac:dyDescent="0.25">
      <c r="A432" s="1">
        <v>431</v>
      </c>
      <c r="B432" s="2" t="s">
        <v>1518</v>
      </c>
      <c r="C432" s="3">
        <v>45050</v>
      </c>
      <c r="D432" s="3">
        <v>45053</v>
      </c>
      <c r="E432" s="1" t="s">
        <v>71</v>
      </c>
      <c r="F432" s="1" t="s">
        <v>1519</v>
      </c>
      <c r="G432" s="1" t="s">
        <v>1520</v>
      </c>
      <c r="H432" s="1" t="s">
        <v>74</v>
      </c>
      <c r="I432" s="1" t="s">
        <v>26</v>
      </c>
      <c r="J432" s="1" t="s">
        <v>387</v>
      </c>
      <c r="K432" s="1" t="s">
        <v>388</v>
      </c>
      <c r="L432" s="1">
        <v>98105</v>
      </c>
      <c r="M432" s="1" t="s">
        <v>92</v>
      </c>
      <c r="N432" s="1" t="s">
        <v>1521</v>
      </c>
      <c r="O432" s="1" t="s">
        <v>65</v>
      </c>
      <c r="P432" s="1" t="s">
        <v>106</v>
      </c>
      <c r="Q432" s="1" t="s">
        <v>1522</v>
      </c>
      <c r="R432" s="1">
        <v>12.18</v>
      </c>
      <c r="S432" s="1">
        <v>7</v>
      </c>
      <c r="T432" s="1">
        <v>0</v>
      </c>
      <c r="U432" s="1">
        <v>3.8975999999999997</v>
      </c>
    </row>
    <row r="433" spans="1:21" ht="15.75" x14ac:dyDescent="0.25">
      <c r="A433" s="1">
        <v>432</v>
      </c>
      <c r="B433" s="2" t="s">
        <v>1518</v>
      </c>
      <c r="C433" s="3">
        <v>45050</v>
      </c>
      <c r="D433" s="3">
        <v>45053</v>
      </c>
      <c r="E433" s="1" t="s">
        <v>71</v>
      </c>
      <c r="F433" s="1" t="s">
        <v>1519</v>
      </c>
      <c r="G433" s="1" t="s">
        <v>1520</v>
      </c>
      <c r="H433" s="1" t="s">
        <v>74</v>
      </c>
      <c r="I433" s="1" t="s">
        <v>26</v>
      </c>
      <c r="J433" s="1" t="s">
        <v>387</v>
      </c>
      <c r="K433" s="1" t="s">
        <v>388</v>
      </c>
      <c r="L433" s="1">
        <v>98105</v>
      </c>
      <c r="M433" s="1" t="s">
        <v>92</v>
      </c>
      <c r="N433" s="1" t="s">
        <v>1523</v>
      </c>
      <c r="O433" s="1" t="s">
        <v>31</v>
      </c>
      <c r="P433" s="1" t="s">
        <v>205</v>
      </c>
      <c r="Q433" s="1" t="s">
        <v>1524</v>
      </c>
      <c r="R433" s="1">
        <v>57.68</v>
      </c>
      <c r="S433" s="1">
        <v>4</v>
      </c>
      <c r="T433" s="1">
        <v>0</v>
      </c>
      <c r="U433" s="1">
        <v>19.034399999999998</v>
      </c>
    </row>
    <row r="434" spans="1:21" ht="15.75" x14ac:dyDescent="0.25">
      <c r="A434" s="1">
        <v>433</v>
      </c>
      <c r="B434" s="2" t="s">
        <v>1525</v>
      </c>
      <c r="C434" s="3">
        <v>45050</v>
      </c>
      <c r="D434" s="3">
        <v>45051</v>
      </c>
      <c r="E434" s="1" t="s">
        <v>71</v>
      </c>
      <c r="F434" s="1" t="s">
        <v>1025</v>
      </c>
      <c r="G434" s="1" t="s">
        <v>1026</v>
      </c>
      <c r="H434" s="1" t="s">
        <v>25</v>
      </c>
      <c r="I434" s="1" t="s">
        <v>26</v>
      </c>
      <c r="J434" s="1" t="s">
        <v>27</v>
      </c>
      <c r="K434" s="1" t="s">
        <v>28</v>
      </c>
      <c r="L434" s="1">
        <v>77036</v>
      </c>
      <c r="M434" s="1" t="s">
        <v>29</v>
      </c>
      <c r="N434" s="1" t="s">
        <v>1179</v>
      </c>
      <c r="O434" s="1" t="s">
        <v>31</v>
      </c>
      <c r="P434" s="1" t="s">
        <v>56</v>
      </c>
      <c r="Q434" s="1" t="s">
        <v>1180</v>
      </c>
      <c r="R434" s="1">
        <v>37.839999999999996</v>
      </c>
      <c r="S434" s="1">
        <v>2</v>
      </c>
      <c r="T434" s="1">
        <v>0.2</v>
      </c>
      <c r="U434" s="1">
        <v>2.8380000000000027</v>
      </c>
    </row>
    <row r="435" spans="1:21" ht="15.75" x14ac:dyDescent="0.25">
      <c r="A435" s="1">
        <v>434</v>
      </c>
      <c r="B435" s="2" t="s">
        <v>1526</v>
      </c>
      <c r="C435" s="3">
        <v>45050</v>
      </c>
      <c r="D435" s="3">
        <v>45054</v>
      </c>
      <c r="E435" s="1" t="s">
        <v>22</v>
      </c>
      <c r="F435" s="1" t="s">
        <v>1527</v>
      </c>
      <c r="G435" s="1" t="s">
        <v>1528</v>
      </c>
      <c r="H435" s="1" t="s">
        <v>25</v>
      </c>
      <c r="I435" s="1" t="s">
        <v>26</v>
      </c>
      <c r="J435" s="1" t="s">
        <v>791</v>
      </c>
      <c r="K435" s="1" t="s">
        <v>231</v>
      </c>
      <c r="L435" s="1">
        <v>49201</v>
      </c>
      <c r="M435" s="1" t="s">
        <v>29</v>
      </c>
      <c r="N435" s="1" t="s">
        <v>1529</v>
      </c>
      <c r="O435" s="1" t="s">
        <v>31</v>
      </c>
      <c r="P435" s="1" t="s">
        <v>41</v>
      </c>
      <c r="Q435" s="1" t="s">
        <v>1530</v>
      </c>
      <c r="R435" s="1">
        <v>46.8</v>
      </c>
      <c r="S435" s="1">
        <v>4</v>
      </c>
      <c r="T435" s="1">
        <v>0</v>
      </c>
      <c r="U435" s="1">
        <v>21.059999999999995</v>
      </c>
    </row>
    <row r="436" spans="1:21" ht="15.75" x14ac:dyDescent="0.25">
      <c r="A436" s="1">
        <v>435</v>
      </c>
      <c r="B436" s="2" t="s">
        <v>1525</v>
      </c>
      <c r="C436" s="3">
        <v>45050</v>
      </c>
      <c r="D436" s="3">
        <v>45051</v>
      </c>
      <c r="E436" s="1" t="s">
        <v>71</v>
      </c>
      <c r="F436" s="1" t="s">
        <v>1025</v>
      </c>
      <c r="G436" s="1" t="s">
        <v>1026</v>
      </c>
      <c r="H436" s="1" t="s">
        <v>25</v>
      </c>
      <c r="I436" s="1" t="s">
        <v>26</v>
      </c>
      <c r="J436" s="1" t="s">
        <v>27</v>
      </c>
      <c r="K436" s="1" t="s">
        <v>28</v>
      </c>
      <c r="L436" s="1">
        <v>77036</v>
      </c>
      <c r="M436" s="1" t="s">
        <v>29</v>
      </c>
      <c r="N436" s="1" t="s">
        <v>1531</v>
      </c>
      <c r="O436" s="1" t="s">
        <v>31</v>
      </c>
      <c r="P436" s="1" t="s">
        <v>82</v>
      </c>
      <c r="Q436" s="1" t="s">
        <v>1532</v>
      </c>
      <c r="R436" s="1">
        <v>5.4719999999999995</v>
      </c>
      <c r="S436" s="1">
        <v>6</v>
      </c>
      <c r="T436" s="1">
        <v>0.2</v>
      </c>
      <c r="U436" s="1">
        <v>1.8467999999999996</v>
      </c>
    </row>
    <row r="437" spans="1:21" ht="15.75" x14ac:dyDescent="0.25">
      <c r="A437" s="1">
        <v>436</v>
      </c>
      <c r="B437" s="2" t="s">
        <v>1533</v>
      </c>
      <c r="C437" s="3">
        <v>45051</v>
      </c>
      <c r="D437" s="3">
        <v>45054</v>
      </c>
      <c r="E437" s="1" t="s">
        <v>71</v>
      </c>
      <c r="F437" s="1" t="s">
        <v>1534</v>
      </c>
      <c r="G437" s="1" t="s">
        <v>1535</v>
      </c>
      <c r="H437" s="1" t="s">
        <v>25</v>
      </c>
      <c r="I437" s="1" t="s">
        <v>26</v>
      </c>
      <c r="J437" s="1" t="s">
        <v>1536</v>
      </c>
      <c r="K437" s="1" t="s">
        <v>28</v>
      </c>
      <c r="L437" s="1">
        <v>78207</v>
      </c>
      <c r="M437" s="1" t="s">
        <v>29</v>
      </c>
      <c r="N437" s="1" t="s">
        <v>439</v>
      </c>
      <c r="O437" s="1" t="s">
        <v>65</v>
      </c>
      <c r="P437" s="1" t="s">
        <v>66</v>
      </c>
      <c r="Q437" s="1" t="s">
        <v>440</v>
      </c>
      <c r="R437" s="1">
        <v>127.869</v>
      </c>
      <c r="S437" s="1">
        <v>3</v>
      </c>
      <c r="T437" s="1">
        <v>0.3</v>
      </c>
      <c r="U437" s="1">
        <v>-9.1335000000000122</v>
      </c>
    </row>
    <row r="438" spans="1:21" ht="15.75" x14ac:dyDescent="0.25">
      <c r="A438" s="1">
        <v>437</v>
      </c>
      <c r="B438" s="2" t="s">
        <v>1537</v>
      </c>
      <c r="C438" s="3">
        <v>45051</v>
      </c>
      <c r="D438" s="3">
        <v>45055</v>
      </c>
      <c r="E438" s="1" t="s">
        <v>87</v>
      </c>
      <c r="F438" s="1" t="s">
        <v>1538</v>
      </c>
      <c r="G438" s="1" t="s">
        <v>1539</v>
      </c>
      <c r="H438" s="1" t="s">
        <v>25</v>
      </c>
      <c r="I438" s="1" t="s">
        <v>26</v>
      </c>
      <c r="J438" s="1" t="s">
        <v>512</v>
      </c>
      <c r="K438" s="1" t="s">
        <v>62</v>
      </c>
      <c r="L438" s="1">
        <v>40475</v>
      </c>
      <c r="M438" s="1" t="s">
        <v>63</v>
      </c>
      <c r="N438" s="1" t="s">
        <v>1540</v>
      </c>
      <c r="O438" s="1" t="s">
        <v>31</v>
      </c>
      <c r="P438" s="1" t="s">
        <v>56</v>
      </c>
      <c r="Q438" s="1" t="s">
        <v>1541</v>
      </c>
      <c r="R438" s="1">
        <v>6.56</v>
      </c>
      <c r="S438" s="1">
        <v>2</v>
      </c>
      <c r="T438" s="1">
        <v>0</v>
      </c>
      <c r="U438" s="1">
        <v>1.9023999999999992</v>
      </c>
    </row>
    <row r="439" spans="1:21" ht="15.75" x14ac:dyDescent="0.25">
      <c r="A439" s="1">
        <v>438</v>
      </c>
      <c r="B439" s="2" t="s">
        <v>1542</v>
      </c>
      <c r="C439" s="3">
        <v>45051</v>
      </c>
      <c r="D439" s="3">
        <v>45053</v>
      </c>
      <c r="E439" s="1" t="s">
        <v>71</v>
      </c>
      <c r="F439" s="1" t="s">
        <v>1543</v>
      </c>
      <c r="G439" s="1" t="s">
        <v>1544</v>
      </c>
      <c r="H439" s="1" t="s">
        <v>74</v>
      </c>
      <c r="I439" s="1" t="s">
        <v>26</v>
      </c>
      <c r="J439" s="1" t="s">
        <v>506</v>
      </c>
      <c r="K439" s="1" t="s">
        <v>123</v>
      </c>
      <c r="L439" s="1">
        <v>22204</v>
      </c>
      <c r="M439" s="1" t="s">
        <v>63</v>
      </c>
      <c r="N439" s="1" t="s">
        <v>258</v>
      </c>
      <c r="O439" s="1" t="s">
        <v>31</v>
      </c>
      <c r="P439" s="1" t="s">
        <v>41</v>
      </c>
      <c r="Q439" s="1" t="s">
        <v>259</v>
      </c>
      <c r="R439" s="1">
        <v>11.88</v>
      </c>
      <c r="S439" s="1">
        <v>2</v>
      </c>
      <c r="T439" s="1">
        <v>0</v>
      </c>
      <c r="U439" s="1">
        <v>5.3460000000000001</v>
      </c>
    </row>
    <row r="440" spans="1:21" ht="15.75" x14ac:dyDescent="0.25">
      <c r="A440" s="1">
        <v>439</v>
      </c>
      <c r="B440" s="2" t="s">
        <v>1542</v>
      </c>
      <c r="C440" s="3">
        <v>45051</v>
      </c>
      <c r="D440" s="3">
        <v>45053</v>
      </c>
      <c r="E440" s="1" t="s">
        <v>71</v>
      </c>
      <c r="F440" s="1" t="s">
        <v>1543</v>
      </c>
      <c r="G440" s="1" t="s">
        <v>1544</v>
      </c>
      <c r="H440" s="1" t="s">
        <v>74</v>
      </c>
      <c r="I440" s="1" t="s">
        <v>26</v>
      </c>
      <c r="J440" s="1" t="s">
        <v>506</v>
      </c>
      <c r="K440" s="1" t="s">
        <v>123</v>
      </c>
      <c r="L440" s="1">
        <v>22204</v>
      </c>
      <c r="M440" s="1" t="s">
        <v>63</v>
      </c>
      <c r="N440" s="1" t="s">
        <v>1545</v>
      </c>
      <c r="O440" s="1" t="s">
        <v>31</v>
      </c>
      <c r="P440" s="1" t="s">
        <v>32</v>
      </c>
      <c r="Q440" s="1" t="s">
        <v>1546</v>
      </c>
      <c r="R440" s="1">
        <v>35.44</v>
      </c>
      <c r="S440" s="1">
        <v>1</v>
      </c>
      <c r="T440" s="1">
        <v>0</v>
      </c>
      <c r="U440" s="1">
        <v>16.656799999999997</v>
      </c>
    </row>
    <row r="441" spans="1:21" ht="15.75" x14ac:dyDescent="0.25">
      <c r="A441" s="1">
        <v>440</v>
      </c>
      <c r="B441" s="2" t="s">
        <v>1537</v>
      </c>
      <c r="C441" s="3">
        <v>45051</v>
      </c>
      <c r="D441" s="3">
        <v>45055</v>
      </c>
      <c r="E441" s="1" t="s">
        <v>87</v>
      </c>
      <c r="F441" s="1" t="s">
        <v>1538</v>
      </c>
      <c r="G441" s="1" t="s">
        <v>1539</v>
      </c>
      <c r="H441" s="1" t="s">
        <v>25</v>
      </c>
      <c r="I441" s="1" t="s">
        <v>26</v>
      </c>
      <c r="J441" s="1" t="s">
        <v>512</v>
      </c>
      <c r="K441" s="1" t="s">
        <v>62</v>
      </c>
      <c r="L441" s="1">
        <v>40475</v>
      </c>
      <c r="M441" s="1" t="s">
        <v>63</v>
      </c>
      <c r="N441" s="1" t="s">
        <v>1547</v>
      </c>
      <c r="O441" s="1" t="s">
        <v>31</v>
      </c>
      <c r="P441" s="1" t="s">
        <v>32</v>
      </c>
      <c r="Q441" s="1" t="s">
        <v>1548</v>
      </c>
      <c r="R441" s="1">
        <v>24.56</v>
      </c>
      <c r="S441" s="1">
        <v>2</v>
      </c>
      <c r="T441" s="1">
        <v>0</v>
      </c>
      <c r="U441" s="1">
        <v>11.543199999999999</v>
      </c>
    </row>
    <row r="442" spans="1:21" ht="15.75" x14ac:dyDescent="0.25">
      <c r="A442" s="1">
        <v>441</v>
      </c>
      <c r="B442" s="2" t="s">
        <v>1537</v>
      </c>
      <c r="C442" s="3">
        <v>45051</v>
      </c>
      <c r="D442" s="3">
        <v>45055</v>
      </c>
      <c r="E442" s="1" t="s">
        <v>87</v>
      </c>
      <c r="F442" s="1" t="s">
        <v>1538</v>
      </c>
      <c r="G442" s="1" t="s">
        <v>1539</v>
      </c>
      <c r="H442" s="1" t="s">
        <v>25</v>
      </c>
      <c r="I442" s="1" t="s">
        <v>26</v>
      </c>
      <c r="J442" s="1" t="s">
        <v>512</v>
      </c>
      <c r="K442" s="1" t="s">
        <v>62</v>
      </c>
      <c r="L442" s="1">
        <v>40475</v>
      </c>
      <c r="M442" s="1" t="s">
        <v>63</v>
      </c>
      <c r="N442" s="1" t="s">
        <v>1549</v>
      </c>
      <c r="O442" s="1" t="s">
        <v>31</v>
      </c>
      <c r="P442" s="1" t="s">
        <v>32</v>
      </c>
      <c r="Q442" s="1" t="s">
        <v>1550</v>
      </c>
      <c r="R442" s="1">
        <v>9.42</v>
      </c>
      <c r="S442" s="1">
        <v>3</v>
      </c>
      <c r="T442" s="1">
        <v>0</v>
      </c>
      <c r="U442" s="1">
        <v>4.238999999999999</v>
      </c>
    </row>
    <row r="443" spans="1:21" ht="15.75" x14ac:dyDescent="0.25">
      <c r="A443" s="1">
        <v>442</v>
      </c>
      <c r="B443" s="2" t="s">
        <v>1551</v>
      </c>
      <c r="C443" s="3">
        <v>45051</v>
      </c>
      <c r="D443" s="3">
        <v>45056</v>
      </c>
      <c r="E443" s="1" t="s">
        <v>22</v>
      </c>
      <c r="F443" s="1" t="s">
        <v>1070</v>
      </c>
      <c r="G443" s="1" t="s">
        <v>1071</v>
      </c>
      <c r="H443" s="1" t="s">
        <v>74</v>
      </c>
      <c r="I443" s="1" t="s">
        <v>26</v>
      </c>
      <c r="J443" s="1" t="s">
        <v>1552</v>
      </c>
      <c r="K443" s="1" t="s">
        <v>39</v>
      </c>
      <c r="L443" s="1">
        <v>61032</v>
      </c>
      <c r="M443" s="1" t="s">
        <v>29</v>
      </c>
      <c r="N443" s="1" t="s">
        <v>1553</v>
      </c>
      <c r="O443" s="1" t="s">
        <v>31</v>
      </c>
      <c r="P443" s="1" t="s">
        <v>47</v>
      </c>
      <c r="Q443" s="1" t="s">
        <v>1554</v>
      </c>
      <c r="R443" s="1">
        <v>45.248000000000005</v>
      </c>
      <c r="S443" s="1">
        <v>2</v>
      </c>
      <c r="T443" s="1">
        <v>0.2</v>
      </c>
      <c r="U443" s="1">
        <v>3.9591999999999992</v>
      </c>
    </row>
    <row r="444" spans="1:21" ht="15.75" x14ac:dyDescent="0.25">
      <c r="A444" s="1">
        <v>443</v>
      </c>
      <c r="B444" s="2" t="s">
        <v>1555</v>
      </c>
      <c r="C444" s="3">
        <v>45052</v>
      </c>
      <c r="D444" s="3">
        <v>45057</v>
      </c>
      <c r="E444" s="1" t="s">
        <v>22</v>
      </c>
      <c r="F444" s="1" t="s">
        <v>1556</v>
      </c>
      <c r="G444" s="1" t="s">
        <v>1557</v>
      </c>
      <c r="H444" s="1" t="s">
        <v>37</v>
      </c>
      <c r="I444" s="1" t="s">
        <v>26</v>
      </c>
      <c r="J444" s="1" t="s">
        <v>90</v>
      </c>
      <c r="K444" s="1" t="s">
        <v>91</v>
      </c>
      <c r="L444" s="1">
        <v>90004</v>
      </c>
      <c r="M444" s="1" t="s">
        <v>92</v>
      </c>
      <c r="N444" s="1" t="s">
        <v>1558</v>
      </c>
      <c r="O444" s="1" t="s">
        <v>31</v>
      </c>
      <c r="P444" s="1" t="s">
        <v>56</v>
      </c>
      <c r="Q444" s="1" t="s">
        <v>1559</v>
      </c>
      <c r="R444" s="1">
        <v>107.94</v>
      </c>
      <c r="S444" s="1">
        <v>6</v>
      </c>
      <c r="T444" s="1">
        <v>0</v>
      </c>
      <c r="U444" s="1">
        <v>30.223200000000002</v>
      </c>
    </row>
    <row r="445" spans="1:21" ht="15.75" x14ac:dyDescent="0.25">
      <c r="A445" s="1">
        <v>444</v>
      </c>
      <c r="B445" s="2" t="s">
        <v>1560</v>
      </c>
      <c r="C445" s="3">
        <v>45052</v>
      </c>
      <c r="D445" s="3">
        <v>45056</v>
      </c>
      <c r="E445" s="1" t="s">
        <v>22</v>
      </c>
      <c r="F445" s="1" t="s">
        <v>1561</v>
      </c>
      <c r="G445" s="1" t="s">
        <v>1562</v>
      </c>
      <c r="H445" s="1" t="s">
        <v>37</v>
      </c>
      <c r="I445" s="1" t="s">
        <v>26</v>
      </c>
      <c r="J445" s="1" t="s">
        <v>90</v>
      </c>
      <c r="K445" s="1" t="s">
        <v>91</v>
      </c>
      <c r="L445" s="1">
        <v>90049</v>
      </c>
      <c r="M445" s="1" t="s">
        <v>92</v>
      </c>
      <c r="N445" s="1" t="s">
        <v>1563</v>
      </c>
      <c r="O445" s="1" t="s">
        <v>31</v>
      </c>
      <c r="P445" s="1" t="s">
        <v>41</v>
      </c>
      <c r="Q445" s="1" t="s">
        <v>1564</v>
      </c>
      <c r="R445" s="1">
        <v>140.73599999999999</v>
      </c>
      <c r="S445" s="1">
        <v>8</v>
      </c>
      <c r="T445" s="1">
        <v>0.2</v>
      </c>
      <c r="U445" s="1">
        <v>52.775999999999996</v>
      </c>
    </row>
    <row r="446" spans="1:21" ht="15.75" x14ac:dyDescent="0.25">
      <c r="A446" s="1">
        <v>445</v>
      </c>
      <c r="B446" s="2" t="s">
        <v>1555</v>
      </c>
      <c r="C446" s="3">
        <v>45052</v>
      </c>
      <c r="D446" s="3">
        <v>45057</v>
      </c>
      <c r="E446" s="1" t="s">
        <v>22</v>
      </c>
      <c r="F446" s="1" t="s">
        <v>1556</v>
      </c>
      <c r="G446" s="1" t="s">
        <v>1557</v>
      </c>
      <c r="H446" s="1" t="s">
        <v>37</v>
      </c>
      <c r="I446" s="1" t="s">
        <v>26</v>
      </c>
      <c r="J446" s="1" t="s">
        <v>90</v>
      </c>
      <c r="K446" s="1" t="s">
        <v>91</v>
      </c>
      <c r="L446" s="1">
        <v>90004</v>
      </c>
      <c r="M446" s="1" t="s">
        <v>92</v>
      </c>
      <c r="N446" s="1" t="s">
        <v>538</v>
      </c>
      <c r="O446" s="1" t="s">
        <v>31</v>
      </c>
      <c r="P446" s="1" t="s">
        <v>44</v>
      </c>
      <c r="Q446" s="1" t="s">
        <v>539</v>
      </c>
      <c r="R446" s="1">
        <v>5.78</v>
      </c>
      <c r="S446" s="1">
        <v>2</v>
      </c>
      <c r="T446" s="1">
        <v>0</v>
      </c>
      <c r="U446" s="1">
        <v>2.7166000000000001</v>
      </c>
    </row>
    <row r="447" spans="1:21" ht="15.75" x14ac:dyDescent="0.25">
      <c r="A447" s="1">
        <v>446</v>
      </c>
      <c r="B447" s="2" t="s">
        <v>1565</v>
      </c>
      <c r="C447" s="3">
        <v>45053</v>
      </c>
      <c r="D447" s="3">
        <v>45058</v>
      </c>
      <c r="E447" s="1" t="s">
        <v>22</v>
      </c>
      <c r="F447" s="1" t="s">
        <v>1566</v>
      </c>
      <c r="G447" s="1" t="s">
        <v>1567</v>
      </c>
      <c r="H447" s="1" t="s">
        <v>25</v>
      </c>
      <c r="I447" s="1" t="s">
        <v>26</v>
      </c>
      <c r="J447" s="1" t="s">
        <v>1568</v>
      </c>
      <c r="K447" s="1" t="s">
        <v>1073</v>
      </c>
      <c r="L447" s="1">
        <v>1841</v>
      </c>
      <c r="M447" s="1" t="s">
        <v>54</v>
      </c>
      <c r="N447" s="1" t="s">
        <v>1569</v>
      </c>
      <c r="O447" s="1" t="s">
        <v>65</v>
      </c>
      <c r="P447" s="1" t="s">
        <v>66</v>
      </c>
      <c r="Q447" s="1" t="s">
        <v>1570</v>
      </c>
      <c r="R447" s="1">
        <v>872.32</v>
      </c>
      <c r="S447" s="1">
        <v>4</v>
      </c>
      <c r="T447" s="1">
        <v>0</v>
      </c>
      <c r="U447" s="1">
        <v>244.24959999999999</v>
      </c>
    </row>
    <row r="448" spans="1:21" ht="15.75" x14ac:dyDescent="0.25">
      <c r="A448" s="1">
        <v>447</v>
      </c>
      <c r="B448" s="2" t="s">
        <v>1565</v>
      </c>
      <c r="C448" s="3">
        <v>45053</v>
      </c>
      <c r="D448" s="3">
        <v>45058</v>
      </c>
      <c r="E448" s="1" t="s">
        <v>22</v>
      </c>
      <c r="F448" s="1" t="s">
        <v>1566</v>
      </c>
      <c r="G448" s="1" t="s">
        <v>1567</v>
      </c>
      <c r="H448" s="1" t="s">
        <v>25</v>
      </c>
      <c r="I448" s="1" t="s">
        <v>26</v>
      </c>
      <c r="J448" s="1" t="s">
        <v>1568</v>
      </c>
      <c r="K448" s="1" t="s">
        <v>1073</v>
      </c>
      <c r="L448" s="1">
        <v>1841</v>
      </c>
      <c r="M448" s="1" t="s">
        <v>54</v>
      </c>
      <c r="N448" s="1" t="s">
        <v>338</v>
      </c>
      <c r="O448" s="1" t="s">
        <v>65</v>
      </c>
      <c r="P448" s="1" t="s">
        <v>339</v>
      </c>
      <c r="Q448" s="1" t="s">
        <v>340</v>
      </c>
      <c r="R448" s="1">
        <v>194.25</v>
      </c>
      <c r="S448" s="1">
        <v>2</v>
      </c>
      <c r="T448" s="1">
        <v>0.3</v>
      </c>
      <c r="U448" s="1">
        <v>-38.849999999999994</v>
      </c>
    </row>
    <row r="449" spans="1:21" ht="15.75" x14ac:dyDescent="0.25">
      <c r="A449" s="1">
        <v>448</v>
      </c>
      <c r="B449" s="2" t="s">
        <v>1565</v>
      </c>
      <c r="C449" s="3">
        <v>45053</v>
      </c>
      <c r="D449" s="3">
        <v>45058</v>
      </c>
      <c r="E449" s="1" t="s">
        <v>22</v>
      </c>
      <c r="F449" s="1" t="s">
        <v>1566</v>
      </c>
      <c r="G449" s="1" t="s">
        <v>1567</v>
      </c>
      <c r="H449" s="1" t="s">
        <v>25</v>
      </c>
      <c r="I449" s="1" t="s">
        <v>26</v>
      </c>
      <c r="J449" s="1" t="s">
        <v>1568</v>
      </c>
      <c r="K449" s="1" t="s">
        <v>1073</v>
      </c>
      <c r="L449" s="1">
        <v>1841</v>
      </c>
      <c r="M449" s="1" t="s">
        <v>54</v>
      </c>
      <c r="N449" s="1" t="s">
        <v>1571</v>
      </c>
      <c r="O449" s="1" t="s">
        <v>31</v>
      </c>
      <c r="P449" s="1" t="s">
        <v>56</v>
      </c>
      <c r="Q449" s="1" t="s">
        <v>1572</v>
      </c>
      <c r="R449" s="1">
        <v>8.64</v>
      </c>
      <c r="S449" s="1">
        <v>3</v>
      </c>
      <c r="T449" s="1">
        <v>0</v>
      </c>
      <c r="U449" s="1">
        <v>2.5055999999999998</v>
      </c>
    </row>
    <row r="450" spans="1:21" ht="15.75" x14ac:dyDescent="0.25">
      <c r="A450" s="1">
        <v>449</v>
      </c>
      <c r="B450" s="2" t="s">
        <v>1565</v>
      </c>
      <c r="C450" s="3">
        <v>45053</v>
      </c>
      <c r="D450" s="3">
        <v>45058</v>
      </c>
      <c r="E450" s="1" t="s">
        <v>22</v>
      </c>
      <c r="F450" s="1" t="s">
        <v>1566</v>
      </c>
      <c r="G450" s="1" t="s">
        <v>1567</v>
      </c>
      <c r="H450" s="1" t="s">
        <v>25</v>
      </c>
      <c r="I450" s="1" t="s">
        <v>26</v>
      </c>
      <c r="J450" s="1" t="s">
        <v>1568</v>
      </c>
      <c r="K450" s="1" t="s">
        <v>1073</v>
      </c>
      <c r="L450" s="1">
        <v>1841</v>
      </c>
      <c r="M450" s="1" t="s">
        <v>54</v>
      </c>
      <c r="N450" s="1" t="s">
        <v>1573</v>
      </c>
      <c r="O450" s="1" t="s">
        <v>31</v>
      </c>
      <c r="P450" s="1" t="s">
        <v>41</v>
      </c>
      <c r="Q450" s="1" t="s">
        <v>1574</v>
      </c>
      <c r="R450" s="1">
        <v>16.14</v>
      </c>
      <c r="S450" s="1">
        <v>3</v>
      </c>
      <c r="T450" s="1">
        <v>0</v>
      </c>
      <c r="U450" s="1">
        <v>7.9085999999999999</v>
      </c>
    </row>
    <row r="451" spans="1:21" ht="15.75" x14ac:dyDescent="0.25">
      <c r="A451" s="1">
        <v>450</v>
      </c>
      <c r="B451" s="2" t="s">
        <v>1575</v>
      </c>
      <c r="C451" s="3">
        <v>45053</v>
      </c>
      <c r="D451" s="3">
        <v>45058</v>
      </c>
      <c r="E451" s="4" t="s">
        <v>22</v>
      </c>
      <c r="F451" s="4" t="s">
        <v>1566</v>
      </c>
      <c r="G451" s="4" t="s">
        <v>1567</v>
      </c>
      <c r="H451" s="4" t="s">
        <v>25</v>
      </c>
      <c r="I451" s="4" t="s">
        <v>279</v>
      </c>
      <c r="J451" s="4" t="s">
        <v>280</v>
      </c>
      <c r="K451" s="4" t="s">
        <v>281</v>
      </c>
      <c r="L451" s="4" t="s">
        <v>1576</v>
      </c>
      <c r="M451" s="4" t="s">
        <v>54</v>
      </c>
      <c r="N451" s="4" t="s">
        <v>1569</v>
      </c>
      <c r="O451" s="4" t="s">
        <v>65</v>
      </c>
      <c r="P451" s="4" t="s">
        <v>66</v>
      </c>
      <c r="Q451" s="4" t="s">
        <v>1570</v>
      </c>
      <c r="R451" s="1">
        <v>872.32</v>
      </c>
      <c r="S451" s="1">
        <v>4</v>
      </c>
      <c r="T451" s="1">
        <v>0</v>
      </c>
      <c r="U451" s="1">
        <v>244.24959999999999</v>
      </c>
    </row>
    <row r="452" spans="1:21" ht="15.75" x14ac:dyDescent="0.25">
      <c r="A452" s="1">
        <v>451</v>
      </c>
      <c r="B452" s="2" t="s">
        <v>1575</v>
      </c>
      <c r="C452" s="3">
        <v>45053</v>
      </c>
      <c r="D452" s="3">
        <v>45058</v>
      </c>
      <c r="E452" s="4" t="s">
        <v>22</v>
      </c>
      <c r="F452" s="4" t="s">
        <v>1566</v>
      </c>
      <c r="G452" s="4" t="s">
        <v>1567</v>
      </c>
      <c r="H452" s="4" t="s">
        <v>25</v>
      </c>
      <c r="I452" s="4" t="s">
        <v>279</v>
      </c>
      <c r="J452" s="4" t="s">
        <v>280</v>
      </c>
      <c r="K452" s="4" t="s">
        <v>281</v>
      </c>
      <c r="L452" s="4" t="s">
        <v>1576</v>
      </c>
      <c r="M452" s="4" t="s">
        <v>54</v>
      </c>
      <c r="N452" s="4" t="s">
        <v>338</v>
      </c>
      <c r="O452" s="4" t="s">
        <v>65</v>
      </c>
      <c r="P452" s="4" t="s">
        <v>339</v>
      </c>
      <c r="Q452" s="4" t="s">
        <v>340</v>
      </c>
      <c r="R452" s="1">
        <v>194.25</v>
      </c>
      <c r="S452" s="1">
        <v>2</v>
      </c>
      <c r="T452" s="1">
        <v>0.3</v>
      </c>
      <c r="U452" s="1">
        <v>-38.849999999999994</v>
      </c>
    </row>
    <row r="453" spans="1:21" ht="15.75" x14ac:dyDescent="0.25">
      <c r="A453" s="1">
        <v>452</v>
      </c>
      <c r="B453" s="2" t="s">
        <v>1575</v>
      </c>
      <c r="C453" s="3">
        <v>45053</v>
      </c>
      <c r="D453" s="3">
        <v>45058</v>
      </c>
      <c r="E453" s="4" t="s">
        <v>22</v>
      </c>
      <c r="F453" s="4" t="s">
        <v>1566</v>
      </c>
      <c r="G453" s="4" t="s">
        <v>1567</v>
      </c>
      <c r="H453" s="4" t="s">
        <v>25</v>
      </c>
      <c r="I453" s="4" t="s">
        <v>279</v>
      </c>
      <c r="J453" s="4" t="s">
        <v>280</v>
      </c>
      <c r="K453" s="4" t="s">
        <v>281</v>
      </c>
      <c r="L453" s="4" t="s">
        <v>1576</v>
      </c>
      <c r="M453" s="4" t="s">
        <v>54</v>
      </c>
      <c r="N453" s="4" t="s">
        <v>1571</v>
      </c>
      <c r="O453" s="4" t="s">
        <v>31</v>
      </c>
      <c r="P453" s="4" t="s">
        <v>56</v>
      </c>
      <c r="Q453" s="4" t="s">
        <v>1572</v>
      </c>
      <c r="R453" s="1">
        <v>8.64</v>
      </c>
      <c r="S453" s="1">
        <v>3</v>
      </c>
      <c r="T453" s="1">
        <v>0</v>
      </c>
      <c r="U453" s="1">
        <v>2.5055999999999998</v>
      </c>
    </row>
    <row r="454" spans="1:21" ht="15.75" x14ac:dyDescent="0.25">
      <c r="A454" s="1">
        <v>453</v>
      </c>
      <c r="B454" s="2" t="s">
        <v>1575</v>
      </c>
      <c r="C454" s="3">
        <v>45053</v>
      </c>
      <c r="D454" s="3">
        <v>45058</v>
      </c>
      <c r="E454" s="4" t="s">
        <v>22</v>
      </c>
      <c r="F454" s="4" t="s">
        <v>1566</v>
      </c>
      <c r="G454" s="4" t="s">
        <v>1567</v>
      </c>
      <c r="H454" s="4" t="s">
        <v>25</v>
      </c>
      <c r="I454" s="4" t="s">
        <v>279</v>
      </c>
      <c r="J454" s="4" t="s">
        <v>280</v>
      </c>
      <c r="K454" s="4" t="s">
        <v>281</v>
      </c>
      <c r="L454" s="4" t="s">
        <v>1576</v>
      </c>
      <c r="M454" s="4" t="s">
        <v>54</v>
      </c>
      <c r="N454" s="4" t="s">
        <v>1573</v>
      </c>
      <c r="O454" s="4" t="s">
        <v>31</v>
      </c>
      <c r="P454" s="4" t="s">
        <v>41</v>
      </c>
      <c r="Q454" s="4" t="s">
        <v>1574</v>
      </c>
      <c r="R454" s="1">
        <v>16.14</v>
      </c>
      <c r="S454" s="1">
        <v>3</v>
      </c>
      <c r="T454" s="1">
        <v>0</v>
      </c>
      <c r="U454" s="1">
        <v>7.9085999999999999</v>
      </c>
    </row>
    <row r="455" spans="1:21" ht="15.75" x14ac:dyDescent="0.25">
      <c r="A455" s="1">
        <v>454</v>
      </c>
      <c r="B455" s="2" t="s">
        <v>1577</v>
      </c>
      <c r="C455" s="3">
        <v>45054</v>
      </c>
      <c r="D455" s="3">
        <v>45056</v>
      </c>
      <c r="E455" s="1" t="s">
        <v>71</v>
      </c>
      <c r="F455" s="1" t="s">
        <v>671</v>
      </c>
      <c r="G455" s="1" t="s">
        <v>672</v>
      </c>
      <c r="H455" s="1" t="s">
        <v>25</v>
      </c>
      <c r="I455" s="1" t="s">
        <v>26</v>
      </c>
      <c r="J455" s="1" t="s">
        <v>52</v>
      </c>
      <c r="K455" s="1" t="s">
        <v>53</v>
      </c>
      <c r="L455" s="1">
        <v>19134</v>
      </c>
      <c r="M455" s="1" t="s">
        <v>54</v>
      </c>
      <c r="N455" s="1" t="s">
        <v>1578</v>
      </c>
      <c r="O455" s="1" t="s">
        <v>96</v>
      </c>
      <c r="P455" s="1" t="s">
        <v>1498</v>
      </c>
      <c r="Q455" s="1" t="s">
        <v>1579</v>
      </c>
      <c r="R455" s="1">
        <v>1799.9699999999998</v>
      </c>
      <c r="S455" s="1">
        <v>5</v>
      </c>
      <c r="T455" s="1">
        <v>0.4</v>
      </c>
      <c r="U455" s="1">
        <v>239.99600000000009</v>
      </c>
    </row>
    <row r="456" spans="1:21" ht="15.75" x14ac:dyDescent="0.25">
      <c r="A456" s="1">
        <v>455</v>
      </c>
      <c r="B456" s="2" t="s">
        <v>1580</v>
      </c>
      <c r="C456" s="3">
        <v>45055</v>
      </c>
      <c r="D456" s="3">
        <v>45055</v>
      </c>
      <c r="E456" s="1" t="s">
        <v>497</v>
      </c>
      <c r="F456" s="1" t="s">
        <v>1581</v>
      </c>
      <c r="G456" s="1" t="s">
        <v>1582</v>
      </c>
      <c r="H456" s="1" t="s">
        <v>74</v>
      </c>
      <c r="I456" s="1" t="s">
        <v>26</v>
      </c>
      <c r="J456" s="1" t="s">
        <v>61</v>
      </c>
      <c r="K456" s="1" t="s">
        <v>62</v>
      </c>
      <c r="L456" s="1">
        <v>42420</v>
      </c>
      <c r="M456" s="1" t="s">
        <v>63</v>
      </c>
      <c r="N456" s="1" t="s">
        <v>1115</v>
      </c>
      <c r="O456" s="1" t="s">
        <v>31</v>
      </c>
      <c r="P456" s="1" t="s">
        <v>44</v>
      </c>
      <c r="Q456" s="1" t="s">
        <v>1116</v>
      </c>
      <c r="R456" s="1">
        <v>9.4499999999999993</v>
      </c>
      <c r="S456" s="1">
        <v>3</v>
      </c>
      <c r="T456" s="1">
        <v>0</v>
      </c>
      <c r="U456" s="1">
        <v>4.5359999999999996</v>
      </c>
    </row>
    <row r="457" spans="1:21" ht="15.75" x14ac:dyDescent="0.25">
      <c r="A457" s="1">
        <v>456</v>
      </c>
      <c r="B457" s="2" t="s">
        <v>1580</v>
      </c>
      <c r="C457" s="3">
        <v>45055</v>
      </c>
      <c r="D457" s="3">
        <v>45055</v>
      </c>
      <c r="E457" s="1" t="s">
        <v>497</v>
      </c>
      <c r="F457" s="1" t="s">
        <v>1581</v>
      </c>
      <c r="G457" s="1" t="s">
        <v>1582</v>
      </c>
      <c r="H457" s="1" t="s">
        <v>74</v>
      </c>
      <c r="I457" s="1" t="s">
        <v>26</v>
      </c>
      <c r="J457" s="1" t="s">
        <v>61</v>
      </c>
      <c r="K457" s="1" t="s">
        <v>62</v>
      </c>
      <c r="L457" s="1">
        <v>42420</v>
      </c>
      <c r="M457" s="1" t="s">
        <v>63</v>
      </c>
      <c r="N457" s="1" t="s">
        <v>1583</v>
      </c>
      <c r="O457" s="1" t="s">
        <v>31</v>
      </c>
      <c r="P457" s="1" t="s">
        <v>44</v>
      </c>
      <c r="Q457" s="1" t="s">
        <v>1584</v>
      </c>
      <c r="R457" s="1">
        <v>20.65</v>
      </c>
      <c r="S457" s="1">
        <v>5</v>
      </c>
      <c r="T457" s="1">
        <v>0</v>
      </c>
      <c r="U457" s="1">
        <v>9.4989999999999988</v>
      </c>
    </row>
    <row r="458" spans="1:21" ht="15.75" x14ac:dyDescent="0.25">
      <c r="A458" s="1">
        <v>457</v>
      </c>
      <c r="B458" s="2" t="s">
        <v>1580</v>
      </c>
      <c r="C458" s="3">
        <v>45055</v>
      </c>
      <c r="D458" s="3">
        <v>45055</v>
      </c>
      <c r="E458" s="1" t="s">
        <v>497</v>
      </c>
      <c r="F458" s="1" t="s">
        <v>1581</v>
      </c>
      <c r="G458" s="1" t="s">
        <v>1582</v>
      </c>
      <c r="H458" s="1" t="s">
        <v>74</v>
      </c>
      <c r="I458" s="1" t="s">
        <v>26</v>
      </c>
      <c r="J458" s="1" t="s">
        <v>61</v>
      </c>
      <c r="K458" s="1" t="s">
        <v>62</v>
      </c>
      <c r="L458" s="1">
        <v>42420</v>
      </c>
      <c r="M458" s="1" t="s">
        <v>63</v>
      </c>
      <c r="N458" s="1" t="s">
        <v>289</v>
      </c>
      <c r="O458" s="1" t="s">
        <v>31</v>
      </c>
      <c r="P458" s="1" t="s">
        <v>32</v>
      </c>
      <c r="Q458" s="1" t="s">
        <v>290</v>
      </c>
      <c r="R458" s="1">
        <v>45.36</v>
      </c>
      <c r="S458" s="1">
        <v>7</v>
      </c>
      <c r="T458" s="1">
        <v>0</v>
      </c>
      <c r="U458" s="1">
        <v>21.772800000000004</v>
      </c>
    </row>
    <row r="459" spans="1:21" ht="15.75" x14ac:dyDescent="0.25">
      <c r="A459" s="1">
        <v>458</v>
      </c>
      <c r="B459" s="2" t="s">
        <v>1580</v>
      </c>
      <c r="C459" s="3">
        <v>45055</v>
      </c>
      <c r="D459" s="3">
        <v>45055</v>
      </c>
      <c r="E459" s="1" t="s">
        <v>497</v>
      </c>
      <c r="F459" s="1" t="s">
        <v>1581</v>
      </c>
      <c r="G459" s="1" t="s">
        <v>1582</v>
      </c>
      <c r="H459" s="1" t="s">
        <v>74</v>
      </c>
      <c r="I459" s="1" t="s">
        <v>26</v>
      </c>
      <c r="J459" s="1" t="s">
        <v>61</v>
      </c>
      <c r="K459" s="1" t="s">
        <v>62</v>
      </c>
      <c r="L459" s="1">
        <v>42420</v>
      </c>
      <c r="M459" s="1" t="s">
        <v>63</v>
      </c>
      <c r="N459" s="1" t="s">
        <v>1585</v>
      </c>
      <c r="O459" s="1" t="s">
        <v>31</v>
      </c>
      <c r="P459" s="1" t="s">
        <v>47</v>
      </c>
      <c r="Q459" s="1" t="s">
        <v>1586</v>
      </c>
      <c r="R459" s="1">
        <v>83.25</v>
      </c>
      <c r="S459" s="1">
        <v>3</v>
      </c>
      <c r="T459" s="1">
        <v>0</v>
      </c>
      <c r="U459" s="1">
        <v>14.984999999999992</v>
      </c>
    </row>
    <row r="460" spans="1:21" ht="15.75" x14ac:dyDescent="0.25">
      <c r="A460" s="1">
        <v>459</v>
      </c>
      <c r="B460" s="2" t="s">
        <v>1587</v>
      </c>
      <c r="C460" s="3">
        <v>45055</v>
      </c>
      <c r="D460" s="3">
        <v>45061</v>
      </c>
      <c r="E460" s="1" t="s">
        <v>22</v>
      </c>
      <c r="F460" s="1" t="s">
        <v>1588</v>
      </c>
      <c r="G460" s="1" t="s">
        <v>1589</v>
      </c>
      <c r="H460" s="1" t="s">
        <v>25</v>
      </c>
      <c r="I460" s="1" t="s">
        <v>26</v>
      </c>
      <c r="J460" s="1" t="s">
        <v>138</v>
      </c>
      <c r="K460" s="1" t="s">
        <v>91</v>
      </c>
      <c r="L460" s="1">
        <v>94110</v>
      </c>
      <c r="M460" s="1" t="s">
        <v>92</v>
      </c>
      <c r="N460" s="1" t="s">
        <v>1590</v>
      </c>
      <c r="O460" s="1" t="s">
        <v>96</v>
      </c>
      <c r="P460" s="1" t="s">
        <v>117</v>
      </c>
      <c r="Q460" s="1" t="s">
        <v>1591</v>
      </c>
      <c r="R460" s="1">
        <v>167.97</v>
      </c>
      <c r="S460" s="1">
        <v>3</v>
      </c>
      <c r="T460" s="1">
        <v>0</v>
      </c>
      <c r="U460" s="1">
        <v>40.31280000000001</v>
      </c>
    </row>
    <row r="461" spans="1:21" ht="15.75" x14ac:dyDescent="0.25">
      <c r="A461" s="1">
        <v>460</v>
      </c>
      <c r="B461" s="2" t="s">
        <v>1587</v>
      </c>
      <c r="C461" s="3">
        <v>45055</v>
      </c>
      <c r="D461" s="3">
        <v>45061</v>
      </c>
      <c r="E461" s="1" t="s">
        <v>22</v>
      </c>
      <c r="F461" s="1" t="s">
        <v>1588</v>
      </c>
      <c r="G461" s="1" t="s">
        <v>1589</v>
      </c>
      <c r="H461" s="1" t="s">
        <v>25</v>
      </c>
      <c r="I461" s="1" t="s">
        <v>26</v>
      </c>
      <c r="J461" s="1" t="s">
        <v>138</v>
      </c>
      <c r="K461" s="1" t="s">
        <v>91</v>
      </c>
      <c r="L461" s="1">
        <v>94110</v>
      </c>
      <c r="M461" s="1" t="s">
        <v>92</v>
      </c>
      <c r="N461" s="1" t="s">
        <v>1195</v>
      </c>
      <c r="O461" s="1" t="s">
        <v>96</v>
      </c>
      <c r="P461" s="1" t="s">
        <v>117</v>
      </c>
      <c r="Q461" s="1" t="s">
        <v>1196</v>
      </c>
      <c r="R461" s="1">
        <v>67.8</v>
      </c>
      <c r="S461" s="1">
        <v>4</v>
      </c>
      <c r="T461" s="1">
        <v>0</v>
      </c>
      <c r="U461" s="1">
        <v>4.0679999999999978</v>
      </c>
    </row>
    <row r="462" spans="1:21" ht="15.75" x14ac:dyDescent="0.25">
      <c r="A462" s="1">
        <v>461</v>
      </c>
      <c r="B462" s="2" t="s">
        <v>1592</v>
      </c>
      <c r="C462" s="3">
        <v>45056</v>
      </c>
      <c r="D462" s="3">
        <v>45060</v>
      </c>
      <c r="E462" s="1" t="s">
        <v>87</v>
      </c>
      <c r="F462" s="1" t="s">
        <v>1593</v>
      </c>
      <c r="G462" s="1" t="s">
        <v>1594</v>
      </c>
      <c r="H462" s="1" t="s">
        <v>25</v>
      </c>
      <c r="I462" s="1" t="s">
        <v>26</v>
      </c>
      <c r="J462" s="1" t="s">
        <v>52</v>
      </c>
      <c r="K462" s="1" t="s">
        <v>53</v>
      </c>
      <c r="L462" s="1">
        <v>19134</v>
      </c>
      <c r="M462" s="1" t="s">
        <v>54</v>
      </c>
      <c r="N462" s="1" t="s">
        <v>1595</v>
      </c>
      <c r="O462" s="1" t="s">
        <v>65</v>
      </c>
      <c r="P462" s="1" t="s">
        <v>140</v>
      </c>
      <c r="Q462" s="1" t="s">
        <v>1596</v>
      </c>
      <c r="R462" s="1">
        <v>349.96499999999997</v>
      </c>
      <c r="S462" s="1">
        <v>7</v>
      </c>
      <c r="T462" s="1">
        <v>0.5</v>
      </c>
      <c r="U462" s="1">
        <v>-216.97830000000002</v>
      </c>
    </row>
    <row r="463" spans="1:21" ht="15.75" x14ac:dyDescent="0.25">
      <c r="A463" s="1">
        <v>462</v>
      </c>
      <c r="B463" s="2" t="s">
        <v>1597</v>
      </c>
      <c r="C463" s="3">
        <v>45056</v>
      </c>
      <c r="D463" s="3">
        <v>45061</v>
      </c>
      <c r="E463" s="1" t="s">
        <v>22</v>
      </c>
      <c r="F463" s="1" t="s">
        <v>1598</v>
      </c>
      <c r="G463" s="1" t="s">
        <v>1599</v>
      </c>
      <c r="H463" s="1" t="s">
        <v>25</v>
      </c>
      <c r="I463" s="1" t="s">
        <v>26</v>
      </c>
      <c r="J463" s="1" t="s">
        <v>1348</v>
      </c>
      <c r="K463" s="1" t="s">
        <v>91</v>
      </c>
      <c r="L463" s="1">
        <v>95123</v>
      </c>
      <c r="M463" s="1" t="s">
        <v>92</v>
      </c>
      <c r="N463" s="1" t="s">
        <v>1600</v>
      </c>
      <c r="O463" s="1" t="s">
        <v>65</v>
      </c>
      <c r="P463" s="1" t="s">
        <v>66</v>
      </c>
      <c r="Q463" s="1" t="s">
        <v>1601</v>
      </c>
      <c r="R463" s="1">
        <v>256.78400000000005</v>
      </c>
      <c r="S463" s="1">
        <v>1</v>
      </c>
      <c r="T463" s="1">
        <v>0.2</v>
      </c>
      <c r="U463" s="1">
        <v>32.097999999999971</v>
      </c>
    </row>
    <row r="464" spans="1:21" ht="15.75" x14ac:dyDescent="0.25">
      <c r="A464" s="1">
        <v>463</v>
      </c>
      <c r="B464" s="2" t="s">
        <v>1592</v>
      </c>
      <c r="C464" s="3">
        <v>45056</v>
      </c>
      <c r="D464" s="3">
        <v>45060</v>
      </c>
      <c r="E464" s="1" t="s">
        <v>87</v>
      </c>
      <c r="F464" s="1" t="s">
        <v>1593</v>
      </c>
      <c r="G464" s="1" t="s">
        <v>1594</v>
      </c>
      <c r="H464" s="1" t="s">
        <v>25</v>
      </c>
      <c r="I464" s="1" t="s">
        <v>26</v>
      </c>
      <c r="J464" s="1" t="s">
        <v>52</v>
      </c>
      <c r="K464" s="1" t="s">
        <v>53</v>
      </c>
      <c r="L464" s="1">
        <v>19134</v>
      </c>
      <c r="M464" s="1" t="s">
        <v>54</v>
      </c>
      <c r="N464" s="1" t="s">
        <v>1602</v>
      </c>
      <c r="O464" s="1" t="s">
        <v>31</v>
      </c>
      <c r="P464" s="1" t="s">
        <v>56</v>
      </c>
      <c r="Q464" s="1" t="s">
        <v>1603</v>
      </c>
      <c r="R464" s="1">
        <v>22.32</v>
      </c>
      <c r="S464" s="1">
        <v>5</v>
      </c>
      <c r="T464" s="1">
        <v>0.2</v>
      </c>
      <c r="U464" s="1">
        <v>5.3010000000000002</v>
      </c>
    </row>
    <row r="465" spans="1:21" ht="15.75" x14ac:dyDescent="0.25">
      <c r="A465" s="1">
        <v>464</v>
      </c>
      <c r="B465" s="2" t="s">
        <v>1604</v>
      </c>
      <c r="C465" s="3">
        <v>45056</v>
      </c>
      <c r="D465" s="3">
        <v>45061</v>
      </c>
      <c r="E465" s="1" t="s">
        <v>22</v>
      </c>
      <c r="F465" s="1" t="s">
        <v>1455</v>
      </c>
      <c r="G465" s="1" t="s">
        <v>1456</v>
      </c>
      <c r="H465" s="1" t="s">
        <v>25</v>
      </c>
      <c r="I465" s="1" t="s">
        <v>26</v>
      </c>
      <c r="J465" s="1" t="s">
        <v>1605</v>
      </c>
      <c r="K465" s="1" t="s">
        <v>388</v>
      </c>
      <c r="L465" s="1">
        <v>98031</v>
      </c>
      <c r="M465" s="1" t="s">
        <v>92</v>
      </c>
      <c r="N465" s="1" t="s">
        <v>1606</v>
      </c>
      <c r="O465" s="1" t="s">
        <v>31</v>
      </c>
      <c r="P465" s="1" t="s">
        <v>166</v>
      </c>
      <c r="Q465" s="1" t="s">
        <v>1607</v>
      </c>
      <c r="R465" s="1">
        <v>158.13</v>
      </c>
      <c r="S465" s="1">
        <v>3</v>
      </c>
      <c r="T465" s="1">
        <v>0</v>
      </c>
      <c r="U465" s="1">
        <v>77.483699999999999</v>
      </c>
    </row>
    <row r="466" spans="1:21" ht="15.75" x14ac:dyDescent="0.25">
      <c r="A466" s="1">
        <v>465</v>
      </c>
      <c r="B466" s="2" t="s">
        <v>1597</v>
      </c>
      <c r="C466" s="3">
        <v>45056</v>
      </c>
      <c r="D466" s="3">
        <v>45061</v>
      </c>
      <c r="E466" s="1" t="s">
        <v>22</v>
      </c>
      <c r="F466" s="1" t="s">
        <v>1598</v>
      </c>
      <c r="G466" s="1" t="s">
        <v>1599</v>
      </c>
      <c r="H466" s="1" t="s">
        <v>25</v>
      </c>
      <c r="I466" s="1" t="s">
        <v>26</v>
      </c>
      <c r="J466" s="1" t="s">
        <v>1348</v>
      </c>
      <c r="K466" s="1" t="s">
        <v>91</v>
      </c>
      <c r="L466" s="1">
        <v>95123</v>
      </c>
      <c r="M466" s="1" t="s">
        <v>92</v>
      </c>
      <c r="N466" s="1" t="s">
        <v>1608</v>
      </c>
      <c r="O466" s="1" t="s">
        <v>31</v>
      </c>
      <c r="P466" s="1" t="s">
        <v>32</v>
      </c>
      <c r="Q466" s="1" t="s">
        <v>1609</v>
      </c>
      <c r="R466" s="1">
        <v>39.96</v>
      </c>
      <c r="S466" s="1">
        <v>2</v>
      </c>
      <c r="T466" s="1">
        <v>0</v>
      </c>
      <c r="U466" s="1">
        <v>19.180800000000001</v>
      </c>
    </row>
    <row r="467" spans="1:21" ht="15.75" x14ac:dyDescent="0.25">
      <c r="A467" s="1">
        <v>466</v>
      </c>
      <c r="B467" s="2" t="s">
        <v>1597</v>
      </c>
      <c r="C467" s="3">
        <v>45056</v>
      </c>
      <c r="D467" s="3">
        <v>45061</v>
      </c>
      <c r="E467" s="1" t="s">
        <v>22</v>
      </c>
      <c r="F467" s="1" t="s">
        <v>1598</v>
      </c>
      <c r="G467" s="1" t="s">
        <v>1599</v>
      </c>
      <c r="H467" s="1" t="s">
        <v>25</v>
      </c>
      <c r="I467" s="1" t="s">
        <v>26</v>
      </c>
      <c r="J467" s="1" t="s">
        <v>1348</v>
      </c>
      <c r="K467" s="1" t="s">
        <v>91</v>
      </c>
      <c r="L467" s="1">
        <v>95123</v>
      </c>
      <c r="M467" s="1" t="s">
        <v>92</v>
      </c>
      <c r="N467" s="1" t="s">
        <v>1610</v>
      </c>
      <c r="O467" s="1" t="s">
        <v>31</v>
      </c>
      <c r="P467" s="1" t="s">
        <v>475</v>
      </c>
      <c r="Q467" s="1" t="s">
        <v>1611</v>
      </c>
      <c r="R467" s="1">
        <v>41.04</v>
      </c>
      <c r="S467" s="1">
        <v>6</v>
      </c>
      <c r="T467" s="1">
        <v>0</v>
      </c>
      <c r="U467" s="1">
        <v>11.0808</v>
      </c>
    </row>
    <row r="468" spans="1:21" ht="15.75" x14ac:dyDescent="0.25">
      <c r="A468" s="1">
        <v>467</v>
      </c>
      <c r="B468" s="2" t="s">
        <v>1597</v>
      </c>
      <c r="C468" s="3">
        <v>45056</v>
      </c>
      <c r="D468" s="3">
        <v>45061</v>
      </c>
      <c r="E468" s="1" t="s">
        <v>22</v>
      </c>
      <c r="F468" s="1" t="s">
        <v>1598</v>
      </c>
      <c r="G468" s="1" t="s">
        <v>1599</v>
      </c>
      <c r="H468" s="1" t="s">
        <v>25</v>
      </c>
      <c r="I468" s="1" t="s">
        <v>26</v>
      </c>
      <c r="J468" s="1" t="s">
        <v>1348</v>
      </c>
      <c r="K468" s="1" t="s">
        <v>91</v>
      </c>
      <c r="L468" s="1">
        <v>95123</v>
      </c>
      <c r="M468" s="1" t="s">
        <v>92</v>
      </c>
      <c r="N468" s="1" t="s">
        <v>1612</v>
      </c>
      <c r="O468" s="1" t="s">
        <v>96</v>
      </c>
      <c r="P468" s="1" t="s">
        <v>97</v>
      </c>
      <c r="Q468" s="1" t="s">
        <v>1613</v>
      </c>
      <c r="R468" s="1">
        <v>1432.0000000000002</v>
      </c>
      <c r="S468" s="1">
        <v>5</v>
      </c>
      <c r="T468" s="1">
        <v>0.2</v>
      </c>
      <c r="U468" s="1">
        <v>125.30000000000007</v>
      </c>
    </row>
    <row r="469" spans="1:21" ht="15.75" x14ac:dyDescent="0.25">
      <c r="A469" s="1">
        <v>468</v>
      </c>
      <c r="B469" s="2" t="s">
        <v>1604</v>
      </c>
      <c r="C469" s="3">
        <v>45056</v>
      </c>
      <c r="D469" s="3">
        <v>45061</v>
      </c>
      <c r="E469" s="1" t="s">
        <v>22</v>
      </c>
      <c r="F469" s="1" t="s">
        <v>1455</v>
      </c>
      <c r="G469" s="1" t="s">
        <v>1456</v>
      </c>
      <c r="H469" s="1" t="s">
        <v>25</v>
      </c>
      <c r="I469" s="1" t="s">
        <v>26</v>
      </c>
      <c r="J469" s="1" t="s">
        <v>1605</v>
      </c>
      <c r="K469" s="1" t="s">
        <v>388</v>
      </c>
      <c r="L469" s="1">
        <v>98031</v>
      </c>
      <c r="M469" s="1" t="s">
        <v>92</v>
      </c>
      <c r="N469" s="1" t="s">
        <v>1614</v>
      </c>
      <c r="O469" s="1" t="s">
        <v>96</v>
      </c>
      <c r="P469" s="1" t="s">
        <v>97</v>
      </c>
      <c r="Q469" s="1" t="s">
        <v>1615</v>
      </c>
      <c r="R469" s="1">
        <v>43.6</v>
      </c>
      <c r="S469" s="1">
        <v>5</v>
      </c>
      <c r="T469" s="1">
        <v>0.2</v>
      </c>
      <c r="U469" s="1">
        <v>4.3600000000000012</v>
      </c>
    </row>
    <row r="470" spans="1:21" ht="15.75" x14ac:dyDescent="0.25">
      <c r="A470" s="1">
        <v>469</v>
      </c>
      <c r="B470" s="2" t="s">
        <v>1616</v>
      </c>
      <c r="C470" s="3">
        <v>45057</v>
      </c>
      <c r="D470" s="3">
        <v>45062</v>
      </c>
      <c r="E470" s="1" t="s">
        <v>22</v>
      </c>
      <c r="F470" s="1" t="s">
        <v>1617</v>
      </c>
      <c r="G470" s="1" t="s">
        <v>1618</v>
      </c>
      <c r="H470" s="1" t="s">
        <v>74</v>
      </c>
      <c r="I470" s="1" t="s">
        <v>26</v>
      </c>
      <c r="J470" s="1" t="s">
        <v>104</v>
      </c>
      <c r="K470" s="1" t="s">
        <v>28</v>
      </c>
      <c r="L470" s="1">
        <v>77340</v>
      </c>
      <c r="M470" s="1" t="s">
        <v>29</v>
      </c>
      <c r="N470" s="1" t="s">
        <v>1619</v>
      </c>
      <c r="O470" s="1" t="s">
        <v>65</v>
      </c>
      <c r="P470" s="1" t="s">
        <v>66</v>
      </c>
      <c r="Q470" s="1" t="s">
        <v>1620</v>
      </c>
      <c r="R470" s="1">
        <v>1212.9599999999998</v>
      </c>
      <c r="S470" s="1">
        <v>8</v>
      </c>
      <c r="T470" s="1">
        <v>0.3</v>
      </c>
      <c r="U470" s="1">
        <v>-69.311999999999898</v>
      </c>
    </row>
    <row r="471" spans="1:21" ht="15.75" x14ac:dyDescent="0.25">
      <c r="A471" s="1">
        <v>470</v>
      </c>
      <c r="B471" s="2" t="s">
        <v>1621</v>
      </c>
      <c r="C471" s="3">
        <v>45057</v>
      </c>
      <c r="D471" s="3">
        <v>45062</v>
      </c>
      <c r="E471" s="1" t="s">
        <v>22</v>
      </c>
      <c r="F471" s="1" t="s">
        <v>1622</v>
      </c>
      <c r="G471" s="1" t="s">
        <v>1623</v>
      </c>
      <c r="H471" s="1" t="s">
        <v>25</v>
      </c>
      <c r="I471" s="1" t="s">
        <v>26</v>
      </c>
      <c r="J471" s="1" t="s">
        <v>1624</v>
      </c>
      <c r="K471" s="1" t="s">
        <v>28</v>
      </c>
      <c r="L471" s="1">
        <v>76106</v>
      </c>
      <c r="M471" s="1" t="s">
        <v>29</v>
      </c>
      <c r="N471" s="1" t="s">
        <v>1625</v>
      </c>
      <c r="O471" s="1" t="s">
        <v>65</v>
      </c>
      <c r="P471" s="1" t="s">
        <v>106</v>
      </c>
      <c r="Q471" s="1" t="s">
        <v>1626</v>
      </c>
      <c r="R471" s="1">
        <v>66.112000000000009</v>
      </c>
      <c r="S471" s="1">
        <v>4</v>
      </c>
      <c r="T471" s="1">
        <v>0.6</v>
      </c>
      <c r="U471" s="1">
        <v>-84.292799999999986</v>
      </c>
    </row>
    <row r="472" spans="1:21" ht="15.75" x14ac:dyDescent="0.25">
      <c r="A472" s="1">
        <v>471</v>
      </c>
      <c r="B472" s="2" t="s">
        <v>1627</v>
      </c>
      <c r="C472" s="3">
        <v>45057</v>
      </c>
      <c r="D472" s="3">
        <v>45064</v>
      </c>
      <c r="E472" s="1" t="s">
        <v>22</v>
      </c>
      <c r="F472" s="1" t="s">
        <v>1628</v>
      </c>
      <c r="G472" s="1" t="s">
        <v>1629</v>
      </c>
      <c r="H472" s="1" t="s">
        <v>74</v>
      </c>
      <c r="I472" s="1" t="s">
        <v>26</v>
      </c>
      <c r="J472" s="1" t="s">
        <v>1630</v>
      </c>
      <c r="K472" s="1" t="s">
        <v>349</v>
      </c>
      <c r="L472" s="1">
        <v>13601</v>
      </c>
      <c r="M472" s="1" t="s">
        <v>54</v>
      </c>
      <c r="N472" s="1" t="s">
        <v>1631</v>
      </c>
      <c r="O472" s="1" t="s">
        <v>31</v>
      </c>
      <c r="P472" s="1" t="s">
        <v>205</v>
      </c>
      <c r="Q472" s="1" t="s">
        <v>1632</v>
      </c>
      <c r="R472" s="1">
        <v>35.910000000000004</v>
      </c>
      <c r="S472" s="1">
        <v>3</v>
      </c>
      <c r="T472" s="1">
        <v>0</v>
      </c>
      <c r="U472" s="1">
        <v>9.6956999999999987</v>
      </c>
    </row>
    <row r="473" spans="1:21" ht="15.75" x14ac:dyDescent="0.25">
      <c r="A473" s="1">
        <v>472</v>
      </c>
      <c r="B473" s="2" t="s">
        <v>1633</v>
      </c>
      <c r="C473" s="3">
        <v>45057</v>
      </c>
      <c r="D473" s="3">
        <v>45061</v>
      </c>
      <c r="E473" s="1" t="s">
        <v>22</v>
      </c>
      <c r="F473" s="1" t="s">
        <v>1634</v>
      </c>
      <c r="G473" s="1" t="s">
        <v>1635</v>
      </c>
      <c r="H473" s="1" t="s">
        <v>37</v>
      </c>
      <c r="I473" s="1" t="s">
        <v>26</v>
      </c>
      <c r="J473" s="1" t="s">
        <v>493</v>
      </c>
      <c r="K473" s="1" t="s">
        <v>39</v>
      </c>
      <c r="L473" s="1">
        <v>60610</v>
      </c>
      <c r="M473" s="1" t="s">
        <v>29</v>
      </c>
      <c r="N473" s="1" t="s">
        <v>1636</v>
      </c>
      <c r="O473" s="1" t="s">
        <v>31</v>
      </c>
      <c r="P473" s="1" t="s">
        <v>41</v>
      </c>
      <c r="Q473" s="1" t="s">
        <v>1637</v>
      </c>
      <c r="R473" s="1">
        <v>104.57999999999998</v>
      </c>
      <c r="S473" s="1">
        <v>9</v>
      </c>
      <c r="T473" s="1">
        <v>0.8</v>
      </c>
      <c r="U473" s="1">
        <v>-172.55700000000007</v>
      </c>
    </row>
    <row r="474" spans="1:21" ht="15.75" x14ac:dyDescent="0.25">
      <c r="A474" s="1">
        <v>473</v>
      </c>
      <c r="B474" s="2" t="s">
        <v>1633</v>
      </c>
      <c r="C474" s="3">
        <v>45057</v>
      </c>
      <c r="D474" s="3">
        <v>45061</v>
      </c>
      <c r="E474" s="1" t="s">
        <v>22</v>
      </c>
      <c r="F474" s="1" t="s">
        <v>1634</v>
      </c>
      <c r="G474" s="1" t="s">
        <v>1635</v>
      </c>
      <c r="H474" s="1" t="s">
        <v>37</v>
      </c>
      <c r="I474" s="1" t="s">
        <v>26</v>
      </c>
      <c r="J474" s="1" t="s">
        <v>493</v>
      </c>
      <c r="K474" s="1" t="s">
        <v>39</v>
      </c>
      <c r="L474" s="1">
        <v>60610</v>
      </c>
      <c r="M474" s="1" t="s">
        <v>29</v>
      </c>
      <c r="N474" s="1" t="s">
        <v>573</v>
      </c>
      <c r="O474" s="1" t="s">
        <v>31</v>
      </c>
      <c r="P474" s="1" t="s">
        <v>32</v>
      </c>
      <c r="Q474" s="1" t="s">
        <v>574</v>
      </c>
      <c r="R474" s="1">
        <v>17.472000000000001</v>
      </c>
      <c r="S474" s="1">
        <v>3</v>
      </c>
      <c r="T474" s="1">
        <v>0.2</v>
      </c>
      <c r="U474" s="1">
        <v>5.6783999999999981</v>
      </c>
    </row>
    <row r="475" spans="1:21" ht="15.75" x14ac:dyDescent="0.25">
      <c r="A475" s="1">
        <v>474</v>
      </c>
      <c r="B475" s="2" t="s">
        <v>1638</v>
      </c>
      <c r="C475" s="3">
        <v>45057</v>
      </c>
      <c r="D475" s="3">
        <v>45063</v>
      </c>
      <c r="E475" s="1" t="s">
        <v>22</v>
      </c>
      <c r="F475" s="1" t="s">
        <v>1639</v>
      </c>
      <c r="G475" s="1" t="s">
        <v>1640</v>
      </c>
      <c r="H475" s="1" t="s">
        <v>25</v>
      </c>
      <c r="I475" s="1" t="s">
        <v>26</v>
      </c>
      <c r="J475" s="1" t="s">
        <v>27</v>
      </c>
      <c r="K475" s="1" t="s">
        <v>28</v>
      </c>
      <c r="L475" s="1">
        <v>77095</v>
      </c>
      <c r="M475" s="1" t="s">
        <v>29</v>
      </c>
      <c r="N475" s="1" t="s">
        <v>1641</v>
      </c>
      <c r="O475" s="1" t="s">
        <v>96</v>
      </c>
      <c r="P475" s="1" t="s">
        <v>117</v>
      </c>
      <c r="Q475" s="1" t="s">
        <v>1642</v>
      </c>
      <c r="R475" s="1">
        <v>46.864000000000004</v>
      </c>
      <c r="S475" s="1">
        <v>2</v>
      </c>
      <c r="T475" s="1">
        <v>0.2</v>
      </c>
      <c r="U475" s="1">
        <v>7.615399999999994</v>
      </c>
    </row>
    <row r="476" spans="1:21" ht="15.75" x14ac:dyDescent="0.25">
      <c r="A476" s="1">
        <v>475</v>
      </c>
      <c r="B476" s="2" t="s">
        <v>1621</v>
      </c>
      <c r="C476" s="3">
        <v>45057</v>
      </c>
      <c r="D476" s="3">
        <v>45062</v>
      </c>
      <c r="E476" s="1" t="s">
        <v>22</v>
      </c>
      <c r="F476" s="1" t="s">
        <v>1622</v>
      </c>
      <c r="G476" s="1" t="s">
        <v>1623</v>
      </c>
      <c r="H476" s="1" t="s">
        <v>25</v>
      </c>
      <c r="I476" s="1" t="s">
        <v>26</v>
      </c>
      <c r="J476" s="1" t="s">
        <v>1624</v>
      </c>
      <c r="K476" s="1" t="s">
        <v>28</v>
      </c>
      <c r="L476" s="1">
        <v>76106</v>
      </c>
      <c r="M476" s="1" t="s">
        <v>29</v>
      </c>
      <c r="N476" s="1" t="s">
        <v>1643</v>
      </c>
      <c r="O476" s="1" t="s">
        <v>96</v>
      </c>
      <c r="P476" s="1" t="s">
        <v>117</v>
      </c>
      <c r="Q476" s="1" t="s">
        <v>1644</v>
      </c>
      <c r="R476" s="1">
        <v>58.112000000000002</v>
      </c>
      <c r="S476" s="1">
        <v>2</v>
      </c>
      <c r="T476" s="1">
        <v>0.2</v>
      </c>
      <c r="U476" s="1">
        <v>7.263999999999994</v>
      </c>
    </row>
    <row r="477" spans="1:21" ht="15.75" x14ac:dyDescent="0.25">
      <c r="A477" s="1">
        <v>476</v>
      </c>
      <c r="B477" s="2" t="s">
        <v>1621</v>
      </c>
      <c r="C477" s="3">
        <v>45057</v>
      </c>
      <c r="D477" s="3">
        <v>45062</v>
      </c>
      <c r="E477" s="1" t="s">
        <v>22</v>
      </c>
      <c r="F477" s="1" t="s">
        <v>1622</v>
      </c>
      <c r="G477" s="1" t="s">
        <v>1623</v>
      </c>
      <c r="H477" s="1" t="s">
        <v>25</v>
      </c>
      <c r="I477" s="1" t="s">
        <v>26</v>
      </c>
      <c r="J477" s="1" t="s">
        <v>1624</v>
      </c>
      <c r="K477" s="1" t="s">
        <v>28</v>
      </c>
      <c r="L477" s="1">
        <v>76106</v>
      </c>
      <c r="M477" s="1" t="s">
        <v>29</v>
      </c>
      <c r="N477" s="1" t="s">
        <v>1645</v>
      </c>
      <c r="O477" s="1" t="s">
        <v>96</v>
      </c>
      <c r="P477" s="1" t="s">
        <v>97</v>
      </c>
      <c r="Q477" s="1" t="s">
        <v>1646</v>
      </c>
      <c r="R477" s="1">
        <v>100.792</v>
      </c>
      <c r="S477" s="1">
        <v>1</v>
      </c>
      <c r="T477" s="1">
        <v>0.2</v>
      </c>
      <c r="U477" s="1">
        <v>6.2995000000000019</v>
      </c>
    </row>
    <row r="478" spans="1:21" ht="15.75" x14ac:dyDescent="0.25">
      <c r="A478" s="1">
        <v>477</v>
      </c>
      <c r="B478" s="2" t="s">
        <v>1647</v>
      </c>
      <c r="C478" s="3">
        <v>45058</v>
      </c>
      <c r="D478" s="3">
        <v>45061</v>
      </c>
      <c r="E478" s="1" t="s">
        <v>71</v>
      </c>
      <c r="F478" s="1" t="s">
        <v>221</v>
      </c>
      <c r="G478" s="1" t="s">
        <v>222</v>
      </c>
      <c r="H478" s="1" t="s">
        <v>25</v>
      </c>
      <c r="I478" s="1" t="s">
        <v>26</v>
      </c>
      <c r="J478" s="1" t="s">
        <v>1648</v>
      </c>
      <c r="K478" s="1" t="s">
        <v>370</v>
      </c>
      <c r="L478" s="1">
        <v>53209</v>
      </c>
      <c r="M478" s="1" t="s">
        <v>29</v>
      </c>
      <c r="N478" s="1" t="s">
        <v>133</v>
      </c>
      <c r="O478" s="1" t="s">
        <v>65</v>
      </c>
      <c r="P478" s="1" t="s">
        <v>106</v>
      </c>
      <c r="Q478" s="1" t="s">
        <v>134</v>
      </c>
      <c r="R478" s="1">
        <v>34.79</v>
      </c>
      <c r="S478" s="1">
        <v>7</v>
      </c>
      <c r="T478" s="1">
        <v>0</v>
      </c>
      <c r="U478" s="1">
        <v>10.784899999999999</v>
      </c>
    </row>
    <row r="479" spans="1:21" ht="15.75" x14ac:dyDescent="0.25">
      <c r="A479" s="1">
        <v>478</v>
      </c>
      <c r="B479" s="2" t="s">
        <v>1649</v>
      </c>
      <c r="C479" s="3">
        <v>45058</v>
      </c>
      <c r="D479" s="3">
        <v>45063</v>
      </c>
      <c r="E479" s="1" t="s">
        <v>22</v>
      </c>
      <c r="F479" s="1" t="s">
        <v>671</v>
      </c>
      <c r="G479" s="1" t="s">
        <v>672</v>
      </c>
      <c r="H479" s="1" t="s">
        <v>25</v>
      </c>
      <c r="I479" s="1" t="s">
        <v>26</v>
      </c>
      <c r="J479" s="1" t="s">
        <v>1650</v>
      </c>
      <c r="K479" s="1" t="s">
        <v>1073</v>
      </c>
      <c r="L479" s="1">
        <v>2038</v>
      </c>
      <c r="M479" s="1" t="s">
        <v>54</v>
      </c>
      <c r="N479" s="1" t="s">
        <v>1651</v>
      </c>
      <c r="O479" s="1" t="s">
        <v>65</v>
      </c>
      <c r="P479" s="1" t="s">
        <v>339</v>
      </c>
      <c r="Q479" s="1" t="s">
        <v>1652</v>
      </c>
      <c r="R479" s="1">
        <v>700.05600000000004</v>
      </c>
      <c r="S479" s="1">
        <v>3</v>
      </c>
      <c r="T479" s="1">
        <v>0.3</v>
      </c>
      <c r="U479" s="1">
        <v>-130.0104</v>
      </c>
    </row>
    <row r="480" spans="1:21" ht="15.75" x14ac:dyDescent="0.25">
      <c r="A480" s="1">
        <v>479</v>
      </c>
      <c r="B480" s="2" t="s">
        <v>1653</v>
      </c>
      <c r="C480" s="3">
        <v>45059</v>
      </c>
      <c r="D480" s="3">
        <v>45065</v>
      </c>
      <c r="E480" s="1" t="s">
        <v>22</v>
      </c>
      <c r="F480" s="1" t="s">
        <v>1379</v>
      </c>
      <c r="G480" s="1" t="s">
        <v>1380</v>
      </c>
      <c r="H480" s="1" t="s">
        <v>74</v>
      </c>
      <c r="I480" s="1" t="s">
        <v>26</v>
      </c>
      <c r="J480" s="1" t="s">
        <v>90</v>
      </c>
      <c r="K480" s="1" t="s">
        <v>91</v>
      </c>
      <c r="L480" s="1">
        <v>90004</v>
      </c>
      <c r="M480" s="1" t="s">
        <v>92</v>
      </c>
      <c r="N480" s="1" t="s">
        <v>942</v>
      </c>
      <c r="O480" s="1" t="s">
        <v>65</v>
      </c>
      <c r="P480" s="1" t="s">
        <v>66</v>
      </c>
      <c r="Q480" s="1" t="s">
        <v>943</v>
      </c>
      <c r="R480" s="1">
        <v>279.45600000000002</v>
      </c>
      <c r="S480" s="1">
        <v>6</v>
      </c>
      <c r="T480" s="1">
        <v>0.2</v>
      </c>
      <c r="U480" s="1">
        <v>20.959199999999996</v>
      </c>
    </row>
    <row r="481" spans="1:21" ht="15.75" x14ac:dyDescent="0.25">
      <c r="A481" s="1">
        <v>480</v>
      </c>
      <c r="B481" s="2" t="s">
        <v>1654</v>
      </c>
      <c r="C481" s="3">
        <v>45059</v>
      </c>
      <c r="D481" s="3">
        <v>45061</v>
      </c>
      <c r="E481" s="1" t="s">
        <v>71</v>
      </c>
      <c r="F481" s="1" t="s">
        <v>1655</v>
      </c>
      <c r="G481" s="1" t="s">
        <v>1656</v>
      </c>
      <c r="H481" s="1" t="s">
        <v>37</v>
      </c>
      <c r="I481" s="1" t="s">
        <v>26</v>
      </c>
      <c r="J481" s="1" t="s">
        <v>1657</v>
      </c>
      <c r="K481" s="1" t="s">
        <v>273</v>
      </c>
      <c r="L481" s="1">
        <v>33012</v>
      </c>
      <c r="M481" s="1" t="s">
        <v>63</v>
      </c>
      <c r="N481" s="1" t="s">
        <v>1658</v>
      </c>
      <c r="O481" s="1" t="s">
        <v>31</v>
      </c>
      <c r="P481" s="1" t="s">
        <v>41</v>
      </c>
      <c r="Q481" s="1" t="s">
        <v>1659</v>
      </c>
      <c r="R481" s="1">
        <v>398.35200000000003</v>
      </c>
      <c r="S481" s="1">
        <v>8</v>
      </c>
      <c r="T481" s="1">
        <v>0.7</v>
      </c>
      <c r="U481" s="1">
        <v>-331.95999999999992</v>
      </c>
    </row>
    <row r="482" spans="1:21" ht="15.75" x14ac:dyDescent="0.25">
      <c r="A482" s="1">
        <v>481</v>
      </c>
      <c r="B482" s="2" t="s">
        <v>1654</v>
      </c>
      <c r="C482" s="3">
        <v>45059</v>
      </c>
      <c r="D482" s="3">
        <v>45061</v>
      </c>
      <c r="E482" s="1" t="s">
        <v>71</v>
      </c>
      <c r="F482" s="1" t="s">
        <v>1655</v>
      </c>
      <c r="G482" s="1" t="s">
        <v>1656</v>
      </c>
      <c r="H482" s="1" t="s">
        <v>37</v>
      </c>
      <c r="I482" s="1" t="s">
        <v>26</v>
      </c>
      <c r="J482" s="1" t="s">
        <v>1657</v>
      </c>
      <c r="K482" s="1" t="s">
        <v>273</v>
      </c>
      <c r="L482" s="1">
        <v>33012</v>
      </c>
      <c r="M482" s="1" t="s">
        <v>63</v>
      </c>
      <c r="N482" s="1" t="s">
        <v>1660</v>
      </c>
      <c r="O482" s="1" t="s">
        <v>31</v>
      </c>
      <c r="P482" s="1" t="s">
        <v>82</v>
      </c>
      <c r="Q482" s="1" t="s">
        <v>383</v>
      </c>
      <c r="R482" s="1">
        <v>7.104000000000001</v>
      </c>
      <c r="S482" s="1">
        <v>2</v>
      </c>
      <c r="T482" s="1">
        <v>0.2</v>
      </c>
      <c r="U482" s="1">
        <v>2.3976000000000002</v>
      </c>
    </row>
    <row r="483" spans="1:21" ht="15.75" x14ac:dyDescent="0.25">
      <c r="A483" s="1">
        <v>482</v>
      </c>
      <c r="B483" s="2" t="s">
        <v>1653</v>
      </c>
      <c r="C483" s="3">
        <v>45059</v>
      </c>
      <c r="D483" s="3">
        <v>45065</v>
      </c>
      <c r="E483" s="1" t="s">
        <v>22</v>
      </c>
      <c r="F483" s="1" t="s">
        <v>1379</v>
      </c>
      <c r="G483" s="1" t="s">
        <v>1380</v>
      </c>
      <c r="H483" s="1" t="s">
        <v>74</v>
      </c>
      <c r="I483" s="1" t="s">
        <v>26</v>
      </c>
      <c r="J483" s="1" t="s">
        <v>90</v>
      </c>
      <c r="K483" s="1" t="s">
        <v>91</v>
      </c>
      <c r="L483" s="1">
        <v>90004</v>
      </c>
      <c r="M483" s="1" t="s">
        <v>92</v>
      </c>
      <c r="N483" s="1" t="s">
        <v>814</v>
      </c>
      <c r="O483" s="1" t="s">
        <v>31</v>
      </c>
      <c r="P483" s="1" t="s">
        <v>32</v>
      </c>
      <c r="Q483" s="1" t="s">
        <v>815</v>
      </c>
      <c r="R483" s="1">
        <v>8</v>
      </c>
      <c r="S483" s="1">
        <v>2</v>
      </c>
      <c r="T483" s="1">
        <v>0</v>
      </c>
      <c r="U483" s="1">
        <v>3.84</v>
      </c>
    </row>
    <row r="484" spans="1:21" ht="15.75" x14ac:dyDescent="0.25">
      <c r="A484" s="1">
        <v>483</v>
      </c>
      <c r="B484" s="2" t="s">
        <v>1661</v>
      </c>
      <c r="C484" s="3">
        <v>45059</v>
      </c>
      <c r="D484" s="3">
        <v>45061</v>
      </c>
      <c r="E484" s="1" t="s">
        <v>87</v>
      </c>
      <c r="F484" s="1" t="s">
        <v>1662</v>
      </c>
      <c r="G484" s="1" t="s">
        <v>1663</v>
      </c>
      <c r="H484" s="1" t="s">
        <v>25</v>
      </c>
      <c r="I484" s="1" t="s">
        <v>26</v>
      </c>
      <c r="J484" s="1" t="s">
        <v>1664</v>
      </c>
      <c r="K484" s="1" t="s">
        <v>733</v>
      </c>
      <c r="L484" s="1">
        <v>84084</v>
      </c>
      <c r="M484" s="1" t="s">
        <v>92</v>
      </c>
      <c r="N484" s="1" t="s">
        <v>1585</v>
      </c>
      <c r="O484" s="1" t="s">
        <v>31</v>
      </c>
      <c r="P484" s="1" t="s">
        <v>47</v>
      </c>
      <c r="Q484" s="1" t="s">
        <v>1586</v>
      </c>
      <c r="R484" s="1">
        <v>55.5</v>
      </c>
      <c r="S484" s="1">
        <v>2</v>
      </c>
      <c r="T484" s="1">
        <v>0</v>
      </c>
      <c r="U484" s="1">
        <v>9.9899999999999949</v>
      </c>
    </row>
    <row r="485" spans="1:21" ht="15.75" x14ac:dyDescent="0.25">
      <c r="A485" s="1">
        <v>484</v>
      </c>
      <c r="B485" s="2" t="s">
        <v>1665</v>
      </c>
      <c r="C485" s="3">
        <v>45059</v>
      </c>
      <c r="D485" s="3">
        <v>45063</v>
      </c>
      <c r="E485" s="1" t="s">
        <v>22</v>
      </c>
      <c r="F485" s="1" t="s">
        <v>1666</v>
      </c>
      <c r="G485" s="1" t="s">
        <v>1667</v>
      </c>
      <c r="H485" s="1" t="s">
        <v>25</v>
      </c>
      <c r="I485" s="1" t="s">
        <v>26</v>
      </c>
      <c r="J485" s="1" t="s">
        <v>1668</v>
      </c>
      <c r="K485" s="1" t="s">
        <v>91</v>
      </c>
      <c r="L485" s="1">
        <v>94601</v>
      </c>
      <c r="M485" s="1" t="s">
        <v>92</v>
      </c>
      <c r="N485" s="1" t="s">
        <v>1669</v>
      </c>
      <c r="O485" s="1" t="s">
        <v>96</v>
      </c>
      <c r="P485" s="1" t="s">
        <v>117</v>
      </c>
      <c r="Q485" s="1" t="s">
        <v>1670</v>
      </c>
      <c r="R485" s="1">
        <v>149.97</v>
      </c>
      <c r="S485" s="1">
        <v>3</v>
      </c>
      <c r="T485" s="1">
        <v>0</v>
      </c>
      <c r="U485" s="1">
        <v>52.489499999999992</v>
      </c>
    </row>
    <row r="486" spans="1:21" ht="15.75" x14ac:dyDescent="0.25">
      <c r="A486" s="1">
        <v>485</v>
      </c>
      <c r="B486" s="2" t="s">
        <v>1671</v>
      </c>
      <c r="C486" s="3">
        <v>45060</v>
      </c>
      <c r="D486" s="3">
        <v>45066</v>
      </c>
      <c r="E486" s="1" t="s">
        <v>22</v>
      </c>
      <c r="F486" s="1" t="s">
        <v>1672</v>
      </c>
      <c r="G486" s="1" t="s">
        <v>1673</v>
      </c>
      <c r="H486" s="1" t="s">
        <v>74</v>
      </c>
      <c r="I486" s="1" t="s">
        <v>26</v>
      </c>
      <c r="J486" s="1" t="s">
        <v>376</v>
      </c>
      <c r="K486" s="1" t="s">
        <v>273</v>
      </c>
      <c r="L486" s="1">
        <v>33710</v>
      </c>
      <c r="M486" s="1" t="s">
        <v>63</v>
      </c>
      <c r="N486" s="1" t="s">
        <v>1674</v>
      </c>
      <c r="O486" s="1" t="s">
        <v>65</v>
      </c>
      <c r="P486" s="1" t="s">
        <v>106</v>
      </c>
      <c r="Q486" s="1" t="s">
        <v>1675</v>
      </c>
      <c r="R486" s="1">
        <v>310.88000000000005</v>
      </c>
      <c r="S486" s="1">
        <v>2</v>
      </c>
      <c r="T486" s="1">
        <v>0.2</v>
      </c>
      <c r="U486" s="1">
        <v>23.315999999999988</v>
      </c>
    </row>
    <row r="487" spans="1:21" ht="15.75" x14ac:dyDescent="0.25">
      <c r="A487" s="1">
        <v>486</v>
      </c>
      <c r="B487" s="2" t="s">
        <v>1676</v>
      </c>
      <c r="C487" s="3">
        <v>45062</v>
      </c>
      <c r="D487" s="3">
        <v>45069</v>
      </c>
      <c r="E487" s="1" t="s">
        <v>22</v>
      </c>
      <c r="F487" s="1" t="s">
        <v>1677</v>
      </c>
      <c r="G487" s="1" t="s">
        <v>1678</v>
      </c>
      <c r="H487" s="1" t="s">
        <v>74</v>
      </c>
      <c r="I487" s="1" t="s">
        <v>26</v>
      </c>
      <c r="J487" s="1" t="s">
        <v>90</v>
      </c>
      <c r="K487" s="1" t="s">
        <v>91</v>
      </c>
      <c r="L487" s="1">
        <v>90036</v>
      </c>
      <c r="M487" s="1" t="s">
        <v>92</v>
      </c>
      <c r="N487" s="1" t="s">
        <v>942</v>
      </c>
      <c r="O487" s="1" t="s">
        <v>65</v>
      </c>
      <c r="P487" s="1" t="s">
        <v>66</v>
      </c>
      <c r="Q487" s="1" t="s">
        <v>943</v>
      </c>
      <c r="R487" s="1">
        <v>232.88</v>
      </c>
      <c r="S487" s="1">
        <v>5</v>
      </c>
      <c r="T487" s="1">
        <v>0.2</v>
      </c>
      <c r="U487" s="1">
        <v>17.466000000000008</v>
      </c>
    </row>
    <row r="488" spans="1:21" ht="15.75" x14ac:dyDescent="0.25">
      <c r="A488" s="1">
        <v>487</v>
      </c>
      <c r="B488" s="2" t="s">
        <v>1679</v>
      </c>
      <c r="C488" s="3">
        <v>45062</v>
      </c>
      <c r="D488" s="3">
        <v>45066</v>
      </c>
      <c r="E488" s="1" t="s">
        <v>22</v>
      </c>
      <c r="F488" s="1" t="s">
        <v>1680</v>
      </c>
      <c r="G488" s="1" t="s">
        <v>1681</v>
      </c>
      <c r="H488" s="1" t="s">
        <v>25</v>
      </c>
      <c r="I488" s="1" t="s">
        <v>26</v>
      </c>
      <c r="J488" s="1" t="s">
        <v>138</v>
      </c>
      <c r="K488" s="1" t="s">
        <v>91</v>
      </c>
      <c r="L488" s="1">
        <v>94122</v>
      </c>
      <c r="M488" s="1" t="s">
        <v>92</v>
      </c>
      <c r="N488" s="1" t="s">
        <v>1682</v>
      </c>
      <c r="O488" s="1" t="s">
        <v>96</v>
      </c>
      <c r="P488" s="1" t="s">
        <v>117</v>
      </c>
      <c r="Q488" s="1" t="s">
        <v>1683</v>
      </c>
      <c r="R488" s="1">
        <v>56.400000000000006</v>
      </c>
      <c r="S488" s="1">
        <v>3</v>
      </c>
      <c r="T488" s="1">
        <v>0</v>
      </c>
      <c r="U488" s="1">
        <v>3.3840000000000003</v>
      </c>
    </row>
    <row r="489" spans="1:21" ht="15.75" x14ac:dyDescent="0.25">
      <c r="A489" s="1">
        <v>488</v>
      </c>
      <c r="B489" s="2" t="s">
        <v>1684</v>
      </c>
      <c r="C489" s="3">
        <v>45063</v>
      </c>
      <c r="D489" s="3">
        <v>45067</v>
      </c>
      <c r="E489" s="1" t="s">
        <v>22</v>
      </c>
      <c r="F489" s="1" t="s">
        <v>1685</v>
      </c>
      <c r="G489" s="1" t="s">
        <v>1686</v>
      </c>
      <c r="H489" s="1" t="s">
        <v>37</v>
      </c>
      <c r="I489" s="1" t="s">
        <v>26</v>
      </c>
      <c r="J489" s="1" t="s">
        <v>1687</v>
      </c>
      <c r="K489" s="1" t="s">
        <v>370</v>
      </c>
      <c r="L489" s="1">
        <v>54703</v>
      </c>
      <c r="M489" s="1" t="s">
        <v>29</v>
      </c>
      <c r="N489" s="1" t="s">
        <v>377</v>
      </c>
      <c r="O489" s="1" t="s">
        <v>31</v>
      </c>
      <c r="P489" s="1" t="s">
        <v>41</v>
      </c>
      <c r="Q489" s="1" t="s">
        <v>378</v>
      </c>
      <c r="R489" s="1">
        <v>91.679999999999993</v>
      </c>
      <c r="S489" s="1">
        <v>3</v>
      </c>
      <c r="T489" s="1">
        <v>0</v>
      </c>
      <c r="U489" s="1">
        <v>45.839999999999996</v>
      </c>
    </row>
    <row r="490" spans="1:21" ht="15.75" x14ac:dyDescent="0.25">
      <c r="A490" s="1">
        <v>489</v>
      </c>
      <c r="B490" s="2" t="s">
        <v>1688</v>
      </c>
      <c r="C490" s="3">
        <v>45064</v>
      </c>
      <c r="D490" s="3">
        <v>45066</v>
      </c>
      <c r="E490" s="1" t="s">
        <v>87</v>
      </c>
      <c r="F490" s="1" t="s">
        <v>1689</v>
      </c>
      <c r="G490" s="1" t="s">
        <v>1690</v>
      </c>
      <c r="H490" s="1" t="s">
        <v>25</v>
      </c>
      <c r="I490" s="1" t="s">
        <v>26</v>
      </c>
      <c r="J490" s="1" t="s">
        <v>1691</v>
      </c>
      <c r="K490" s="1" t="s">
        <v>155</v>
      </c>
      <c r="L490" s="1">
        <v>44312</v>
      </c>
      <c r="M490" s="1" t="s">
        <v>54</v>
      </c>
      <c r="N490" s="1" t="s">
        <v>1692</v>
      </c>
      <c r="O490" s="1" t="s">
        <v>65</v>
      </c>
      <c r="P490" s="1" t="s">
        <v>106</v>
      </c>
      <c r="Q490" s="1" t="s">
        <v>1693</v>
      </c>
      <c r="R490" s="1">
        <v>149.232</v>
      </c>
      <c r="S490" s="1">
        <v>3</v>
      </c>
      <c r="T490" s="1">
        <v>0.2</v>
      </c>
      <c r="U490" s="1">
        <v>3.7308000000000021</v>
      </c>
    </row>
    <row r="491" spans="1:21" ht="15.75" x14ac:dyDescent="0.25">
      <c r="A491" s="1">
        <v>490</v>
      </c>
      <c r="B491" s="2" t="s">
        <v>1688</v>
      </c>
      <c r="C491" s="3">
        <v>45064</v>
      </c>
      <c r="D491" s="3">
        <v>45066</v>
      </c>
      <c r="E491" s="1" t="s">
        <v>87</v>
      </c>
      <c r="F491" s="1" t="s">
        <v>1689</v>
      </c>
      <c r="G491" s="1" t="s">
        <v>1690</v>
      </c>
      <c r="H491" s="1" t="s">
        <v>25</v>
      </c>
      <c r="I491" s="1" t="s">
        <v>26</v>
      </c>
      <c r="J491" s="1" t="s">
        <v>1691</v>
      </c>
      <c r="K491" s="1" t="s">
        <v>155</v>
      </c>
      <c r="L491" s="1">
        <v>44312</v>
      </c>
      <c r="M491" s="1" t="s">
        <v>54</v>
      </c>
      <c r="N491" s="1" t="s">
        <v>1694</v>
      </c>
      <c r="O491" s="1" t="s">
        <v>31</v>
      </c>
      <c r="P491" s="1" t="s">
        <v>32</v>
      </c>
      <c r="Q491" s="1" t="s">
        <v>1695</v>
      </c>
      <c r="R491" s="1">
        <v>15.936000000000002</v>
      </c>
      <c r="S491" s="1">
        <v>4</v>
      </c>
      <c r="T491" s="1">
        <v>0.2</v>
      </c>
      <c r="U491" s="1">
        <v>5.7768000000000015</v>
      </c>
    </row>
    <row r="492" spans="1:21" ht="15.75" x14ac:dyDescent="0.25">
      <c r="A492" s="1">
        <v>491</v>
      </c>
      <c r="B492" s="2" t="s">
        <v>1696</v>
      </c>
      <c r="C492" s="3">
        <v>45064</v>
      </c>
      <c r="D492" s="3">
        <v>45068</v>
      </c>
      <c r="E492" s="1" t="s">
        <v>87</v>
      </c>
      <c r="F492" s="1" t="s">
        <v>1697</v>
      </c>
      <c r="G492" s="1" t="s">
        <v>1698</v>
      </c>
      <c r="H492" s="1" t="s">
        <v>25</v>
      </c>
      <c r="I492" s="1" t="s">
        <v>26</v>
      </c>
      <c r="J492" s="1" t="s">
        <v>487</v>
      </c>
      <c r="K492" s="1" t="s">
        <v>28</v>
      </c>
      <c r="L492" s="1">
        <v>75220</v>
      </c>
      <c r="M492" s="1" t="s">
        <v>29</v>
      </c>
      <c r="N492" s="1" t="s">
        <v>1694</v>
      </c>
      <c r="O492" s="1" t="s">
        <v>31</v>
      </c>
      <c r="P492" s="1" t="s">
        <v>32</v>
      </c>
      <c r="Q492" s="1" t="s">
        <v>1695</v>
      </c>
      <c r="R492" s="1">
        <v>3.9840000000000004</v>
      </c>
      <c r="S492" s="1">
        <v>1</v>
      </c>
      <c r="T492" s="1">
        <v>0.2</v>
      </c>
      <c r="U492" s="1">
        <v>1.4442000000000004</v>
      </c>
    </row>
    <row r="493" spans="1:21" ht="15.75" x14ac:dyDescent="0.25">
      <c r="A493" s="1">
        <v>492</v>
      </c>
      <c r="B493" s="2" t="s">
        <v>1699</v>
      </c>
      <c r="C493" s="3">
        <v>45064</v>
      </c>
      <c r="D493" s="3">
        <v>45070</v>
      </c>
      <c r="E493" s="1" t="s">
        <v>22</v>
      </c>
      <c r="F493" s="1" t="s">
        <v>1700</v>
      </c>
      <c r="G493" s="1" t="s">
        <v>1701</v>
      </c>
      <c r="H493" s="1" t="s">
        <v>25</v>
      </c>
      <c r="I493" s="1" t="s">
        <v>26</v>
      </c>
      <c r="J493" s="1" t="s">
        <v>1702</v>
      </c>
      <c r="K493" s="1" t="s">
        <v>155</v>
      </c>
      <c r="L493" s="1">
        <v>44105</v>
      </c>
      <c r="M493" s="1" t="s">
        <v>54</v>
      </c>
      <c r="N493" s="1" t="s">
        <v>1703</v>
      </c>
      <c r="O493" s="1" t="s">
        <v>96</v>
      </c>
      <c r="P493" s="1" t="s">
        <v>97</v>
      </c>
      <c r="Q493" s="1" t="s">
        <v>1704</v>
      </c>
      <c r="R493" s="1">
        <v>779.79600000000005</v>
      </c>
      <c r="S493" s="1">
        <v>2</v>
      </c>
      <c r="T493" s="1">
        <v>0.4</v>
      </c>
      <c r="U493" s="1">
        <v>-168.95579999999995</v>
      </c>
    </row>
    <row r="494" spans="1:21" ht="15.75" x14ac:dyDescent="0.25">
      <c r="A494" s="1">
        <v>493</v>
      </c>
      <c r="B494" s="2" t="s">
        <v>1705</v>
      </c>
      <c r="C494" s="3">
        <v>45065</v>
      </c>
      <c r="D494" s="3">
        <v>45069</v>
      </c>
      <c r="E494" s="1" t="s">
        <v>22</v>
      </c>
      <c r="F494" s="1" t="s">
        <v>1706</v>
      </c>
      <c r="G494" s="1" t="s">
        <v>1707</v>
      </c>
      <c r="H494" s="1" t="s">
        <v>25</v>
      </c>
      <c r="I494" s="1" t="s">
        <v>26</v>
      </c>
      <c r="J494" s="1" t="s">
        <v>1708</v>
      </c>
      <c r="K494" s="1" t="s">
        <v>231</v>
      </c>
      <c r="L494" s="1">
        <v>48640</v>
      </c>
      <c r="M494" s="1" t="s">
        <v>29</v>
      </c>
      <c r="N494" s="1" t="s">
        <v>1709</v>
      </c>
      <c r="O494" s="1" t="s">
        <v>31</v>
      </c>
      <c r="P494" s="1" t="s">
        <v>41</v>
      </c>
      <c r="Q494" s="1" t="s">
        <v>1710</v>
      </c>
      <c r="R494" s="1">
        <v>57.42</v>
      </c>
      <c r="S494" s="1">
        <v>9</v>
      </c>
      <c r="T494" s="1">
        <v>0</v>
      </c>
      <c r="U494" s="1">
        <v>26.413199999999996</v>
      </c>
    </row>
    <row r="495" spans="1:21" ht="15.75" x14ac:dyDescent="0.25">
      <c r="A495" s="1">
        <v>494</v>
      </c>
      <c r="B495" s="2" t="s">
        <v>1711</v>
      </c>
      <c r="C495" s="3">
        <v>45065</v>
      </c>
      <c r="D495" s="3">
        <v>45068</v>
      </c>
      <c r="E495" s="1" t="s">
        <v>71</v>
      </c>
      <c r="F495" s="1" t="s">
        <v>1712</v>
      </c>
      <c r="G495" s="1" t="s">
        <v>1713</v>
      </c>
      <c r="H495" s="1" t="s">
        <v>25</v>
      </c>
      <c r="I495" s="1" t="s">
        <v>26</v>
      </c>
      <c r="J495" s="1" t="s">
        <v>1081</v>
      </c>
      <c r="K495" s="1" t="s">
        <v>123</v>
      </c>
      <c r="L495" s="1">
        <v>23464</v>
      </c>
      <c r="M495" s="1" t="s">
        <v>63</v>
      </c>
      <c r="N495" s="1" t="s">
        <v>1610</v>
      </c>
      <c r="O495" s="1" t="s">
        <v>31</v>
      </c>
      <c r="P495" s="1" t="s">
        <v>475</v>
      </c>
      <c r="Q495" s="1" t="s">
        <v>1611</v>
      </c>
      <c r="R495" s="1">
        <v>34.200000000000003</v>
      </c>
      <c r="S495" s="1">
        <v>5</v>
      </c>
      <c r="T495" s="1">
        <v>0</v>
      </c>
      <c r="U495" s="1">
        <v>9.234</v>
      </c>
    </row>
    <row r="496" spans="1:21" ht="15.75" x14ac:dyDescent="0.25">
      <c r="A496" s="1">
        <v>495</v>
      </c>
      <c r="B496" s="2" t="s">
        <v>1714</v>
      </c>
      <c r="C496" s="3">
        <v>45066</v>
      </c>
      <c r="D496" s="3">
        <v>45068</v>
      </c>
      <c r="E496" s="1" t="s">
        <v>87</v>
      </c>
      <c r="F496" s="1" t="s">
        <v>1715</v>
      </c>
      <c r="G496" s="1" t="s">
        <v>1716</v>
      </c>
      <c r="H496" s="1" t="s">
        <v>74</v>
      </c>
      <c r="I496" s="1" t="s">
        <v>26</v>
      </c>
      <c r="J496" s="1" t="s">
        <v>131</v>
      </c>
      <c r="K496" s="1" t="s">
        <v>1717</v>
      </c>
      <c r="L496" s="1">
        <v>3820</v>
      </c>
      <c r="M496" s="1" t="s">
        <v>54</v>
      </c>
      <c r="N496" s="1" t="s">
        <v>1718</v>
      </c>
      <c r="O496" s="1" t="s">
        <v>65</v>
      </c>
      <c r="P496" s="1" t="s">
        <v>106</v>
      </c>
      <c r="Q496" s="1" t="s">
        <v>1719</v>
      </c>
      <c r="R496" s="1">
        <v>139.86000000000001</v>
      </c>
      <c r="S496" s="1">
        <v>7</v>
      </c>
      <c r="T496" s="1">
        <v>0</v>
      </c>
      <c r="U496" s="1">
        <v>60.139800000000015</v>
      </c>
    </row>
    <row r="497" spans="1:21" ht="15.75" x14ac:dyDescent="0.25">
      <c r="A497" s="1">
        <v>496</v>
      </c>
      <c r="B497" s="2" t="s">
        <v>1720</v>
      </c>
      <c r="C497" s="3">
        <v>45066</v>
      </c>
      <c r="D497" s="3">
        <v>45068</v>
      </c>
      <c r="E497" s="1" t="s">
        <v>87</v>
      </c>
      <c r="F497" s="1" t="s">
        <v>1721</v>
      </c>
      <c r="G497" s="1" t="s">
        <v>1722</v>
      </c>
      <c r="H497" s="1" t="s">
        <v>74</v>
      </c>
      <c r="I497" s="1" t="s">
        <v>26</v>
      </c>
      <c r="J497" s="1" t="s">
        <v>1723</v>
      </c>
      <c r="K497" s="1" t="s">
        <v>28</v>
      </c>
      <c r="L497" s="1">
        <v>78666</v>
      </c>
      <c r="M497" s="1" t="s">
        <v>29</v>
      </c>
      <c r="N497" s="1" t="s">
        <v>1724</v>
      </c>
      <c r="O497" s="1" t="s">
        <v>65</v>
      </c>
      <c r="P497" s="1" t="s">
        <v>106</v>
      </c>
      <c r="Q497" s="1" t="s">
        <v>1725</v>
      </c>
      <c r="R497" s="1">
        <v>10.332000000000001</v>
      </c>
      <c r="S497" s="1">
        <v>3</v>
      </c>
      <c r="T497" s="1">
        <v>0.6</v>
      </c>
      <c r="U497" s="1">
        <v>-5.9408999999999992</v>
      </c>
    </row>
    <row r="498" spans="1:21" ht="15.75" x14ac:dyDescent="0.25">
      <c r="A498" s="1">
        <v>497</v>
      </c>
      <c r="B498" s="2" t="s">
        <v>1714</v>
      </c>
      <c r="C498" s="3">
        <v>45066</v>
      </c>
      <c r="D498" s="3">
        <v>45068</v>
      </c>
      <c r="E498" s="1" t="s">
        <v>87</v>
      </c>
      <c r="F498" s="1" t="s">
        <v>1715</v>
      </c>
      <c r="G498" s="1" t="s">
        <v>1716</v>
      </c>
      <c r="H498" s="1" t="s">
        <v>74</v>
      </c>
      <c r="I498" s="1" t="s">
        <v>26</v>
      </c>
      <c r="J498" s="1" t="s">
        <v>131</v>
      </c>
      <c r="K498" s="1" t="s">
        <v>1717</v>
      </c>
      <c r="L498" s="1">
        <v>3820</v>
      </c>
      <c r="M498" s="1" t="s">
        <v>54</v>
      </c>
      <c r="N498" s="1" t="s">
        <v>1726</v>
      </c>
      <c r="O498" s="1" t="s">
        <v>31</v>
      </c>
      <c r="P498" s="1" t="s">
        <v>205</v>
      </c>
      <c r="Q498" s="1" t="s">
        <v>1727</v>
      </c>
      <c r="R498" s="1">
        <v>33.28</v>
      </c>
      <c r="S498" s="1">
        <v>4</v>
      </c>
      <c r="T498" s="1">
        <v>0</v>
      </c>
      <c r="U498" s="1">
        <v>9.3184000000000005</v>
      </c>
    </row>
    <row r="499" spans="1:21" ht="15.75" x14ac:dyDescent="0.25">
      <c r="A499" s="1">
        <v>498</v>
      </c>
      <c r="B499" s="2" t="s">
        <v>1714</v>
      </c>
      <c r="C499" s="3">
        <v>45066</v>
      </c>
      <c r="D499" s="3">
        <v>45068</v>
      </c>
      <c r="E499" s="1" t="s">
        <v>87</v>
      </c>
      <c r="F499" s="1" t="s">
        <v>1715</v>
      </c>
      <c r="G499" s="1" t="s">
        <v>1716</v>
      </c>
      <c r="H499" s="1" t="s">
        <v>74</v>
      </c>
      <c r="I499" s="1" t="s">
        <v>26</v>
      </c>
      <c r="J499" s="1" t="s">
        <v>131</v>
      </c>
      <c r="K499" s="1" t="s">
        <v>1717</v>
      </c>
      <c r="L499" s="1">
        <v>3820</v>
      </c>
      <c r="M499" s="1" t="s">
        <v>54</v>
      </c>
      <c r="N499" s="1" t="s">
        <v>1728</v>
      </c>
      <c r="O499" s="1" t="s">
        <v>31</v>
      </c>
      <c r="P499" s="1" t="s">
        <v>56</v>
      </c>
      <c r="Q499" s="1" t="s">
        <v>1729</v>
      </c>
      <c r="R499" s="1">
        <v>38.520000000000003</v>
      </c>
      <c r="S499" s="1">
        <v>9</v>
      </c>
      <c r="T499" s="1">
        <v>0</v>
      </c>
      <c r="U499" s="1">
        <v>11.9412</v>
      </c>
    </row>
    <row r="500" spans="1:21" ht="15.75" x14ac:dyDescent="0.25">
      <c r="A500" s="1">
        <v>499</v>
      </c>
      <c r="B500" s="2" t="s">
        <v>1720</v>
      </c>
      <c r="C500" s="3">
        <v>45066</v>
      </c>
      <c r="D500" s="3">
        <v>45068</v>
      </c>
      <c r="E500" s="1" t="s">
        <v>87</v>
      </c>
      <c r="F500" s="1" t="s">
        <v>1721</v>
      </c>
      <c r="G500" s="1" t="s">
        <v>1722</v>
      </c>
      <c r="H500" s="1" t="s">
        <v>74</v>
      </c>
      <c r="I500" s="1" t="s">
        <v>26</v>
      </c>
      <c r="J500" s="1" t="s">
        <v>1723</v>
      </c>
      <c r="K500" s="1" t="s">
        <v>28</v>
      </c>
      <c r="L500" s="1">
        <v>78666</v>
      </c>
      <c r="M500" s="1" t="s">
        <v>29</v>
      </c>
      <c r="N500" s="1" t="s">
        <v>1298</v>
      </c>
      <c r="O500" s="1" t="s">
        <v>31</v>
      </c>
      <c r="P500" s="1" t="s">
        <v>32</v>
      </c>
      <c r="Q500" s="1" t="s">
        <v>1299</v>
      </c>
      <c r="R500" s="1">
        <v>10.368000000000002</v>
      </c>
      <c r="S500" s="1">
        <v>2</v>
      </c>
      <c r="T500" s="1">
        <v>0.2</v>
      </c>
      <c r="U500" s="1">
        <v>3.6288</v>
      </c>
    </row>
    <row r="501" spans="1:21" ht="15.75" x14ac:dyDescent="0.25">
      <c r="A501" s="1">
        <v>500</v>
      </c>
      <c r="B501" s="2" t="s">
        <v>1720</v>
      </c>
      <c r="C501" s="3">
        <v>45066</v>
      </c>
      <c r="D501" s="3">
        <v>45068</v>
      </c>
      <c r="E501" s="1" t="s">
        <v>87</v>
      </c>
      <c r="F501" s="1" t="s">
        <v>1721</v>
      </c>
      <c r="G501" s="1" t="s">
        <v>1722</v>
      </c>
      <c r="H501" s="1" t="s">
        <v>74</v>
      </c>
      <c r="I501" s="1" t="s">
        <v>26</v>
      </c>
      <c r="J501" s="1" t="s">
        <v>1723</v>
      </c>
      <c r="K501" s="1" t="s">
        <v>28</v>
      </c>
      <c r="L501" s="1">
        <v>78666</v>
      </c>
      <c r="M501" s="1" t="s">
        <v>29</v>
      </c>
      <c r="N501" s="1" t="s">
        <v>1076</v>
      </c>
      <c r="O501" s="1" t="s">
        <v>31</v>
      </c>
      <c r="P501" s="1" t="s">
        <v>47</v>
      </c>
      <c r="Q501" s="1" t="s">
        <v>1077</v>
      </c>
      <c r="R501" s="1">
        <v>66.959999999999994</v>
      </c>
      <c r="S501" s="1">
        <v>5</v>
      </c>
      <c r="T501" s="1">
        <v>0.2</v>
      </c>
      <c r="U501" s="1">
        <v>-13.392000000000003</v>
      </c>
    </row>
    <row r="502" spans="1:21" ht="15.75" x14ac:dyDescent="0.25">
      <c r="A502" s="1">
        <v>501</v>
      </c>
      <c r="B502" s="2" t="s">
        <v>1720</v>
      </c>
      <c r="C502" s="3">
        <v>45066</v>
      </c>
      <c r="D502" s="3">
        <v>45068</v>
      </c>
      <c r="E502" s="1" t="s">
        <v>87</v>
      </c>
      <c r="F502" s="1" t="s">
        <v>1721</v>
      </c>
      <c r="G502" s="1" t="s">
        <v>1722</v>
      </c>
      <c r="H502" s="1" t="s">
        <v>74</v>
      </c>
      <c r="I502" s="1" t="s">
        <v>26</v>
      </c>
      <c r="J502" s="1" t="s">
        <v>1723</v>
      </c>
      <c r="K502" s="1" t="s">
        <v>28</v>
      </c>
      <c r="L502" s="1">
        <v>78666</v>
      </c>
      <c r="M502" s="1" t="s">
        <v>29</v>
      </c>
      <c r="N502" s="1" t="s">
        <v>1730</v>
      </c>
      <c r="O502" s="1" t="s">
        <v>96</v>
      </c>
      <c r="P502" s="1" t="s">
        <v>117</v>
      </c>
      <c r="Q502" s="1" t="s">
        <v>1731</v>
      </c>
      <c r="R502" s="1">
        <v>20.784000000000002</v>
      </c>
      <c r="S502" s="1">
        <v>2</v>
      </c>
      <c r="T502" s="1">
        <v>0.2</v>
      </c>
      <c r="U502" s="1">
        <v>-3.6372000000000027</v>
      </c>
    </row>
    <row r="503" spans="1:21" ht="15.75" x14ac:dyDescent="0.25">
      <c r="A503" s="1">
        <v>502</v>
      </c>
      <c r="B503" s="2" t="s">
        <v>1732</v>
      </c>
      <c r="C503" s="3">
        <v>45066</v>
      </c>
      <c r="D503" s="3">
        <v>45070</v>
      </c>
      <c r="E503" s="4" t="s">
        <v>22</v>
      </c>
      <c r="F503" s="4" t="s">
        <v>1733</v>
      </c>
      <c r="G503" s="4" t="s">
        <v>1734</v>
      </c>
      <c r="H503" s="4" t="s">
        <v>37</v>
      </c>
      <c r="I503" s="4" t="s">
        <v>279</v>
      </c>
      <c r="J503" s="4" t="s">
        <v>1735</v>
      </c>
      <c r="K503" s="4" t="s">
        <v>1736</v>
      </c>
      <c r="L503" s="4" t="s">
        <v>1737</v>
      </c>
      <c r="M503" s="4" t="s">
        <v>92</v>
      </c>
      <c r="N503" s="4" t="s">
        <v>462</v>
      </c>
      <c r="O503" s="4" t="s">
        <v>65</v>
      </c>
      <c r="P503" s="4" t="s">
        <v>66</v>
      </c>
      <c r="Q503" s="4" t="s">
        <v>463</v>
      </c>
      <c r="R503" s="4">
        <v>518.27</v>
      </c>
      <c r="S503" s="4">
        <v>8</v>
      </c>
      <c r="T503" s="4">
        <v>0.2</v>
      </c>
      <c r="U503" s="4">
        <v>-97.18</v>
      </c>
    </row>
    <row r="504" spans="1:21" ht="15.75" x14ac:dyDescent="0.25">
      <c r="A504" s="1">
        <v>503</v>
      </c>
      <c r="B504" s="2" t="s">
        <v>1732</v>
      </c>
      <c r="C504" s="3">
        <v>45066</v>
      </c>
      <c r="D504" s="3">
        <v>45070</v>
      </c>
      <c r="E504" s="4" t="s">
        <v>22</v>
      </c>
      <c r="F504" s="4" t="s">
        <v>1733</v>
      </c>
      <c r="G504" s="4" t="s">
        <v>1734</v>
      </c>
      <c r="H504" s="4" t="s">
        <v>37</v>
      </c>
      <c r="I504" s="4" t="s">
        <v>279</v>
      </c>
      <c r="J504" s="4" t="s">
        <v>1735</v>
      </c>
      <c r="K504" s="4" t="s">
        <v>1736</v>
      </c>
      <c r="L504" s="4" t="s">
        <v>1737</v>
      </c>
      <c r="M504" s="4" t="s">
        <v>92</v>
      </c>
      <c r="N504" s="4" t="s">
        <v>1388</v>
      </c>
      <c r="O504" s="4" t="s">
        <v>65</v>
      </c>
      <c r="P504" s="4" t="s">
        <v>106</v>
      </c>
      <c r="Q504" s="4" t="s">
        <v>1389</v>
      </c>
      <c r="R504" s="4">
        <v>6.98</v>
      </c>
      <c r="S504" s="4">
        <v>1</v>
      </c>
      <c r="T504" s="4">
        <v>0</v>
      </c>
      <c r="U504" s="4">
        <v>3.35</v>
      </c>
    </row>
    <row r="505" spans="1:21" ht="15.75" x14ac:dyDescent="0.25">
      <c r="A505" s="1">
        <v>504</v>
      </c>
      <c r="B505" s="2" t="s">
        <v>1732</v>
      </c>
      <c r="C505" s="3">
        <v>45066</v>
      </c>
      <c r="D505" s="3">
        <v>45070</v>
      </c>
      <c r="E505" s="4" t="s">
        <v>22</v>
      </c>
      <c r="F505" s="4" t="s">
        <v>1733</v>
      </c>
      <c r="G505" s="4" t="s">
        <v>1734</v>
      </c>
      <c r="H505" s="4" t="s">
        <v>37</v>
      </c>
      <c r="I505" s="4" t="s">
        <v>279</v>
      </c>
      <c r="J505" s="4" t="s">
        <v>1735</v>
      </c>
      <c r="K505" s="4" t="s">
        <v>1736</v>
      </c>
      <c r="L505" s="4" t="s">
        <v>1737</v>
      </c>
      <c r="M505" s="4" t="s">
        <v>92</v>
      </c>
      <c r="N505" s="4" t="s">
        <v>1738</v>
      </c>
      <c r="O505" s="4" t="s">
        <v>96</v>
      </c>
      <c r="P505" s="4" t="s">
        <v>754</v>
      </c>
      <c r="Q505" s="4" t="s">
        <v>1739</v>
      </c>
      <c r="R505" s="4">
        <v>343.2</v>
      </c>
      <c r="S505" s="4">
        <v>1</v>
      </c>
      <c r="T505" s="4">
        <v>0.2</v>
      </c>
      <c r="U505" s="4">
        <v>38.61</v>
      </c>
    </row>
    <row r="506" spans="1:21" ht="15.75" x14ac:dyDescent="0.25">
      <c r="A506" s="1">
        <v>505</v>
      </c>
      <c r="B506" s="2" t="s">
        <v>1740</v>
      </c>
      <c r="C506" s="3">
        <v>45067</v>
      </c>
      <c r="D506" s="3">
        <v>45069</v>
      </c>
      <c r="E506" s="1" t="s">
        <v>87</v>
      </c>
      <c r="F506" s="1" t="s">
        <v>1478</v>
      </c>
      <c r="G506" s="1" t="s">
        <v>1479</v>
      </c>
      <c r="H506" s="1" t="s">
        <v>25</v>
      </c>
      <c r="I506" s="1" t="s">
        <v>26</v>
      </c>
      <c r="J506" s="1" t="s">
        <v>27</v>
      </c>
      <c r="K506" s="1" t="s">
        <v>28</v>
      </c>
      <c r="L506" s="1">
        <v>77070</v>
      </c>
      <c r="M506" s="1" t="s">
        <v>29</v>
      </c>
      <c r="N506" s="1" t="s">
        <v>1741</v>
      </c>
      <c r="O506" s="1" t="s">
        <v>65</v>
      </c>
      <c r="P506" s="1" t="s">
        <v>66</v>
      </c>
      <c r="Q506" s="1" t="s">
        <v>1742</v>
      </c>
      <c r="R506" s="1">
        <v>107.77200000000001</v>
      </c>
      <c r="S506" s="1">
        <v>2</v>
      </c>
      <c r="T506" s="1">
        <v>0.3</v>
      </c>
      <c r="U506" s="1">
        <v>-29.252400000000009</v>
      </c>
    </row>
    <row r="507" spans="1:21" ht="15.75" x14ac:dyDescent="0.25">
      <c r="A507" s="1">
        <v>506</v>
      </c>
      <c r="B507" s="2" t="s">
        <v>1743</v>
      </c>
      <c r="C507" s="3">
        <v>45067</v>
      </c>
      <c r="D507" s="3">
        <v>45072</v>
      </c>
      <c r="E507" s="1" t="s">
        <v>22</v>
      </c>
      <c r="F507" s="1" t="s">
        <v>1744</v>
      </c>
      <c r="G507" s="1" t="s">
        <v>1745</v>
      </c>
      <c r="H507" s="1" t="s">
        <v>37</v>
      </c>
      <c r="I507" s="1" t="s">
        <v>26</v>
      </c>
      <c r="J507" s="1" t="s">
        <v>1568</v>
      </c>
      <c r="K507" s="1" t="s">
        <v>1073</v>
      </c>
      <c r="L507" s="1">
        <v>1841</v>
      </c>
      <c r="M507" s="1" t="s">
        <v>54</v>
      </c>
      <c r="N507" s="1" t="s">
        <v>467</v>
      </c>
      <c r="O507" s="1" t="s">
        <v>31</v>
      </c>
      <c r="P507" s="1" t="s">
        <v>205</v>
      </c>
      <c r="Q507" s="1" t="s">
        <v>468</v>
      </c>
      <c r="R507" s="1">
        <v>245.88</v>
      </c>
      <c r="S507" s="1">
        <v>6</v>
      </c>
      <c r="T507" s="1">
        <v>0</v>
      </c>
      <c r="U507" s="1">
        <v>68.846399999999988</v>
      </c>
    </row>
    <row r="508" spans="1:21" ht="15.75" x14ac:dyDescent="0.25">
      <c r="A508" s="1">
        <v>507</v>
      </c>
      <c r="B508" s="2" t="s">
        <v>1746</v>
      </c>
      <c r="C508" s="3">
        <v>45067</v>
      </c>
      <c r="D508" s="3">
        <v>45071</v>
      </c>
      <c r="E508" s="1" t="s">
        <v>22</v>
      </c>
      <c r="F508" s="1" t="s">
        <v>1747</v>
      </c>
      <c r="G508" s="1" t="s">
        <v>1748</v>
      </c>
      <c r="H508" s="1" t="s">
        <v>37</v>
      </c>
      <c r="I508" s="1" t="s">
        <v>26</v>
      </c>
      <c r="J508" s="1" t="s">
        <v>337</v>
      </c>
      <c r="K508" s="1" t="s">
        <v>91</v>
      </c>
      <c r="L508" s="1">
        <v>92037</v>
      </c>
      <c r="M508" s="1" t="s">
        <v>92</v>
      </c>
      <c r="N508" s="1" t="s">
        <v>149</v>
      </c>
      <c r="O508" s="1" t="s">
        <v>31</v>
      </c>
      <c r="P508" s="1" t="s">
        <v>56</v>
      </c>
      <c r="Q508" s="1" t="s">
        <v>150</v>
      </c>
      <c r="R508" s="1">
        <v>31.84</v>
      </c>
      <c r="S508" s="1">
        <v>8</v>
      </c>
      <c r="T508" s="1">
        <v>0</v>
      </c>
      <c r="U508" s="1">
        <v>10.507199999999997</v>
      </c>
    </row>
    <row r="509" spans="1:21" ht="15.75" x14ac:dyDescent="0.25">
      <c r="A509" s="1">
        <v>508</v>
      </c>
      <c r="B509" s="2" t="s">
        <v>1740</v>
      </c>
      <c r="C509" s="3">
        <v>45067</v>
      </c>
      <c r="D509" s="3">
        <v>45069</v>
      </c>
      <c r="E509" s="1" t="s">
        <v>87</v>
      </c>
      <c r="F509" s="1" t="s">
        <v>1478</v>
      </c>
      <c r="G509" s="1" t="s">
        <v>1479</v>
      </c>
      <c r="H509" s="1" t="s">
        <v>25</v>
      </c>
      <c r="I509" s="1" t="s">
        <v>26</v>
      </c>
      <c r="J509" s="1" t="s">
        <v>27</v>
      </c>
      <c r="K509" s="1" t="s">
        <v>28</v>
      </c>
      <c r="L509" s="1">
        <v>77070</v>
      </c>
      <c r="M509" s="1" t="s">
        <v>29</v>
      </c>
      <c r="N509" s="1" t="s">
        <v>1749</v>
      </c>
      <c r="O509" s="1" t="s">
        <v>31</v>
      </c>
      <c r="P509" s="1" t="s">
        <v>41</v>
      </c>
      <c r="Q509" s="1" t="s">
        <v>1750</v>
      </c>
      <c r="R509" s="1">
        <v>18.239999999999995</v>
      </c>
      <c r="S509" s="1">
        <v>3</v>
      </c>
      <c r="T509" s="1">
        <v>0.8</v>
      </c>
      <c r="U509" s="1">
        <v>-31.00800000000001</v>
      </c>
    </row>
    <row r="510" spans="1:21" ht="15.75" x14ac:dyDescent="0.25">
      <c r="A510" s="1">
        <v>509</v>
      </c>
      <c r="B510" s="2" t="s">
        <v>1743</v>
      </c>
      <c r="C510" s="3">
        <v>45067</v>
      </c>
      <c r="D510" s="3">
        <v>45072</v>
      </c>
      <c r="E510" s="1" t="s">
        <v>22</v>
      </c>
      <c r="F510" s="1" t="s">
        <v>1744</v>
      </c>
      <c r="G510" s="1" t="s">
        <v>1745</v>
      </c>
      <c r="H510" s="1" t="s">
        <v>37</v>
      </c>
      <c r="I510" s="1" t="s">
        <v>26</v>
      </c>
      <c r="J510" s="1" t="s">
        <v>1568</v>
      </c>
      <c r="K510" s="1" t="s">
        <v>1073</v>
      </c>
      <c r="L510" s="1">
        <v>1841</v>
      </c>
      <c r="M510" s="1" t="s">
        <v>54</v>
      </c>
      <c r="N510" s="1" t="s">
        <v>1751</v>
      </c>
      <c r="O510" s="1" t="s">
        <v>31</v>
      </c>
      <c r="P510" s="1" t="s">
        <v>41</v>
      </c>
      <c r="Q510" s="1" t="s">
        <v>1752</v>
      </c>
      <c r="R510" s="1">
        <v>447.85999999999996</v>
      </c>
      <c r="S510" s="1">
        <v>7</v>
      </c>
      <c r="T510" s="1">
        <v>0</v>
      </c>
      <c r="U510" s="1">
        <v>219.45140000000001</v>
      </c>
    </row>
    <row r="511" spans="1:21" ht="15.75" x14ac:dyDescent="0.25">
      <c r="A511" s="1">
        <v>510</v>
      </c>
      <c r="B511" s="2" t="s">
        <v>1753</v>
      </c>
      <c r="C511" s="3">
        <v>45067</v>
      </c>
      <c r="D511" s="3">
        <v>45071</v>
      </c>
      <c r="E511" s="1" t="s">
        <v>22</v>
      </c>
      <c r="F511" s="1" t="s">
        <v>1754</v>
      </c>
      <c r="G511" s="1" t="s">
        <v>1755</v>
      </c>
      <c r="H511" s="1" t="s">
        <v>74</v>
      </c>
      <c r="I511" s="1" t="s">
        <v>26</v>
      </c>
      <c r="J511" s="1" t="s">
        <v>1081</v>
      </c>
      <c r="K511" s="1" t="s">
        <v>123</v>
      </c>
      <c r="L511" s="1">
        <v>23464</v>
      </c>
      <c r="M511" s="1" t="s">
        <v>63</v>
      </c>
      <c r="N511" s="1" t="s">
        <v>1756</v>
      </c>
      <c r="O511" s="1" t="s">
        <v>31</v>
      </c>
      <c r="P511" s="1" t="s">
        <v>41</v>
      </c>
      <c r="Q511" s="1" t="s">
        <v>1757</v>
      </c>
      <c r="R511" s="1">
        <v>2715.9300000000003</v>
      </c>
      <c r="S511" s="1">
        <v>7</v>
      </c>
      <c r="T511" s="1">
        <v>0</v>
      </c>
      <c r="U511" s="1">
        <v>1276.4871000000001</v>
      </c>
    </row>
    <row r="512" spans="1:21" ht="15.75" x14ac:dyDescent="0.25">
      <c r="A512" s="1">
        <v>511</v>
      </c>
      <c r="B512" s="2" t="s">
        <v>1740</v>
      </c>
      <c r="C512" s="3">
        <v>45067</v>
      </c>
      <c r="D512" s="3">
        <v>45069</v>
      </c>
      <c r="E512" s="1" t="s">
        <v>87</v>
      </c>
      <c r="F512" s="1" t="s">
        <v>1478</v>
      </c>
      <c r="G512" s="1" t="s">
        <v>1479</v>
      </c>
      <c r="H512" s="1" t="s">
        <v>25</v>
      </c>
      <c r="I512" s="1" t="s">
        <v>26</v>
      </c>
      <c r="J512" s="1" t="s">
        <v>27</v>
      </c>
      <c r="K512" s="1" t="s">
        <v>28</v>
      </c>
      <c r="L512" s="1">
        <v>77070</v>
      </c>
      <c r="M512" s="1" t="s">
        <v>29</v>
      </c>
      <c r="N512" s="1" t="s">
        <v>1758</v>
      </c>
      <c r="O512" s="1" t="s">
        <v>31</v>
      </c>
      <c r="P512" s="1" t="s">
        <v>166</v>
      </c>
      <c r="Q512" s="1" t="s">
        <v>169</v>
      </c>
      <c r="R512" s="1">
        <v>56.063999999999993</v>
      </c>
      <c r="S512" s="1">
        <v>6</v>
      </c>
      <c r="T512" s="1">
        <v>0.2</v>
      </c>
      <c r="U512" s="1">
        <v>21.024000000000001</v>
      </c>
    </row>
    <row r="513" spans="1:21" ht="15.75" x14ac:dyDescent="0.25">
      <c r="A513" s="1">
        <v>512</v>
      </c>
      <c r="B513" s="2" t="s">
        <v>1740</v>
      </c>
      <c r="C513" s="3">
        <v>45067</v>
      </c>
      <c r="D513" s="3">
        <v>45069</v>
      </c>
      <c r="E513" s="1" t="s">
        <v>87</v>
      </c>
      <c r="F513" s="1" t="s">
        <v>1478</v>
      </c>
      <c r="G513" s="1" t="s">
        <v>1479</v>
      </c>
      <c r="H513" s="1" t="s">
        <v>25</v>
      </c>
      <c r="I513" s="1" t="s">
        <v>26</v>
      </c>
      <c r="J513" s="1" t="s">
        <v>27</v>
      </c>
      <c r="K513" s="1" t="s">
        <v>28</v>
      </c>
      <c r="L513" s="1">
        <v>77070</v>
      </c>
      <c r="M513" s="1" t="s">
        <v>29</v>
      </c>
      <c r="N513" s="1" t="s">
        <v>1759</v>
      </c>
      <c r="O513" s="1" t="s">
        <v>31</v>
      </c>
      <c r="P513" s="1" t="s">
        <v>32</v>
      </c>
      <c r="Q513" s="1" t="s">
        <v>1760</v>
      </c>
      <c r="R513" s="1">
        <v>4.8320000000000007</v>
      </c>
      <c r="S513" s="1">
        <v>1</v>
      </c>
      <c r="T513" s="1">
        <v>0.2</v>
      </c>
      <c r="U513" s="1">
        <v>1.6307999999999998</v>
      </c>
    </row>
    <row r="514" spans="1:21" ht="15.75" x14ac:dyDescent="0.25">
      <c r="A514" s="1">
        <v>513</v>
      </c>
      <c r="B514" s="2" t="s">
        <v>1743</v>
      </c>
      <c r="C514" s="3">
        <v>45067</v>
      </c>
      <c r="D514" s="3">
        <v>45072</v>
      </c>
      <c r="E514" s="1" t="s">
        <v>22</v>
      </c>
      <c r="F514" s="1" t="s">
        <v>1744</v>
      </c>
      <c r="G514" s="1" t="s">
        <v>1745</v>
      </c>
      <c r="H514" s="1" t="s">
        <v>37</v>
      </c>
      <c r="I514" s="1" t="s">
        <v>26</v>
      </c>
      <c r="J514" s="1" t="s">
        <v>1568</v>
      </c>
      <c r="K514" s="1" t="s">
        <v>1073</v>
      </c>
      <c r="L514" s="1">
        <v>1841</v>
      </c>
      <c r="M514" s="1" t="s">
        <v>54</v>
      </c>
      <c r="N514" s="1" t="s">
        <v>1761</v>
      </c>
      <c r="O514" s="1" t="s">
        <v>31</v>
      </c>
      <c r="P514" s="1" t="s">
        <v>32</v>
      </c>
      <c r="Q514" s="1" t="s">
        <v>1762</v>
      </c>
      <c r="R514" s="1">
        <v>17.940000000000001</v>
      </c>
      <c r="S514" s="1">
        <v>3</v>
      </c>
      <c r="T514" s="1">
        <v>0</v>
      </c>
      <c r="U514" s="1">
        <v>8.7906000000000013</v>
      </c>
    </row>
    <row r="515" spans="1:21" ht="15.75" x14ac:dyDescent="0.25">
      <c r="A515" s="1">
        <v>514</v>
      </c>
      <c r="B515" s="2" t="s">
        <v>1753</v>
      </c>
      <c r="C515" s="3">
        <v>45067</v>
      </c>
      <c r="D515" s="3">
        <v>45071</v>
      </c>
      <c r="E515" s="1" t="s">
        <v>22</v>
      </c>
      <c r="F515" s="1" t="s">
        <v>1754</v>
      </c>
      <c r="G515" s="1" t="s">
        <v>1755</v>
      </c>
      <c r="H515" s="1" t="s">
        <v>74</v>
      </c>
      <c r="I515" s="1" t="s">
        <v>26</v>
      </c>
      <c r="J515" s="1" t="s">
        <v>1081</v>
      </c>
      <c r="K515" s="1" t="s">
        <v>123</v>
      </c>
      <c r="L515" s="1">
        <v>23464</v>
      </c>
      <c r="M515" s="1" t="s">
        <v>63</v>
      </c>
      <c r="N515" s="1" t="s">
        <v>1763</v>
      </c>
      <c r="O515" s="1" t="s">
        <v>96</v>
      </c>
      <c r="P515" s="1" t="s">
        <v>97</v>
      </c>
      <c r="Q515" s="1" t="s">
        <v>1764</v>
      </c>
      <c r="R515" s="1">
        <v>617.97</v>
      </c>
      <c r="S515" s="1">
        <v>3</v>
      </c>
      <c r="T515" s="1">
        <v>0</v>
      </c>
      <c r="U515" s="1">
        <v>173.0316</v>
      </c>
    </row>
    <row r="516" spans="1:21" ht="15.75" x14ac:dyDescent="0.25">
      <c r="A516" s="1">
        <v>515</v>
      </c>
      <c r="B516" s="2" t="s">
        <v>1765</v>
      </c>
      <c r="C516" s="3">
        <v>45067</v>
      </c>
      <c r="D516" s="3">
        <v>45072</v>
      </c>
      <c r="E516" s="4" t="s">
        <v>22</v>
      </c>
      <c r="F516" s="4" t="s">
        <v>1744</v>
      </c>
      <c r="G516" s="4" t="s">
        <v>1745</v>
      </c>
      <c r="H516" s="4" t="s">
        <v>37</v>
      </c>
      <c r="I516" s="4" t="s">
        <v>279</v>
      </c>
      <c r="J516" s="4" t="s">
        <v>1766</v>
      </c>
      <c r="K516" s="4" t="s">
        <v>1767</v>
      </c>
      <c r="L516" s="4" t="s">
        <v>1768</v>
      </c>
      <c r="M516" s="4" t="s">
        <v>54</v>
      </c>
      <c r="N516" s="4" t="s">
        <v>467</v>
      </c>
      <c r="O516" s="4" t="s">
        <v>31</v>
      </c>
      <c r="P516" s="4" t="s">
        <v>205</v>
      </c>
      <c r="Q516" s="4" t="s">
        <v>468</v>
      </c>
      <c r="R516" s="1">
        <v>245.88</v>
      </c>
      <c r="S516" s="1">
        <v>6</v>
      </c>
      <c r="T516" s="1">
        <v>0</v>
      </c>
      <c r="U516" s="1">
        <v>68.846399999999988</v>
      </c>
    </row>
    <row r="517" spans="1:21" ht="15.75" x14ac:dyDescent="0.25">
      <c r="A517" s="1">
        <v>516</v>
      </c>
      <c r="B517" s="2" t="s">
        <v>1765</v>
      </c>
      <c r="C517" s="3">
        <v>45067</v>
      </c>
      <c r="D517" s="3">
        <v>45072</v>
      </c>
      <c r="E517" s="4" t="s">
        <v>22</v>
      </c>
      <c r="F517" s="4" t="s">
        <v>1744</v>
      </c>
      <c r="G517" s="4" t="s">
        <v>1745</v>
      </c>
      <c r="H517" s="4" t="s">
        <v>37</v>
      </c>
      <c r="I517" s="4" t="s">
        <v>279</v>
      </c>
      <c r="J517" s="4" t="s">
        <v>1766</v>
      </c>
      <c r="K517" s="4" t="s">
        <v>1767</v>
      </c>
      <c r="L517" s="4" t="s">
        <v>1768</v>
      </c>
      <c r="M517" s="4" t="s">
        <v>54</v>
      </c>
      <c r="N517" s="4" t="s">
        <v>1751</v>
      </c>
      <c r="O517" s="4" t="s">
        <v>31</v>
      </c>
      <c r="P517" s="4" t="s">
        <v>41</v>
      </c>
      <c r="Q517" s="4" t="s">
        <v>1752</v>
      </c>
      <c r="R517" s="1">
        <v>447.85999999999996</v>
      </c>
      <c r="S517" s="1">
        <v>7</v>
      </c>
      <c r="T517" s="1">
        <v>0</v>
      </c>
      <c r="U517" s="1">
        <v>219.45140000000001</v>
      </c>
    </row>
    <row r="518" spans="1:21" ht="15.75" x14ac:dyDescent="0.25">
      <c r="A518" s="1">
        <v>517</v>
      </c>
      <c r="B518" s="2" t="s">
        <v>1765</v>
      </c>
      <c r="C518" s="3">
        <v>45067</v>
      </c>
      <c r="D518" s="3">
        <v>45072</v>
      </c>
      <c r="E518" s="4" t="s">
        <v>22</v>
      </c>
      <c r="F518" s="4" t="s">
        <v>1744</v>
      </c>
      <c r="G518" s="4" t="s">
        <v>1745</v>
      </c>
      <c r="H518" s="4" t="s">
        <v>37</v>
      </c>
      <c r="I518" s="4" t="s">
        <v>279</v>
      </c>
      <c r="J518" s="4" t="s">
        <v>1766</v>
      </c>
      <c r="K518" s="4" t="s">
        <v>1767</v>
      </c>
      <c r="L518" s="4" t="s">
        <v>1768</v>
      </c>
      <c r="M518" s="4" t="s">
        <v>54</v>
      </c>
      <c r="N518" s="4" t="s">
        <v>1761</v>
      </c>
      <c r="O518" s="4" t="s">
        <v>31</v>
      </c>
      <c r="P518" s="4" t="s">
        <v>32</v>
      </c>
      <c r="Q518" s="4" t="s">
        <v>1762</v>
      </c>
      <c r="R518" s="1">
        <v>17.940000000000001</v>
      </c>
      <c r="S518" s="1">
        <v>3</v>
      </c>
      <c r="T518" s="1">
        <v>0</v>
      </c>
      <c r="U518" s="1">
        <v>8.7906000000000013</v>
      </c>
    </row>
    <row r="519" spans="1:21" ht="15.75" x14ac:dyDescent="0.25">
      <c r="A519" s="1">
        <v>518</v>
      </c>
      <c r="B519" s="2" t="s">
        <v>1769</v>
      </c>
      <c r="C519" s="3">
        <v>45068</v>
      </c>
      <c r="D519" s="3">
        <v>45075</v>
      </c>
      <c r="E519" s="1" t="s">
        <v>22</v>
      </c>
      <c r="F519" s="1" t="s">
        <v>1770</v>
      </c>
      <c r="G519" s="1" t="s">
        <v>1771</v>
      </c>
      <c r="H519" s="1" t="s">
        <v>25</v>
      </c>
      <c r="I519" s="1" t="s">
        <v>26</v>
      </c>
      <c r="J519" s="1" t="s">
        <v>1154</v>
      </c>
      <c r="K519" s="1" t="s">
        <v>1205</v>
      </c>
      <c r="L519" s="1">
        <v>35601</v>
      </c>
      <c r="M519" s="1" t="s">
        <v>63</v>
      </c>
      <c r="N519" s="1" t="s">
        <v>1772</v>
      </c>
      <c r="O519" s="1" t="s">
        <v>96</v>
      </c>
      <c r="P519" s="1" t="s">
        <v>97</v>
      </c>
      <c r="Q519" s="1" t="s">
        <v>1773</v>
      </c>
      <c r="R519" s="1">
        <v>135.97999999999999</v>
      </c>
      <c r="S519" s="1">
        <v>2</v>
      </c>
      <c r="T519" s="1">
        <v>0</v>
      </c>
      <c r="U519" s="1">
        <v>33.995000000000005</v>
      </c>
    </row>
    <row r="520" spans="1:21" ht="15.75" x14ac:dyDescent="0.25">
      <c r="A520" s="1">
        <v>519</v>
      </c>
      <c r="B520" s="2" t="s">
        <v>1769</v>
      </c>
      <c r="C520" s="3">
        <v>45068</v>
      </c>
      <c r="D520" s="3">
        <v>45075</v>
      </c>
      <c r="E520" s="1" t="s">
        <v>22</v>
      </c>
      <c r="F520" s="1" t="s">
        <v>1770</v>
      </c>
      <c r="G520" s="1" t="s">
        <v>1771</v>
      </c>
      <c r="H520" s="1" t="s">
        <v>25</v>
      </c>
      <c r="I520" s="1" t="s">
        <v>26</v>
      </c>
      <c r="J520" s="1" t="s">
        <v>1154</v>
      </c>
      <c r="K520" s="1" t="s">
        <v>1205</v>
      </c>
      <c r="L520" s="1">
        <v>35601</v>
      </c>
      <c r="M520" s="1" t="s">
        <v>63</v>
      </c>
      <c r="N520" s="1" t="s">
        <v>1774</v>
      </c>
      <c r="O520" s="1" t="s">
        <v>96</v>
      </c>
      <c r="P520" s="1" t="s">
        <v>97</v>
      </c>
      <c r="Q520" s="1" t="s">
        <v>1775</v>
      </c>
      <c r="R520" s="1">
        <v>44.95</v>
      </c>
      <c r="S520" s="1">
        <v>1</v>
      </c>
      <c r="T520" s="1">
        <v>0</v>
      </c>
      <c r="U520" s="1">
        <v>12.585999999999999</v>
      </c>
    </row>
    <row r="521" spans="1:21" ht="15.75" x14ac:dyDescent="0.25">
      <c r="A521" s="1">
        <v>520</v>
      </c>
      <c r="B521" s="2" t="s">
        <v>1776</v>
      </c>
      <c r="C521" s="3">
        <v>45069</v>
      </c>
      <c r="D521" s="3">
        <v>45073</v>
      </c>
      <c r="E521" s="1" t="s">
        <v>22</v>
      </c>
      <c r="F521" s="1" t="s">
        <v>1777</v>
      </c>
      <c r="G521" s="1" t="s">
        <v>1778</v>
      </c>
      <c r="H521" s="1" t="s">
        <v>25</v>
      </c>
      <c r="I521" s="1" t="s">
        <v>26</v>
      </c>
      <c r="J521" s="1" t="s">
        <v>348</v>
      </c>
      <c r="K521" s="1" t="s">
        <v>349</v>
      </c>
      <c r="L521" s="1">
        <v>10035</v>
      </c>
      <c r="M521" s="1" t="s">
        <v>54</v>
      </c>
      <c r="N521" s="1" t="s">
        <v>1779</v>
      </c>
      <c r="O521" s="1" t="s">
        <v>31</v>
      </c>
      <c r="P521" s="1" t="s">
        <v>205</v>
      </c>
      <c r="Q521" s="1" t="s">
        <v>1780</v>
      </c>
      <c r="R521" s="1">
        <v>208.16</v>
      </c>
      <c r="S521" s="1">
        <v>1</v>
      </c>
      <c r="T521" s="1">
        <v>0</v>
      </c>
      <c r="U521" s="1">
        <v>56.20320000000001</v>
      </c>
    </row>
    <row r="522" spans="1:21" ht="15.75" x14ac:dyDescent="0.25">
      <c r="A522" s="1">
        <v>521</v>
      </c>
      <c r="B522" s="2" t="s">
        <v>1781</v>
      </c>
      <c r="C522" s="3">
        <v>45069</v>
      </c>
      <c r="D522" s="3">
        <v>45073</v>
      </c>
      <c r="E522" s="1" t="s">
        <v>22</v>
      </c>
      <c r="F522" s="1" t="s">
        <v>1492</v>
      </c>
      <c r="G522" s="1" t="s">
        <v>1493</v>
      </c>
      <c r="H522" s="1" t="s">
        <v>25</v>
      </c>
      <c r="I522" s="1" t="s">
        <v>26</v>
      </c>
      <c r="J522" s="1" t="s">
        <v>52</v>
      </c>
      <c r="K522" s="1" t="s">
        <v>53</v>
      </c>
      <c r="L522" s="1">
        <v>19134</v>
      </c>
      <c r="M522" s="1" t="s">
        <v>54</v>
      </c>
      <c r="N522" s="1" t="s">
        <v>1782</v>
      </c>
      <c r="O522" s="1" t="s">
        <v>31</v>
      </c>
      <c r="P522" s="1" t="s">
        <v>56</v>
      </c>
      <c r="Q522" s="1" t="s">
        <v>1783</v>
      </c>
      <c r="R522" s="1">
        <v>21.167999999999999</v>
      </c>
      <c r="S522" s="1">
        <v>9</v>
      </c>
      <c r="T522" s="1">
        <v>0.2</v>
      </c>
      <c r="U522" s="1">
        <v>2.3813999999999984</v>
      </c>
    </row>
    <row r="523" spans="1:21" ht="15.75" x14ac:dyDescent="0.25">
      <c r="A523" s="1">
        <v>522</v>
      </c>
      <c r="B523" s="2" t="s">
        <v>1776</v>
      </c>
      <c r="C523" s="3">
        <v>45069</v>
      </c>
      <c r="D523" s="3">
        <v>45073</v>
      </c>
      <c r="E523" s="1" t="s">
        <v>22</v>
      </c>
      <c r="F523" s="1" t="s">
        <v>1777</v>
      </c>
      <c r="G523" s="1" t="s">
        <v>1778</v>
      </c>
      <c r="H523" s="1" t="s">
        <v>25</v>
      </c>
      <c r="I523" s="1" t="s">
        <v>26</v>
      </c>
      <c r="J523" s="1" t="s">
        <v>348</v>
      </c>
      <c r="K523" s="1" t="s">
        <v>349</v>
      </c>
      <c r="L523" s="1">
        <v>10035</v>
      </c>
      <c r="M523" s="1" t="s">
        <v>54</v>
      </c>
      <c r="N523" s="1" t="s">
        <v>1784</v>
      </c>
      <c r="O523" s="1" t="s">
        <v>31</v>
      </c>
      <c r="P523" s="1" t="s">
        <v>41</v>
      </c>
      <c r="Q523" s="1" t="s">
        <v>1111</v>
      </c>
      <c r="R523" s="1">
        <v>17.96</v>
      </c>
      <c r="S523" s="1">
        <v>5</v>
      </c>
      <c r="T523" s="1">
        <v>0.2</v>
      </c>
      <c r="U523" s="1">
        <v>5.8369999999999997</v>
      </c>
    </row>
    <row r="524" spans="1:21" ht="15.75" x14ac:dyDescent="0.25">
      <c r="A524" s="1">
        <v>523</v>
      </c>
      <c r="B524" s="2" t="s">
        <v>1781</v>
      </c>
      <c r="C524" s="3">
        <v>45069</v>
      </c>
      <c r="D524" s="3">
        <v>45073</v>
      </c>
      <c r="E524" s="1" t="s">
        <v>22</v>
      </c>
      <c r="F524" s="1" t="s">
        <v>1492</v>
      </c>
      <c r="G524" s="1" t="s">
        <v>1493</v>
      </c>
      <c r="H524" s="1" t="s">
        <v>25</v>
      </c>
      <c r="I524" s="1" t="s">
        <v>26</v>
      </c>
      <c r="J524" s="1" t="s">
        <v>52</v>
      </c>
      <c r="K524" s="1" t="s">
        <v>53</v>
      </c>
      <c r="L524" s="1">
        <v>19134</v>
      </c>
      <c r="M524" s="1" t="s">
        <v>54</v>
      </c>
      <c r="N524" s="1" t="s">
        <v>1785</v>
      </c>
      <c r="O524" s="1" t="s">
        <v>31</v>
      </c>
      <c r="P524" s="1" t="s">
        <v>41</v>
      </c>
      <c r="Q524" s="1" t="s">
        <v>1786</v>
      </c>
      <c r="R524" s="1">
        <v>3.2820000000000005</v>
      </c>
      <c r="S524" s="1">
        <v>2</v>
      </c>
      <c r="T524" s="1">
        <v>0.7</v>
      </c>
      <c r="U524" s="1">
        <v>-2.6256000000000004</v>
      </c>
    </row>
    <row r="525" spans="1:21" ht="15.75" x14ac:dyDescent="0.25">
      <c r="A525" s="1">
        <v>524</v>
      </c>
      <c r="B525" s="2" t="s">
        <v>1787</v>
      </c>
      <c r="C525" s="3">
        <v>45069</v>
      </c>
      <c r="D525" s="3">
        <v>45073</v>
      </c>
      <c r="E525" s="1" t="s">
        <v>22</v>
      </c>
      <c r="F525" s="1" t="s">
        <v>184</v>
      </c>
      <c r="G525" s="1" t="s">
        <v>185</v>
      </c>
      <c r="H525" s="1" t="s">
        <v>25</v>
      </c>
      <c r="I525" s="1" t="s">
        <v>26</v>
      </c>
      <c r="J525" s="1" t="s">
        <v>1788</v>
      </c>
      <c r="K525" s="1" t="s">
        <v>388</v>
      </c>
      <c r="L525" s="1">
        <v>98006</v>
      </c>
      <c r="M525" s="1" t="s">
        <v>92</v>
      </c>
      <c r="N525" s="1" t="s">
        <v>1789</v>
      </c>
      <c r="O525" s="1" t="s">
        <v>31</v>
      </c>
      <c r="P525" s="1" t="s">
        <v>32</v>
      </c>
      <c r="Q525" s="1" t="s">
        <v>1790</v>
      </c>
      <c r="R525" s="1">
        <v>12.96</v>
      </c>
      <c r="S525" s="1">
        <v>2</v>
      </c>
      <c r="T525" s="1">
        <v>0</v>
      </c>
      <c r="U525" s="1">
        <v>6.2208000000000006</v>
      </c>
    </row>
    <row r="526" spans="1:21" ht="15.75" x14ac:dyDescent="0.25">
      <c r="A526" s="1">
        <v>525</v>
      </c>
      <c r="B526" s="2" t="s">
        <v>1776</v>
      </c>
      <c r="C526" s="3">
        <v>45069</v>
      </c>
      <c r="D526" s="3">
        <v>45073</v>
      </c>
      <c r="E526" s="1" t="s">
        <v>22</v>
      </c>
      <c r="F526" s="1" t="s">
        <v>1777</v>
      </c>
      <c r="G526" s="1" t="s">
        <v>1778</v>
      </c>
      <c r="H526" s="1" t="s">
        <v>25</v>
      </c>
      <c r="I526" s="1" t="s">
        <v>26</v>
      </c>
      <c r="J526" s="1" t="s">
        <v>348</v>
      </c>
      <c r="K526" s="1" t="s">
        <v>349</v>
      </c>
      <c r="L526" s="1">
        <v>10035</v>
      </c>
      <c r="M526" s="1" t="s">
        <v>54</v>
      </c>
      <c r="N526" s="1" t="s">
        <v>1791</v>
      </c>
      <c r="O526" s="1" t="s">
        <v>31</v>
      </c>
      <c r="P526" s="1" t="s">
        <v>475</v>
      </c>
      <c r="Q526" s="1" t="s">
        <v>1792</v>
      </c>
      <c r="R526" s="1">
        <v>5.04</v>
      </c>
      <c r="S526" s="1">
        <v>2</v>
      </c>
      <c r="T526" s="1">
        <v>0</v>
      </c>
      <c r="U526" s="1">
        <v>0.15120000000000022</v>
      </c>
    </row>
    <row r="527" spans="1:21" ht="15.75" x14ac:dyDescent="0.25">
      <c r="A527" s="1">
        <v>526</v>
      </c>
      <c r="B527" s="2" t="s">
        <v>1781</v>
      </c>
      <c r="C527" s="3">
        <v>45069</v>
      </c>
      <c r="D527" s="3">
        <v>45073</v>
      </c>
      <c r="E527" s="1" t="s">
        <v>22</v>
      </c>
      <c r="F527" s="1" t="s">
        <v>1492</v>
      </c>
      <c r="G527" s="1" t="s">
        <v>1493</v>
      </c>
      <c r="H527" s="1" t="s">
        <v>25</v>
      </c>
      <c r="I527" s="1" t="s">
        <v>26</v>
      </c>
      <c r="J527" s="1" t="s">
        <v>52</v>
      </c>
      <c r="K527" s="1" t="s">
        <v>53</v>
      </c>
      <c r="L527" s="1">
        <v>19134</v>
      </c>
      <c r="M527" s="1" t="s">
        <v>54</v>
      </c>
      <c r="N527" s="1" t="s">
        <v>1793</v>
      </c>
      <c r="O527" s="1" t="s">
        <v>96</v>
      </c>
      <c r="P527" s="1" t="s">
        <v>97</v>
      </c>
      <c r="Q527" s="1" t="s">
        <v>1794</v>
      </c>
      <c r="R527" s="1">
        <v>55.188000000000002</v>
      </c>
      <c r="S527" s="1">
        <v>2</v>
      </c>
      <c r="T527" s="1">
        <v>0.4</v>
      </c>
      <c r="U527" s="1">
        <v>-10.117800000000003</v>
      </c>
    </row>
    <row r="528" spans="1:21" ht="15.75" x14ac:dyDescent="0.25">
      <c r="A528" s="1">
        <v>527</v>
      </c>
      <c r="B528" s="2" t="s">
        <v>1795</v>
      </c>
      <c r="C528" s="3">
        <v>45070</v>
      </c>
      <c r="D528" s="3">
        <v>45076</v>
      </c>
      <c r="E528" s="1" t="s">
        <v>22</v>
      </c>
      <c r="F528" s="1" t="s">
        <v>1796</v>
      </c>
      <c r="G528" s="1" t="s">
        <v>1797</v>
      </c>
      <c r="H528" s="1" t="s">
        <v>25</v>
      </c>
      <c r="I528" s="1" t="s">
        <v>26</v>
      </c>
      <c r="J528" s="1" t="s">
        <v>1313</v>
      </c>
      <c r="K528" s="1" t="s">
        <v>1314</v>
      </c>
      <c r="L528" s="1">
        <v>21215</v>
      </c>
      <c r="M528" s="1" t="s">
        <v>54</v>
      </c>
      <c r="N528" s="1" t="s">
        <v>1798</v>
      </c>
      <c r="O528" s="1" t="s">
        <v>31</v>
      </c>
      <c r="P528" s="1" t="s">
        <v>32</v>
      </c>
      <c r="Q528" s="1" t="s">
        <v>1799</v>
      </c>
      <c r="R528" s="1">
        <v>116.28</v>
      </c>
      <c r="S528" s="1">
        <v>3</v>
      </c>
      <c r="T528" s="1">
        <v>0</v>
      </c>
      <c r="U528" s="1">
        <v>56.977199999999996</v>
      </c>
    </row>
    <row r="529" spans="1:21" ht="15.75" x14ac:dyDescent="0.25">
      <c r="A529" s="1">
        <v>528</v>
      </c>
      <c r="B529" s="2" t="s">
        <v>1800</v>
      </c>
      <c r="C529" s="3">
        <v>45071</v>
      </c>
      <c r="D529" s="3">
        <v>45075</v>
      </c>
      <c r="E529" s="1" t="s">
        <v>22</v>
      </c>
      <c r="F529" s="1" t="s">
        <v>1801</v>
      </c>
      <c r="G529" s="1" t="s">
        <v>1802</v>
      </c>
      <c r="H529" s="1" t="s">
        <v>25</v>
      </c>
      <c r="I529" s="1" t="s">
        <v>26</v>
      </c>
      <c r="J529" s="1" t="s">
        <v>493</v>
      </c>
      <c r="K529" s="1" t="s">
        <v>39</v>
      </c>
      <c r="L529" s="1">
        <v>60623</v>
      </c>
      <c r="M529" s="1" t="s">
        <v>29</v>
      </c>
      <c r="N529" s="1" t="s">
        <v>1803</v>
      </c>
      <c r="O529" s="1" t="s">
        <v>65</v>
      </c>
      <c r="P529" s="1" t="s">
        <v>106</v>
      </c>
      <c r="Q529" s="1" t="s">
        <v>1804</v>
      </c>
      <c r="R529" s="1">
        <v>29.32</v>
      </c>
      <c r="S529" s="1">
        <v>2</v>
      </c>
      <c r="T529" s="1">
        <v>0.6</v>
      </c>
      <c r="U529" s="1">
        <v>-24.188999999999993</v>
      </c>
    </row>
    <row r="530" spans="1:21" ht="15.75" x14ac:dyDescent="0.25">
      <c r="A530" s="1">
        <v>529</v>
      </c>
      <c r="B530" s="2" t="s">
        <v>1800</v>
      </c>
      <c r="C530" s="3">
        <v>45071</v>
      </c>
      <c r="D530" s="3">
        <v>45075</v>
      </c>
      <c r="E530" s="1" t="s">
        <v>22</v>
      </c>
      <c r="F530" s="1" t="s">
        <v>1801</v>
      </c>
      <c r="G530" s="1" t="s">
        <v>1802</v>
      </c>
      <c r="H530" s="1" t="s">
        <v>25</v>
      </c>
      <c r="I530" s="1" t="s">
        <v>26</v>
      </c>
      <c r="J530" s="1" t="s">
        <v>493</v>
      </c>
      <c r="K530" s="1" t="s">
        <v>39</v>
      </c>
      <c r="L530" s="1">
        <v>60623</v>
      </c>
      <c r="M530" s="1" t="s">
        <v>29</v>
      </c>
      <c r="N530" s="1" t="s">
        <v>1805</v>
      </c>
      <c r="O530" s="1" t="s">
        <v>31</v>
      </c>
      <c r="P530" s="1" t="s">
        <v>205</v>
      </c>
      <c r="Q530" s="1" t="s">
        <v>1806</v>
      </c>
      <c r="R530" s="1">
        <v>75.59999999999998</v>
      </c>
      <c r="S530" s="1">
        <v>2</v>
      </c>
      <c r="T530" s="1">
        <v>0.8</v>
      </c>
      <c r="U530" s="1">
        <v>-166.32000000000005</v>
      </c>
    </row>
    <row r="531" spans="1:21" ht="15.75" x14ac:dyDescent="0.25">
      <c r="A531" s="1">
        <v>530</v>
      </c>
      <c r="B531" s="2" t="s">
        <v>1807</v>
      </c>
      <c r="C531" s="3">
        <v>45071</v>
      </c>
      <c r="D531" s="3">
        <v>45075</v>
      </c>
      <c r="E531" s="1" t="s">
        <v>22</v>
      </c>
      <c r="F531" s="1" t="s">
        <v>1808</v>
      </c>
      <c r="G531" s="1" t="s">
        <v>1809</v>
      </c>
      <c r="H531" s="1" t="s">
        <v>25</v>
      </c>
      <c r="I531" s="1" t="s">
        <v>26</v>
      </c>
      <c r="J531" s="1" t="s">
        <v>348</v>
      </c>
      <c r="K531" s="1" t="s">
        <v>349</v>
      </c>
      <c r="L531" s="1">
        <v>10035</v>
      </c>
      <c r="M531" s="1" t="s">
        <v>54</v>
      </c>
      <c r="N531" s="1" t="s">
        <v>1810</v>
      </c>
      <c r="O531" s="1" t="s">
        <v>31</v>
      </c>
      <c r="P531" s="1" t="s">
        <v>32</v>
      </c>
      <c r="Q531" s="1" t="s">
        <v>1811</v>
      </c>
      <c r="R531" s="1">
        <v>14.62</v>
      </c>
      <c r="S531" s="1">
        <v>2</v>
      </c>
      <c r="T531" s="1">
        <v>0</v>
      </c>
      <c r="U531" s="1">
        <v>6.7251999999999992</v>
      </c>
    </row>
    <row r="532" spans="1:21" ht="15.75" x14ac:dyDescent="0.25">
      <c r="A532" s="1">
        <v>531</v>
      </c>
      <c r="B532" s="2" t="s">
        <v>1812</v>
      </c>
      <c r="C532" s="3">
        <v>45072</v>
      </c>
      <c r="D532" s="3">
        <v>45076</v>
      </c>
      <c r="E532" s="1" t="s">
        <v>22</v>
      </c>
      <c r="F532" s="1" t="s">
        <v>465</v>
      </c>
      <c r="G532" s="1" t="s">
        <v>466</v>
      </c>
      <c r="H532" s="1" t="s">
        <v>74</v>
      </c>
      <c r="I532" s="1" t="s">
        <v>26</v>
      </c>
      <c r="J532" s="1" t="s">
        <v>90</v>
      </c>
      <c r="K532" s="1" t="s">
        <v>91</v>
      </c>
      <c r="L532" s="1">
        <v>90008</v>
      </c>
      <c r="M532" s="1" t="s">
        <v>92</v>
      </c>
      <c r="N532" s="1" t="s">
        <v>1813</v>
      </c>
      <c r="O532" s="1" t="s">
        <v>65</v>
      </c>
      <c r="P532" s="1" t="s">
        <v>140</v>
      </c>
      <c r="Q532" s="1" t="s">
        <v>1814</v>
      </c>
      <c r="R532" s="1">
        <v>290.666</v>
      </c>
      <c r="S532" s="1">
        <v>2</v>
      </c>
      <c r="T532" s="1">
        <v>0.15</v>
      </c>
      <c r="U532" s="1">
        <v>27.356800000000007</v>
      </c>
    </row>
    <row r="533" spans="1:21" ht="15.75" x14ac:dyDescent="0.25">
      <c r="A533" s="1">
        <v>532</v>
      </c>
      <c r="B533" s="2" t="s">
        <v>1815</v>
      </c>
      <c r="C533" s="3">
        <v>45072</v>
      </c>
      <c r="D533" s="3">
        <v>45076</v>
      </c>
      <c r="E533" s="1" t="s">
        <v>22</v>
      </c>
      <c r="F533" s="1" t="s">
        <v>1816</v>
      </c>
      <c r="G533" s="1" t="s">
        <v>1817</v>
      </c>
      <c r="H533" s="1" t="s">
        <v>25</v>
      </c>
      <c r="I533" s="1" t="s">
        <v>26</v>
      </c>
      <c r="J533" s="1" t="s">
        <v>90</v>
      </c>
      <c r="K533" s="1" t="s">
        <v>91</v>
      </c>
      <c r="L533" s="1">
        <v>90008</v>
      </c>
      <c r="M533" s="1" t="s">
        <v>92</v>
      </c>
      <c r="N533" s="1" t="s">
        <v>1818</v>
      </c>
      <c r="O533" s="1" t="s">
        <v>65</v>
      </c>
      <c r="P533" s="1" t="s">
        <v>66</v>
      </c>
      <c r="Q533" s="1" t="s">
        <v>1819</v>
      </c>
      <c r="R533" s="1">
        <v>225.29600000000002</v>
      </c>
      <c r="S533" s="1">
        <v>2</v>
      </c>
      <c r="T533" s="1">
        <v>0.2</v>
      </c>
      <c r="U533" s="1">
        <v>22.529599999999995</v>
      </c>
    </row>
    <row r="534" spans="1:21" ht="15.75" x14ac:dyDescent="0.25">
      <c r="A534" s="1">
        <v>533</v>
      </c>
      <c r="B534" s="2" t="s">
        <v>1820</v>
      </c>
      <c r="C534" s="3">
        <v>45072</v>
      </c>
      <c r="D534" s="3">
        <v>45077</v>
      </c>
      <c r="E534" s="1" t="s">
        <v>22</v>
      </c>
      <c r="F534" s="1" t="s">
        <v>1264</v>
      </c>
      <c r="G534" s="1" t="s">
        <v>1265</v>
      </c>
      <c r="H534" s="1" t="s">
        <v>25</v>
      </c>
      <c r="I534" s="1" t="s">
        <v>26</v>
      </c>
      <c r="J534" s="1" t="s">
        <v>493</v>
      </c>
      <c r="K534" s="1" t="s">
        <v>39</v>
      </c>
      <c r="L534" s="1">
        <v>60623</v>
      </c>
      <c r="M534" s="1" t="s">
        <v>29</v>
      </c>
      <c r="N534" s="1" t="s">
        <v>1821</v>
      </c>
      <c r="O534" s="1" t="s">
        <v>65</v>
      </c>
      <c r="P534" s="1" t="s">
        <v>66</v>
      </c>
      <c r="Q534" s="1" t="s">
        <v>1822</v>
      </c>
      <c r="R534" s="1">
        <v>359.77199999999999</v>
      </c>
      <c r="S534" s="1">
        <v>2</v>
      </c>
      <c r="T534" s="1">
        <v>0.3</v>
      </c>
      <c r="U534" s="1">
        <v>-5.1396000000000583</v>
      </c>
    </row>
    <row r="535" spans="1:21" ht="15.75" x14ac:dyDescent="0.25">
      <c r="A535" s="1">
        <v>534</v>
      </c>
      <c r="B535" s="2" t="s">
        <v>1820</v>
      </c>
      <c r="C535" s="3">
        <v>45072</v>
      </c>
      <c r="D535" s="3">
        <v>45077</v>
      </c>
      <c r="E535" s="1" t="s">
        <v>22</v>
      </c>
      <c r="F535" s="1" t="s">
        <v>1264</v>
      </c>
      <c r="G535" s="1" t="s">
        <v>1265</v>
      </c>
      <c r="H535" s="1" t="s">
        <v>25</v>
      </c>
      <c r="I535" s="1" t="s">
        <v>26</v>
      </c>
      <c r="J535" s="1" t="s">
        <v>493</v>
      </c>
      <c r="K535" s="1" t="s">
        <v>39</v>
      </c>
      <c r="L535" s="1">
        <v>60623</v>
      </c>
      <c r="M535" s="1" t="s">
        <v>29</v>
      </c>
      <c r="N535" s="1" t="s">
        <v>1602</v>
      </c>
      <c r="O535" s="1" t="s">
        <v>31</v>
      </c>
      <c r="P535" s="1" t="s">
        <v>56</v>
      </c>
      <c r="Q535" s="1" t="s">
        <v>1603</v>
      </c>
      <c r="R535" s="1">
        <v>13.392000000000001</v>
      </c>
      <c r="S535" s="1">
        <v>3</v>
      </c>
      <c r="T535" s="1">
        <v>0.2</v>
      </c>
      <c r="U535" s="1">
        <v>3.1806000000000005</v>
      </c>
    </row>
    <row r="536" spans="1:21" ht="15.75" x14ac:dyDescent="0.25">
      <c r="A536" s="1">
        <v>535</v>
      </c>
      <c r="B536" s="2" t="s">
        <v>1823</v>
      </c>
      <c r="C536" s="3">
        <v>45072</v>
      </c>
      <c r="D536" s="3">
        <v>45075</v>
      </c>
      <c r="E536" s="1" t="s">
        <v>71</v>
      </c>
      <c r="F536" s="1" t="s">
        <v>1824</v>
      </c>
      <c r="G536" s="1" t="s">
        <v>1825</v>
      </c>
      <c r="H536" s="1" t="s">
        <v>37</v>
      </c>
      <c r="I536" s="1" t="s">
        <v>26</v>
      </c>
      <c r="J536" s="1" t="s">
        <v>1826</v>
      </c>
      <c r="K536" s="1" t="s">
        <v>733</v>
      </c>
      <c r="L536" s="1">
        <v>84107</v>
      </c>
      <c r="M536" s="1" t="s">
        <v>92</v>
      </c>
      <c r="N536" s="1" t="s">
        <v>261</v>
      </c>
      <c r="O536" s="1" t="s">
        <v>31</v>
      </c>
      <c r="P536" s="1" t="s">
        <v>32</v>
      </c>
      <c r="Q536" s="1" t="s">
        <v>262</v>
      </c>
      <c r="R536" s="1">
        <v>48.4</v>
      </c>
      <c r="S536" s="1">
        <v>5</v>
      </c>
      <c r="T536" s="1">
        <v>0</v>
      </c>
      <c r="U536" s="1">
        <v>23.231999999999999</v>
      </c>
    </row>
    <row r="537" spans="1:21" ht="15.75" x14ac:dyDescent="0.25">
      <c r="A537" s="1">
        <v>536</v>
      </c>
      <c r="B537" s="2" t="s">
        <v>1820</v>
      </c>
      <c r="C537" s="3">
        <v>45072</v>
      </c>
      <c r="D537" s="3">
        <v>45077</v>
      </c>
      <c r="E537" s="1" t="s">
        <v>22</v>
      </c>
      <c r="F537" s="1" t="s">
        <v>1264</v>
      </c>
      <c r="G537" s="1" t="s">
        <v>1265</v>
      </c>
      <c r="H537" s="1" t="s">
        <v>25</v>
      </c>
      <c r="I537" s="1" t="s">
        <v>26</v>
      </c>
      <c r="J537" s="1" t="s">
        <v>493</v>
      </c>
      <c r="K537" s="1" t="s">
        <v>39</v>
      </c>
      <c r="L537" s="1">
        <v>60623</v>
      </c>
      <c r="M537" s="1" t="s">
        <v>29</v>
      </c>
      <c r="N537" s="1" t="s">
        <v>1827</v>
      </c>
      <c r="O537" s="1" t="s">
        <v>31</v>
      </c>
      <c r="P537" s="1" t="s">
        <v>47</v>
      </c>
      <c r="Q537" s="1" t="s">
        <v>1828</v>
      </c>
      <c r="R537" s="1">
        <v>102.624</v>
      </c>
      <c r="S537" s="1">
        <v>3</v>
      </c>
      <c r="T537" s="1">
        <v>0.2</v>
      </c>
      <c r="U537" s="1">
        <v>7.6968000000000032</v>
      </c>
    </row>
    <row r="538" spans="1:21" ht="15.75" x14ac:dyDescent="0.25">
      <c r="A538" s="1">
        <v>537</v>
      </c>
      <c r="B538" s="2" t="s">
        <v>1812</v>
      </c>
      <c r="C538" s="3">
        <v>45072</v>
      </c>
      <c r="D538" s="3">
        <v>45076</v>
      </c>
      <c r="E538" s="1" t="s">
        <v>22</v>
      </c>
      <c r="F538" s="1" t="s">
        <v>465</v>
      </c>
      <c r="G538" s="1" t="s">
        <v>466</v>
      </c>
      <c r="H538" s="1" t="s">
        <v>74</v>
      </c>
      <c r="I538" s="1" t="s">
        <v>26</v>
      </c>
      <c r="J538" s="1" t="s">
        <v>90</v>
      </c>
      <c r="K538" s="1" t="s">
        <v>91</v>
      </c>
      <c r="L538" s="1">
        <v>90008</v>
      </c>
      <c r="M538" s="1" t="s">
        <v>92</v>
      </c>
      <c r="N538" s="1" t="s">
        <v>1829</v>
      </c>
      <c r="O538" s="1" t="s">
        <v>96</v>
      </c>
      <c r="P538" s="1" t="s">
        <v>97</v>
      </c>
      <c r="Q538" s="1" t="s">
        <v>1830</v>
      </c>
      <c r="R538" s="1">
        <v>201.584</v>
      </c>
      <c r="S538" s="1">
        <v>2</v>
      </c>
      <c r="T538" s="1">
        <v>0.2</v>
      </c>
      <c r="U538" s="1">
        <v>20.158400000000015</v>
      </c>
    </row>
    <row r="539" spans="1:21" ht="15.75" x14ac:dyDescent="0.25">
      <c r="A539" s="1">
        <v>538</v>
      </c>
      <c r="B539" s="2" t="s">
        <v>1812</v>
      </c>
      <c r="C539" s="3">
        <v>45072</v>
      </c>
      <c r="D539" s="3">
        <v>45076</v>
      </c>
      <c r="E539" s="1" t="s">
        <v>22</v>
      </c>
      <c r="F539" s="1" t="s">
        <v>465</v>
      </c>
      <c r="G539" s="1" t="s">
        <v>466</v>
      </c>
      <c r="H539" s="1" t="s">
        <v>74</v>
      </c>
      <c r="I539" s="1" t="s">
        <v>26</v>
      </c>
      <c r="J539" s="1" t="s">
        <v>90</v>
      </c>
      <c r="K539" s="1" t="s">
        <v>91</v>
      </c>
      <c r="L539" s="1">
        <v>90008</v>
      </c>
      <c r="M539" s="1" t="s">
        <v>92</v>
      </c>
      <c r="N539" s="1" t="s">
        <v>1831</v>
      </c>
      <c r="O539" s="1" t="s">
        <v>96</v>
      </c>
      <c r="P539" s="1" t="s">
        <v>97</v>
      </c>
      <c r="Q539" s="1" t="s">
        <v>1832</v>
      </c>
      <c r="R539" s="1">
        <v>83.984000000000009</v>
      </c>
      <c r="S539" s="1">
        <v>2</v>
      </c>
      <c r="T539" s="1">
        <v>0.2</v>
      </c>
      <c r="U539" s="1">
        <v>31.494</v>
      </c>
    </row>
    <row r="540" spans="1:21" ht="15.75" x14ac:dyDescent="0.25">
      <c r="A540" s="1">
        <v>539</v>
      </c>
      <c r="B540" s="2" t="s">
        <v>1833</v>
      </c>
      <c r="C540" s="3">
        <v>45073</v>
      </c>
      <c r="D540" s="3">
        <v>45073</v>
      </c>
      <c r="E540" s="1" t="s">
        <v>497</v>
      </c>
      <c r="F540" s="1" t="s">
        <v>1834</v>
      </c>
      <c r="G540" s="1" t="s">
        <v>1835</v>
      </c>
      <c r="H540" s="1" t="s">
        <v>74</v>
      </c>
      <c r="I540" s="1" t="s">
        <v>26</v>
      </c>
      <c r="J540" s="1" t="s">
        <v>337</v>
      </c>
      <c r="K540" s="1" t="s">
        <v>91</v>
      </c>
      <c r="L540" s="1">
        <v>92105</v>
      </c>
      <c r="M540" s="1" t="s">
        <v>92</v>
      </c>
      <c r="N540" s="1" t="s">
        <v>1836</v>
      </c>
      <c r="O540" s="1" t="s">
        <v>65</v>
      </c>
      <c r="P540" s="1" t="s">
        <v>339</v>
      </c>
      <c r="Q540" s="1" t="s">
        <v>1837</v>
      </c>
      <c r="R540" s="1">
        <v>567.12</v>
      </c>
      <c r="S540" s="1">
        <v>10</v>
      </c>
      <c r="T540" s="1">
        <v>0.2</v>
      </c>
      <c r="U540" s="1">
        <v>-28.355999999999952</v>
      </c>
    </row>
    <row r="541" spans="1:21" ht="15.75" x14ac:dyDescent="0.25">
      <c r="A541" s="1">
        <v>540</v>
      </c>
      <c r="B541" s="2" t="s">
        <v>1838</v>
      </c>
      <c r="C541" s="3">
        <v>45073</v>
      </c>
      <c r="D541" s="3">
        <v>45076</v>
      </c>
      <c r="E541" s="1" t="s">
        <v>71</v>
      </c>
      <c r="F541" s="1" t="s">
        <v>1839</v>
      </c>
      <c r="G541" s="1" t="s">
        <v>1840</v>
      </c>
      <c r="H541" s="1" t="s">
        <v>25</v>
      </c>
      <c r="I541" s="1" t="s">
        <v>26</v>
      </c>
      <c r="J541" s="1" t="s">
        <v>493</v>
      </c>
      <c r="K541" s="1" t="s">
        <v>39</v>
      </c>
      <c r="L541" s="1">
        <v>60653</v>
      </c>
      <c r="M541" s="1" t="s">
        <v>29</v>
      </c>
      <c r="N541" s="1" t="s">
        <v>1841</v>
      </c>
      <c r="O541" s="1" t="s">
        <v>31</v>
      </c>
      <c r="P541" s="1" t="s">
        <v>41</v>
      </c>
      <c r="Q541" s="1" t="s">
        <v>1842</v>
      </c>
      <c r="R541" s="1">
        <v>17.459999999999997</v>
      </c>
      <c r="S541" s="1">
        <v>6</v>
      </c>
      <c r="T541" s="1">
        <v>0.8</v>
      </c>
      <c r="U541" s="1">
        <v>-30.555000000000007</v>
      </c>
    </row>
    <row r="542" spans="1:21" ht="15.75" x14ac:dyDescent="0.25">
      <c r="A542" s="1">
        <v>541</v>
      </c>
      <c r="B542" s="2" t="s">
        <v>1833</v>
      </c>
      <c r="C542" s="3">
        <v>45073</v>
      </c>
      <c r="D542" s="3">
        <v>45073</v>
      </c>
      <c r="E542" s="1" t="s">
        <v>497</v>
      </c>
      <c r="F542" s="1" t="s">
        <v>1834</v>
      </c>
      <c r="G542" s="1" t="s">
        <v>1835</v>
      </c>
      <c r="H542" s="1" t="s">
        <v>74</v>
      </c>
      <c r="I542" s="1" t="s">
        <v>26</v>
      </c>
      <c r="J542" s="1" t="s">
        <v>337</v>
      </c>
      <c r="K542" s="1" t="s">
        <v>91</v>
      </c>
      <c r="L542" s="1">
        <v>92105</v>
      </c>
      <c r="M542" s="1" t="s">
        <v>92</v>
      </c>
      <c r="N542" s="1" t="s">
        <v>1843</v>
      </c>
      <c r="O542" s="1" t="s">
        <v>31</v>
      </c>
      <c r="P542" s="1" t="s">
        <v>47</v>
      </c>
      <c r="Q542" s="1" t="s">
        <v>1844</v>
      </c>
      <c r="R542" s="1">
        <v>359.32</v>
      </c>
      <c r="S542" s="1">
        <v>4</v>
      </c>
      <c r="T542" s="1">
        <v>0</v>
      </c>
      <c r="U542" s="1">
        <v>7.1863999999999919</v>
      </c>
    </row>
    <row r="543" spans="1:21" ht="15.75" x14ac:dyDescent="0.25">
      <c r="A543" s="1">
        <v>542</v>
      </c>
      <c r="B543" s="2" t="s">
        <v>1845</v>
      </c>
      <c r="C543" s="3">
        <v>45073</v>
      </c>
      <c r="D543" s="3">
        <v>45078</v>
      </c>
      <c r="E543" s="1" t="s">
        <v>87</v>
      </c>
      <c r="F543" s="1" t="s">
        <v>1414</v>
      </c>
      <c r="G543" s="1" t="s">
        <v>1415</v>
      </c>
      <c r="H543" s="1" t="s">
        <v>25</v>
      </c>
      <c r="I543" s="1" t="s">
        <v>26</v>
      </c>
      <c r="J543" s="1" t="s">
        <v>138</v>
      </c>
      <c r="K543" s="1" t="s">
        <v>91</v>
      </c>
      <c r="L543" s="1">
        <v>94109</v>
      </c>
      <c r="M543" s="1" t="s">
        <v>92</v>
      </c>
      <c r="N543" s="1" t="s">
        <v>1846</v>
      </c>
      <c r="O543" s="1" t="s">
        <v>96</v>
      </c>
      <c r="P543" s="1" t="s">
        <v>117</v>
      </c>
      <c r="Q543" s="1" t="s">
        <v>1847</v>
      </c>
      <c r="R543" s="1">
        <v>99.99</v>
      </c>
      <c r="S543" s="1">
        <v>1</v>
      </c>
      <c r="T543" s="1">
        <v>0</v>
      </c>
      <c r="U543" s="1">
        <v>37.996200000000002</v>
      </c>
    </row>
    <row r="544" spans="1:21" ht="15.75" x14ac:dyDescent="0.25">
      <c r="A544" s="1">
        <v>543</v>
      </c>
      <c r="B544" s="2" t="s">
        <v>1845</v>
      </c>
      <c r="C544" s="3">
        <v>45073</v>
      </c>
      <c r="D544" s="3">
        <v>45078</v>
      </c>
      <c r="E544" s="1" t="s">
        <v>87</v>
      </c>
      <c r="F544" s="1" t="s">
        <v>1414</v>
      </c>
      <c r="G544" s="1" t="s">
        <v>1415</v>
      </c>
      <c r="H544" s="1" t="s">
        <v>25</v>
      </c>
      <c r="I544" s="1" t="s">
        <v>26</v>
      </c>
      <c r="J544" s="1" t="s">
        <v>138</v>
      </c>
      <c r="K544" s="1" t="s">
        <v>91</v>
      </c>
      <c r="L544" s="1">
        <v>94109</v>
      </c>
      <c r="M544" s="1" t="s">
        <v>92</v>
      </c>
      <c r="N544" s="1" t="s">
        <v>1848</v>
      </c>
      <c r="O544" s="1" t="s">
        <v>96</v>
      </c>
      <c r="P544" s="1" t="s">
        <v>97</v>
      </c>
      <c r="Q544" s="1" t="s">
        <v>1849</v>
      </c>
      <c r="R544" s="1">
        <v>1113.5039999999999</v>
      </c>
      <c r="S544" s="1">
        <v>12</v>
      </c>
      <c r="T544" s="1">
        <v>0.2</v>
      </c>
      <c r="U544" s="1">
        <v>125.2691999999999</v>
      </c>
    </row>
    <row r="545" spans="1:21" ht="15.75" x14ac:dyDescent="0.25">
      <c r="A545" s="1">
        <v>544</v>
      </c>
      <c r="B545" s="2" t="s">
        <v>1850</v>
      </c>
      <c r="C545" s="3">
        <v>45074</v>
      </c>
      <c r="D545" s="3">
        <v>45078</v>
      </c>
      <c r="E545" s="1" t="s">
        <v>22</v>
      </c>
      <c r="F545" s="1" t="s">
        <v>1851</v>
      </c>
      <c r="G545" s="1" t="s">
        <v>1852</v>
      </c>
      <c r="H545" s="1" t="s">
        <v>25</v>
      </c>
      <c r="I545" s="1" t="s">
        <v>26</v>
      </c>
      <c r="J545" s="1" t="s">
        <v>387</v>
      </c>
      <c r="K545" s="1" t="s">
        <v>388</v>
      </c>
      <c r="L545" s="1">
        <v>98105</v>
      </c>
      <c r="M545" s="1" t="s">
        <v>92</v>
      </c>
      <c r="N545" s="1" t="s">
        <v>1853</v>
      </c>
      <c r="O545" s="1" t="s">
        <v>31</v>
      </c>
      <c r="P545" s="1" t="s">
        <v>41</v>
      </c>
      <c r="Q545" s="1" t="s">
        <v>1854</v>
      </c>
      <c r="R545" s="1">
        <v>136.96</v>
      </c>
      <c r="S545" s="1">
        <v>4</v>
      </c>
      <c r="T545" s="1">
        <v>0.2</v>
      </c>
      <c r="U545" s="1">
        <v>51.359999999999992</v>
      </c>
    </row>
    <row r="546" spans="1:21" ht="15.75" x14ac:dyDescent="0.25">
      <c r="A546" s="1">
        <v>545</v>
      </c>
      <c r="B546" s="2" t="s">
        <v>1855</v>
      </c>
      <c r="C546" s="3">
        <v>45074</v>
      </c>
      <c r="D546" s="3">
        <v>45079</v>
      </c>
      <c r="E546" s="1" t="s">
        <v>22</v>
      </c>
      <c r="F546" s="1" t="s">
        <v>1856</v>
      </c>
      <c r="G546" s="1" t="s">
        <v>1857</v>
      </c>
      <c r="H546" s="1" t="s">
        <v>74</v>
      </c>
      <c r="I546" s="1" t="s">
        <v>26</v>
      </c>
      <c r="J546" s="1" t="s">
        <v>387</v>
      </c>
      <c r="K546" s="1" t="s">
        <v>388</v>
      </c>
      <c r="L546" s="1">
        <v>98115</v>
      </c>
      <c r="M546" s="1" t="s">
        <v>92</v>
      </c>
      <c r="N546" s="1" t="s">
        <v>751</v>
      </c>
      <c r="O546" s="1" t="s">
        <v>96</v>
      </c>
      <c r="P546" s="1" t="s">
        <v>117</v>
      </c>
      <c r="Q546" s="1" t="s">
        <v>752</v>
      </c>
      <c r="R546" s="1">
        <v>27.6</v>
      </c>
      <c r="S546" s="1">
        <v>4</v>
      </c>
      <c r="T546" s="1">
        <v>0</v>
      </c>
      <c r="U546" s="1">
        <v>2.2079999999999984</v>
      </c>
    </row>
    <row r="547" spans="1:21" ht="15.75" x14ac:dyDescent="0.25">
      <c r="A547" s="1">
        <v>546</v>
      </c>
      <c r="B547" s="2" t="s">
        <v>1855</v>
      </c>
      <c r="C547" s="3">
        <v>45074</v>
      </c>
      <c r="D547" s="3">
        <v>45079</v>
      </c>
      <c r="E547" s="1" t="s">
        <v>22</v>
      </c>
      <c r="F547" s="1" t="s">
        <v>1856</v>
      </c>
      <c r="G547" s="1" t="s">
        <v>1857</v>
      </c>
      <c r="H547" s="1" t="s">
        <v>74</v>
      </c>
      <c r="I547" s="1" t="s">
        <v>26</v>
      </c>
      <c r="J547" s="1" t="s">
        <v>387</v>
      </c>
      <c r="K547" s="1" t="s">
        <v>388</v>
      </c>
      <c r="L547" s="1">
        <v>98115</v>
      </c>
      <c r="M547" s="1" t="s">
        <v>92</v>
      </c>
      <c r="N547" s="1" t="s">
        <v>1858</v>
      </c>
      <c r="O547" s="1" t="s">
        <v>96</v>
      </c>
      <c r="P547" s="1" t="s">
        <v>97</v>
      </c>
      <c r="Q547" s="1" t="s">
        <v>1859</v>
      </c>
      <c r="R547" s="1">
        <v>57.408000000000008</v>
      </c>
      <c r="S547" s="1">
        <v>6</v>
      </c>
      <c r="T547" s="1">
        <v>0.2</v>
      </c>
      <c r="U547" s="1">
        <v>5.7408000000000019</v>
      </c>
    </row>
    <row r="548" spans="1:21" ht="15.75" x14ac:dyDescent="0.25">
      <c r="A548" s="1">
        <v>547</v>
      </c>
      <c r="B548" s="2" t="s">
        <v>1860</v>
      </c>
      <c r="C548" s="3">
        <v>45076</v>
      </c>
      <c r="D548" s="3">
        <v>45082</v>
      </c>
      <c r="E548" s="1" t="s">
        <v>22</v>
      </c>
      <c r="F548" s="1" t="s">
        <v>1861</v>
      </c>
      <c r="G548" s="1" t="s">
        <v>1862</v>
      </c>
      <c r="H548" s="1" t="s">
        <v>25</v>
      </c>
      <c r="I548" s="1" t="s">
        <v>26</v>
      </c>
      <c r="J548" s="1" t="s">
        <v>1863</v>
      </c>
      <c r="K548" s="1" t="s">
        <v>39</v>
      </c>
      <c r="L548" s="1">
        <v>60089</v>
      </c>
      <c r="M548" s="1" t="s">
        <v>29</v>
      </c>
      <c r="N548" s="1" t="s">
        <v>1864</v>
      </c>
      <c r="O548" s="1" t="s">
        <v>65</v>
      </c>
      <c r="P548" s="1" t="s">
        <v>339</v>
      </c>
      <c r="Q548" s="1" t="s">
        <v>1865</v>
      </c>
      <c r="R548" s="1">
        <v>355.45499999999998</v>
      </c>
      <c r="S548" s="1">
        <v>3</v>
      </c>
      <c r="T548" s="1">
        <v>0.5</v>
      </c>
      <c r="U548" s="1">
        <v>-184.83660000000003</v>
      </c>
    </row>
    <row r="549" spans="1:21" ht="15.75" x14ac:dyDescent="0.25">
      <c r="A549" s="1">
        <v>548</v>
      </c>
      <c r="B549" s="2" t="s">
        <v>1866</v>
      </c>
      <c r="C549" s="3">
        <v>45076</v>
      </c>
      <c r="D549" s="3">
        <v>45078</v>
      </c>
      <c r="E549" s="1" t="s">
        <v>71</v>
      </c>
      <c r="F549" s="1" t="s">
        <v>1867</v>
      </c>
      <c r="G549" s="1" t="s">
        <v>1868</v>
      </c>
      <c r="H549" s="1" t="s">
        <v>74</v>
      </c>
      <c r="I549" s="1" t="s">
        <v>26</v>
      </c>
      <c r="J549" s="1" t="s">
        <v>348</v>
      </c>
      <c r="K549" s="1" t="s">
        <v>349</v>
      </c>
      <c r="L549" s="1">
        <v>10024</v>
      </c>
      <c r="M549" s="1" t="s">
        <v>54</v>
      </c>
      <c r="N549" s="1" t="s">
        <v>1869</v>
      </c>
      <c r="O549" s="1" t="s">
        <v>31</v>
      </c>
      <c r="P549" s="1" t="s">
        <v>205</v>
      </c>
      <c r="Q549" s="1" t="s">
        <v>1870</v>
      </c>
      <c r="R549" s="1">
        <v>235.95000000000002</v>
      </c>
      <c r="S549" s="1">
        <v>3</v>
      </c>
      <c r="T549" s="1">
        <v>0</v>
      </c>
      <c r="U549" s="1">
        <v>77.863499999999988</v>
      </c>
    </row>
    <row r="550" spans="1:21" ht="15.75" x14ac:dyDescent="0.25">
      <c r="A550" s="1">
        <v>549</v>
      </c>
      <c r="B550" s="2" t="s">
        <v>1871</v>
      </c>
      <c r="C550" s="3">
        <v>45076</v>
      </c>
      <c r="D550" s="3">
        <v>45083</v>
      </c>
      <c r="E550" s="1" t="s">
        <v>22</v>
      </c>
      <c r="F550" s="1" t="s">
        <v>1872</v>
      </c>
      <c r="G550" s="1" t="s">
        <v>1873</v>
      </c>
      <c r="H550" s="1" t="s">
        <v>25</v>
      </c>
      <c r="I550" s="1" t="s">
        <v>26</v>
      </c>
      <c r="J550" s="1" t="s">
        <v>348</v>
      </c>
      <c r="K550" s="1" t="s">
        <v>349</v>
      </c>
      <c r="L550" s="1">
        <v>10024</v>
      </c>
      <c r="M550" s="1" t="s">
        <v>54</v>
      </c>
      <c r="N550" s="1" t="s">
        <v>1563</v>
      </c>
      <c r="O550" s="1" t="s">
        <v>31</v>
      </c>
      <c r="P550" s="1" t="s">
        <v>41</v>
      </c>
      <c r="Q550" s="1" t="s">
        <v>1564</v>
      </c>
      <c r="R550" s="1">
        <v>70.367999999999995</v>
      </c>
      <c r="S550" s="1">
        <v>4</v>
      </c>
      <c r="T550" s="1">
        <v>0.2</v>
      </c>
      <c r="U550" s="1">
        <v>26.387999999999998</v>
      </c>
    </row>
    <row r="551" spans="1:21" ht="15.75" x14ac:dyDescent="0.25">
      <c r="A551" s="1">
        <v>550</v>
      </c>
      <c r="B551" s="2" t="s">
        <v>1866</v>
      </c>
      <c r="C551" s="3">
        <v>45076</v>
      </c>
      <c r="D551" s="3">
        <v>45078</v>
      </c>
      <c r="E551" s="1" t="s">
        <v>71</v>
      </c>
      <c r="F551" s="1" t="s">
        <v>1867</v>
      </c>
      <c r="G551" s="1" t="s">
        <v>1868</v>
      </c>
      <c r="H551" s="1" t="s">
        <v>74</v>
      </c>
      <c r="I551" s="1" t="s">
        <v>26</v>
      </c>
      <c r="J551" s="1" t="s">
        <v>348</v>
      </c>
      <c r="K551" s="1" t="s">
        <v>349</v>
      </c>
      <c r="L551" s="1">
        <v>10024</v>
      </c>
      <c r="M551" s="1" t="s">
        <v>54</v>
      </c>
      <c r="N551" s="1" t="s">
        <v>1874</v>
      </c>
      <c r="O551" s="1" t="s">
        <v>31</v>
      </c>
      <c r="P551" s="1" t="s">
        <v>41</v>
      </c>
      <c r="Q551" s="1" t="s">
        <v>1875</v>
      </c>
      <c r="R551" s="1">
        <v>25.584000000000003</v>
      </c>
      <c r="S551" s="1">
        <v>2</v>
      </c>
      <c r="T551" s="1">
        <v>0.2</v>
      </c>
      <c r="U551" s="1">
        <v>8.9543999999999997</v>
      </c>
    </row>
    <row r="552" spans="1:21" ht="15.75" x14ac:dyDescent="0.25">
      <c r="A552" s="1">
        <v>551</v>
      </c>
      <c r="B552" s="2" t="s">
        <v>1876</v>
      </c>
      <c r="C552" s="3">
        <v>45076</v>
      </c>
      <c r="D552" s="3">
        <v>45082</v>
      </c>
      <c r="E552" s="1" t="s">
        <v>22</v>
      </c>
      <c r="F552" s="1" t="s">
        <v>1877</v>
      </c>
      <c r="G552" s="1" t="s">
        <v>1878</v>
      </c>
      <c r="H552" s="1" t="s">
        <v>74</v>
      </c>
      <c r="I552" s="1" t="s">
        <v>26</v>
      </c>
      <c r="J552" s="1" t="s">
        <v>512</v>
      </c>
      <c r="K552" s="1" t="s">
        <v>123</v>
      </c>
      <c r="L552" s="1">
        <v>23223</v>
      </c>
      <c r="M552" s="1" t="s">
        <v>63</v>
      </c>
      <c r="N552" s="1" t="s">
        <v>1879</v>
      </c>
      <c r="O552" s="1" t="s">
        <v>31</v>
      </c>
      <c r="P552" s="1" t="s">
        <v>32</v>
      </c>
      <c r="Q552" s="1" t="s">
        <v>1880</v>
      </c>
      <c r="R552" s="1">
        <v>13.620000000000001</v>
      </c>
      <c r="S552" s="1">
        <v>3</v>
      </c>
      <c r="T552" s="1">
        <v>0</v>
      </c>
      <c r="U552" s="1">
        <v>6.1289999999999996</v>
      </c>
    </row>
    <row r="553" spans="1:21" ht="15.75" x14ac:dyDescent="0.25">
      <c r="A553" s="1">
        <v>552</v>
      </c>
      <c r="B553" s="2" t="s">
        <v>1866</v>
      </c>
      <c r="C553" s="3">
        <v>45076</v>
      </c>
      <c r="D553" s="3">
        <v>45078</v>
      </c>
      <c r="E553" s="1" t="s">
        <v>71</v>
      </c>
      <c r="F553" s="1" t="s">
        <v>1867</v>
      </c>
      <c r="G553" s="1" t="s">
        <v>1868</v>
      </c>
      <c r="H553" s="1" t="s">
        <v>74</v>
      </c>
      <c r="I553" s="1" t="s">
        <v>26</v>
      </c>
      <c r="J553" s="1" t="s">
        <v>348</v>
      </c>
      <c r="K553" s="1" t="s">
        <v>349</v>
      </c>
      <c r="L553" s="1">
        <v>10024</v>
      </c>
      <c r="M553" s="1" t="s">
        <v>54</v>
      </c>
      <c r="N553" s="1" t="s">
        <v>1881</v>
      </c>
      <c r="O553" s="1" t="s">
        <v>31</v>
      </c>
      <c r="P553" s="1" t="s">
        <v>32</v>
      </c>
      <c r="Q553" s="1" t="s">
        <v>1882</v>
      </c>
      <c r="R553" s="1">
        <v>39.96</v>
      </c>
      <c r="S553" s="1">
        <v>4</v>
      </c>
      <c r="T553" s="1">
        <v>0</v>
      </c>
      <c r="U553" s="1">
        <v>17.981999999999999</v>
      </c>
    </row>
    <row r="554" spans="1:21" ht="15.75" x14ac:dyDescent="0.25">
      <c r="A554" s="1">
        <v>553</v>
      </c>
      <c r="B554" s="2" t="s">
        <v>1883</v>
      </c>
      <c r="C554" s="3">
        <v>45076</v>
      </c>
      <c r="D554" s="3">
        <v>45080</v>
      </c>
      <c r="E554" s="1" t="s">
        <v>22</v>
      </c>
      <c r="F554" s="1" t="s">
        <v>1884</v>
      </c>
      <c r="G554" s="1" t="s">
        <v>1885</v>
      </c>
      <c r="H554" s="1" t="s">
        <v>74</v>
      </c>
      <c r="I554" s="1" t="s">
        <v>26</v>
      </c>
      <c r="J554" s="1" t="s">
        <v>493</v>
      </c>
      <c r="K554" s="1" t="s">
        <v>39</v>
      </c>
      <c r="L554" s="1">
        <v>60623</v>
      </c>
      <c r="M554" s="1" t="s">
        <v>29</v>
      </c>
      <c r="N554" s="1" t="s">
        <v>1497</v>
      </c>
      <c r="O554" s="1" t="s">
        <v>96</v>
      </c>
      <c r="P554" s="1" t="s">
        <v>1498</v>
      </c>
      <c r="Q554" s="1" t="s">
        <v>1499</v>
      </c>
      <c r="R554" s="1">
        <v>719.97600000000011</v>
      </c>
      <c r="S554" s="1">
        <v>3</v>
      </c>
      <c r="T554" s="1">
        <v>0.2</v>
      </c>
      <c r="U554" s="1">
        <v>134.99549999999999</v>
      </c>
    </row>
    <row r="555" spans="1:21" ht="15.75" x14ac:dyDescent="0.25">
      <c r="A555" s="1">
        <v>554</v>
      </c>
      <c r="B555" s="2" t="s">
        <v>1866</v>
      </c>
      <c r="C555" s="3">
        <v>45076</v>
      </c>
      <c r="D555" s="3">
        <v>45078</v>
      </c>
      <c r="E555" s="1" t="s">
        <v>71</v>
      </c>
      <c r="F555" s="1" t="s">
        <v>1867</v>
      </c>
      <c r="G555" s="1" t="s">
        <v>1868</v>
      </c>
      <c r="H555" s="1" t="s">
        <v>74</v>
      </c>
      <c r="I555" s="1" t="s">
        <v>26</v>
      </c>
      <c r="J555" s="1" t="s">
        <v>348</v>
      </c>
      <c r="K555" s="1" t="s">
        <v>349</v>
      </c>
      <c r="L555" s="1">
        <v>10024</v>
      </c>
      <c r="M555" s="1" t="s">
        <v>54</v>
      </c>
      <c r="N555" s="1" t="s">
        <v>1886</v>
      </c>
      <c r="O555" s="1" t="s">
        <v>96</v>
      </c>
      <c r="P555" s="1" t="s">
        <v>97</v>
      </c>
      <c r="Q555" s="1" t="s">
        <v>1887</v>
      </c>
      <c r="R555" s="1">
        <v>464</v>
      </c>
      <c r="S555" s="1">
        <v>5</v>
      </c>
      <c r="T555" s="1">
        <v>0</v>
      </c>
      <c r="U555" s="1">
        <v>134.55999999999995</v>
      </c>
    </row>
    <row r="556" spans="1:21" ht="15.75" x14ac:dyDescent="0.25">
      <c r="A556" s="1">
        <v>555</v>
      </c>
      <c r="B556" s="2" t="s">
        <v>1888</v>
      </c>
      <c r="C556" s="3">
        <v>45077</v>
      </c>
      <c r="D556" s="3">
        <v>45082</v>
      </c>
      <c r="E556" s="1" t="s">
        <v>22</v>
      </c>
      <c r="F556" s="1" t="s">
        <v>1889</v>
      </c>
      <c r="G556" s="1" t="s">
        <v>1890</v>
      </c>
      <c r="H556" s="1" t="s">
        <v>25</v>
      </c>
      <c r="I556" s="1" t="s">
        <v>26</v>
      </c>
      <c r="J556" s="1" t="s">
        <v>791</v>
      </c>
      <c r="K556" s="1" t="s">
        <v>792</v>
      </c>
      <c r="L556" s="1">
        <v>39212</v>
      </c>
      <c r="M556" s="1" t="s">
        <v>63</v>
      </c>
      <c r="N556" s="1" t="s">
        <v>1891</v>
      </c>
      <c r="O556" s="1" t="s">
        <v>96</v>
      </c>
      <c r="P556" s="1" t="s">
        <v>97</v>
      </c>
      <c r="Q556" s="1" t="s">
        <v>1892</v>
      </c>
      <c r="R556" s="1">
        <v>113.72999999999999</v>
      </c>
      <c r="S556" s="1">
        <v>3</v>
      </c>
      <c r="T556" s="1">
        <v>0</v>
      </c>
      <c r="U556" s="1">
        <v>32.981699999999989</v>
      </c>
    </row>
    <row r="557" spans="1:21" ht="15.75" x14ac:dyDescent="0.25">
      <c r="A557" s="1">
        <v>556</v>
      </c>
      <c r="B557" s="2" t="s">
        <v>1888</v>
      </c>
      <c r="C557" s="3">
        <v>45077</v>
      </c>
      <c r="D557" s="3">
        <v>45082</v>
      </c>
      <c r="E557" s="1" t="s">
        <v>22</v>
      </c>
      <c r="F557" s="1" t="s">
        <v>1889</v>
      </c>
      <c r="G557" s="1" t="s">
        <v>1890</v>
      </c>
      <c r="H557" s="1" t="s">
        <v>25</v>
      </c>
      <c r="I557" s="1" t="s">
        <v>26</v>
      </c>
      <c r="J557" s="1" t="s">
        <v>791</v>
      </c>
      <c r="K557" s="1" t="s">
        <v>792</v>
      </c>
      <c r="L557" s="1">
        <v>39212</v>
      </c>
      <c r="M557" s="1" t="s">
        <v>63</v>
      </c>
      <c r="N557" s="1" t="s">
        <v>1893</v>
      </c>
      <c r="O557" s="1" t="s">
        <v>96</v>
      </c>
      <c r="P557" s="1" t="s">
        <v>97</v>
      </c>
      <c r="Q557" s="1" t="s">
        <v>1894</v>
      </c>
      <c r="R557" s="1">
        <v>659.97</v>
      </c>
      <c r="S557" s="1">
        <v>3</v>
      </c>
      <c r="T557" s="1">
        <v>0</v>
      </c>
      <c r="U557" s="1">
        <v>197.99099999999996</v>
      </c>
    </row>
    <row r="558" spans="1:21" ht="15.75" x14ac:dyDescent="0.25">
      <c r="A558" s="1">
        <v>557</v>
      </c>
      <c r="B558" s="2" t="s">
        <v>1895</v>
      </c>
      <c r="C558" s="3">
        <v>45078</v>
      </c>
      <c r="D558" s="3">
        <v>45083</v>
      </c>
      <c r="E558" s="1" t="s">
        <v>87</v>
      </c>
      <c r="F558" s="1" t="s">
        <v>1896</v>
      </c>
      <c r="G558" s="1" t="s">
        <v>1897</v>
      </c>
      <c r="H558" s="1" t="s">
        <v>37</v>
      </c>
      <c r="I558" s="1" t="s">
        <v>26</v>
      </c>
      <c r="J558" s="1" t="s">
        <v>786</v>
      </c>
      <c r="K558" s="1" t="s">
        <v>787</v>
      </c>
      <c r="L558" s="1">
        <v>55044</v>
      </c>
      <c r="M558" s="1" t="s">
        <v>29</v>
      </c>
      <c r="N558" s="1" t="s">
        <v>64</v>
      </c>
      <c r="O558" s="1" t="s">
        <v>65</v>
      </c>
      <c r="P558" s="1" t="s">
        <v>66</v>
      </c>
      <c r="Q558" s="1" t="s">
        <v>67</v>
      </c>
      <c r="R558" s="1">
        <v>2001.8600000000001</v>
      </c>
      <c r="S558" s="1">
        <v>7</v>
      </c>
      <c r="T558" s="1">
        <v>0</v>
      </c>
      <c r="U558" s="1">
        <v>580.53939999999989</v>
      </c>
    </row>
    <row r="559" spans="1:21" ht="15.75" x14ac:dyDescent="0.25">
      <c r="A559" s="1">
        <v>558</v>
      </c>
      <c r="B559" s="2" t="s">
        <v>1898</v>
      </c>
      <c r="C559" s="3">
        <v>45078</v>
      </c>
      <c r="D559" s="3">
        <v>45083</v>
      </c>
      <c r="E559" s="1" t="s">
        <v>22</v>
      </c>
      <c r="F559" s="1" t="s">
        <v>1899</v>
      </c>
      <c r="G559" s="1" t="s">
        <v>1900</v>
      </c>
      <c r="H559" s="1" t="s">
        <v>25</v>
      </c>
      <c r="I559" s="1" t="s">
        <v>26</v>
      </c>
      <c r="J559" s="1" t="s">
        <v>1901</v>
      </c>
      <c r="K559" s="1" t="s">
        <v>224</v>
      </c>
      <c r="L559" s="1">
        <v>72209</v>
      </c>
      <c r="M559" s="1" t="s">
        <v>63</v>
      </c>
      <c r="N559" s="1" t="s">
        <v>1902</v>
      </c>
      <c r="O559" s="1" t="s">
        <v>65</v>
      </c>
      <c r="P559" s="1" t="s">
        <v>106</v>
      </c>
      <c r="Q559" s="1" t="s">
        <v>1903</v>
      </c>
      <c r="R559" s="1">
        <v>22.200000000000003</v>
      </c>
      <c r="S559" s="1">
        <v>6</v>
      </c>
      <c r="T559" s="1">
        <v>0</v>
      </c>
      <c r="U559" s="1">
        <v>9.1020000000000021</v>
      </c>
    </row>
    <row r="560" spans="1:21" ht="15.75" x14ac:dyDescent="0.25">
      <c r="A560" s="1">
        <v>559</v>
      </c>
      <c r="B560" s="2" t="s">
        <v>1895</v>
      </c>
      <c r="C560" s="3">
        <v>45078</v>
      </c>
      <c r="D560" s="3">
        <v>45083</v>
      </c>
      <c r="E560" s="1" t="s">
        <v>87</v>
      </c>
      <c r="F560" s="1" t="s">
        <v>1896</v>
      </c>
      <c r="G560" s="1" t="s">
        <v>1897</v>
      </c>
      <c r="H560" s="1" t="s">
        <v>37</v>
      </c>
      <c r="I560" s="1" t="s">
        <v>26</v>
      </c>
      <c r="J560" s="1" t="s">
        <v>786</v>
      </c>
      <c r="K560" s="1" t="s">
        <v>787</v>
      </c>
      <c r="L560" s="1">
        <v>55044</v>
      </c>
      <c r="M560" s="1" t="s">
        <v>29</v>
      </c>
      <c r="N560" s="1" t="s">
        <v>1904</v>
      </c>
      <c r="O560" s="1" t="s">
        <v>31</v>
      </c>
      <c r="P560" s="1" t="s">
        <v>205</v>
      </c>
      <c r="Q560" s="1" t="s">
        <v>1905</v>
      </c>
      <c r="R560" s="1">
        <v>1503.25</v>
      </c>
      <c r="S560" s="1">
        <v>5</v>
      </c>
      <c r="T560" s="1">
        <v>0</v>
      </c>
      <c r="U560" s="1">
        <v>496.07249999999993</v>
      </c>
    </row>
    <row r="561" spans="1:21" ht="15.75" x14ac:dyDescent="0.25">
      <c r="A561" s="1">
        <v>560</v>
      </c>
      <c r="B561" s="2" t="s">
        <v>1906</v>
      </c>
      <c r="C561" s="3">
        <v>45078</v>
      </c>
      <c r="D561" s="3">
        <v>45083</v>
      </c>
      <c r="E561" s="1" t="s">
        <v>22</v>
      </c>
      <c r="F561" s="1" t="s">
        <v>819</v>
      </c>
      <c r="G561" s="1" t="s">
        <v>820</v>
      </c>
      <c r="H561" s="1" t="s">
        <v>74</v>
      </c>
      <c r="I561" s="1" t="s">
        <v>26</v>
      </c>
      <c r="J561" s="1" t="s">
        <v>355</v>
      </c>
      <c r="K561" s="1" t="s">
        <v>231</v>
      </c>
      <c r="L561" s="1">
        <v>48234</v>
      </c>
      <c r="M561" s="1" t="s">
        <v>29</v>
      </c>
      <c r="N561" s="1" t="s">
        <v>1907</v>
      </c>
      <c r="O561" s="1" t="s">
        <v>31</v>
      </c>
      <c r="P561" s="1" t="s">
        <v>205</v>
      </c>
      <c r="Q561" s="1" t="s">
        <v>1908</v>
      </c>
      <c r="R561" s="1">
        <v>65.52000000000001</v>
      </c>
      <c r="S561" s="1">
        <v>5</v>
      </c>
      <c r="T561" s="1">
        <v>0.1</v>
      </c>
      <c r="U561" s="1">
        <v>12.376000000000001</v>
      </c>
    </row>
    <row r="562" spans="1:21" ht="15.75" x14ac:dyDescent="0.25">
      <c r="A562" s="1">
        <v>561</v>
      </c>
      <c r="B562" s="2" t="s">
        <v>1909</v>
      </c>
      <c r="C562" s="3">
        <v>45078</v>
      </c>
      <c r="D562" s="3">
        <v>45083</v>
      </c>
      <c r="E562" s="1" t="s">
        <v>22</v>
      </c>
      <c r="F562" s="1" t="s">
        <v>1910</v>
      </c>
      <c r="G562" s="1" t="s">
        <v>1911</v>
      </c>
      <c r="H562" s="1" t="s">
        <v>37</v>
      </c>
      <c r="I562" s="1" t="s">
        <v>26</v>
      </c>
      <c r="J562" s="1" t="s">
        <v>1912</v>
      </c>
      <c r="K562" s="1" t="s">
        <v>425</v>
      </c>
      <c r="L562" s="1">
        <v>8701</v>
      </c>
      <c r="M562" s="1" t="s">
        <v>54</v>
      </c>
      <c r="N562" s="1" t="s">
        <v>1913</v>
      </c>
      <c r="O562" s="1" t="s">
        <v>31</v>
      </c>
      <c r="P562" s="1" t="s">
        <v>56</v>
      </c>
      <c r="Q562" s="1" t="s">
        <v>1914</v>
      </c>
      <c r="R562" s="1">
        <v>289.20000000000005</v>
      </c>
      <c r="S562" s="1">
        <v>6</v>
      </c>
      <c r="T562" s="1">
        <v>0</v>
      </c>
      <c r="U562" s="1">
        <v>83.867999999999967</v>
      </c>
    </row>
    <row r="563" spans="1:21" ht="15.75" x14ac:dyDescent="0.25">
      <c r="A563" s="1">
        <v>562</v>
      </c>
      <c r="B563" s="2" t="s">
        <v>1909</v>
      </c>
      <c r="C563" s="3">
        <v>45078</v>
      </c>
      <c r="D563" s="3">
        <v>45083</v>
      </c>
      <c r="E563" s="1" t="s">
        <v>22</v>
      </c>
      <c r="F563" s="1" t="s">
        <v>1910</v>
      </c>
      <c r="G563" s="1" t="s">
        <v>1911</v>
      </c>
      <c r="H563" s="1" t="s">
        <v>37</v>
      </c>
      <c r="I563" s="1" t="s">
        <v>26</v>
      </c>
      <c r="J563" s="1" t="s">
        <v>1912</v>
      </c>
      <c r="K563" s="1" t="s">
        <v>425</v>
      </c>
      <c r="L563" s="1">
        <v>8701</v>
      </c>
      <c r="M563" s="1" t="s">
        <v>54</v>
      </c>
      <c r="N563" s="1" t="s">
        <v>1915</v>
      </c>
      <c r="O563" s="1" t="s">
        <v>31</v>
      </c>
      <c r="P563" s="1" t="s">
        <v>41</v>
      </c>
      <c r="Q563" s="1" t="s">
        <v>1916</v>
      </c>
      <c r="R563" s="1">
        <v>45.480000000000004</v>
      </c>
      <c r="S563" s="1">
        <v>3</v>
      </c>
      <c r="T563" s="1">
        <v>0</v>
      </c>
      <c r="U563" s="1">
        <v>20.9208</v>
      </c>
    </row>
    <row r="564" spans="1:21" ht="15.75" x14ac:dyDescent="0.25">
      <c r="A564" s="1">
        <v>563</v>
      </c>
      <c r="B564" s="2" t="s">
        <v>1906</v>
      </c>
      <c r="C564" s="3">
        <v>45078</v>
      </c>
      <c r="D564" s="3">
        <v>45083</v>
      </c>
      <c r="E564" s="1" t="s">
        <v>22</v>
      </c>
      <c r="F564" s="1" t="s">
        <v>819</v>
      </c>
      <c r="G564" s="1" t="s">
        <v>820</v>
      </c>
      <c r="H564" s="1" t="s">
        <v>74</v>
      </c>
      <c r="I564" s="1" t="s">
        <v>26</v>
      </c>
      <c r="J564" s="1" t="s">
        <v>355</v>
      </c>
      <c r="K564" s="1" t="s">
        <v>231</v>
      </c>
      <c r="L564" s="1">
        <v>48234</v>
      </c>
      <c r="M564" s="1" t="s">
        <v>29</v>
      </c>
      <c r="N564" s="1" t="s">
        <v>1917</v>
      </c>
      <c r="O564" s="1" t="s">
        <v>31</v>
      </c>
      <c r="P564" s="1" t="s">
        <v>41</v>
      </c>
      <c r="Q564" s="1" t="s">
        <v>1918</v>
      </c>
      <c r="R564" s="1">
        <v>138.56</v>
      </c>
      <c r="S564" s="1">
        <v>4</v>
      </c>
      <c r="T564" s="1">
        <v>0</v>
      </c>
      <c r="U564" s="1">
        <v>66.508799999999994</v>
      </c>
    </row>
    <row r="565" spans="1:21" ht="15.75" x14ac:dyDescent="0.25">
      <c r="A565" s="1">
        <v>564</v>
      </c>
      <c r="B565" s="2" t="s">
        <v>1895</v>
      </c>
      <c r="C565" s="3">
        <v>45078</v>
      </c>
      <c r="D565" s="3">
        <v>45083</v>
      </c>
      <c r="E565" s="1" t="s">
        <v>87</v>
      </c>
      <c r="F565" s="1" t="s">
        <v>1896</v>
      </c>
      <c r="G565" s="1" t="s">
        <v>1897</v>
      </c>
      <c r="H565" s="1" t="s">
        <v>37</v>
      </c>
      <c r="I565" s="1" t="s">
        <v>26</v>
      </c>
      <c r="J565" s="1" t="s">
        <v>786</v>
      </c>
      <c r="K565" s="1" t="s">
        <v>787</v>
      </c>
      <c r="L565" s="1">
        <v>55044</v>
      </c>
      <c r="M565" s="1" t="s">
        <v>29</v>
      </c>
      <c r="N565" s="1" t="s">
        <v>1919</v>
      </c>
      <c r="O565" s="1" t="s">
        <v>31</v>
      </c>
      <c r="P565" s="1" t="s">
        <v>32</v>
      </c>
      <c r="Q565" s="1" t="s">
        <v>1920</v>
      </c>
      <c r="R565" s="1">
        <v>25.92</v>
      </c>
      <c r="S565" s="1">
        <v>4</v>
      </c>
      <c r="T565" s="1">
        <v>0</v>
      </c>
      <c r="U565" s="1">
        <v>12.441600000000001</v>
      </c>
    </row>
    <row r="566" spans="1:21" ht="15.75" x14ac:dyDescent="0.25">
      <c r="A566" s="1">
        <v>565</v>
      </c>
      <c r="B566" s="2" t="s">
        <v>1895</v>
      </c>
      <c r="C566" s="3">
        <v>45078</v>
      </c>
      <c r="D566" s="3">
        <v>45083</v>
      </c>
      <c r="E566" s="1" t="s">
        <v>87</v>
      </c>
      <c r="F566" s="1" t="s">
        <v>1896</v>
      </c>
      <c r="G566" s="1" t="s">
        <v>1897</v>
      </c>
      <c r="H566" s="1" t="s">
        <v>37</v>
      </c>
      <c r="I566" s="1" t="s">
        <v>26</v>
      </c>
      <c r="J566" s="1" t="s">
        <v>786</v>
      </c>
      <c r="K566" s="1" t="s">
        <v>787</v>
      </c>
      <c r="L566" s="1">
        <v>55044</v>
      </c>
      <c r="M566" s="1" t="s">
        <v>29</v>
      </c>
      <c r="N566" s="1" t="s">
        <v>1921</v>
      </c>
      <c r="O566" s="1" t="s">
        <v>31</v>
      </c>
      <c r="P566" s="1" t="s">
        <v>32</v>
      </c>
      <c r="Q566" s="1" t="s">
        <v>1922</v>
      </c>
      <c r="R566" s="1">
        <v>47.88</v>
      </c>
      <c r="S566" s="1">
        <v>6</v>
      </c>
      <c r="T566" s="1">
        <v>0</v>
      </c>
      <c r="U566" s="1">
        <v>23.94</v>
      </c>
    </row>
    <row r="567" spans="1:21" ht="15.75" x14ac:dyDescent="0.25">
      <c r="A567" s="1">
        <v>566</v>
      </c>
      <c r="B567" s="2" t="s">
        <v>1895</v>
      </c>
      <c r="C567" s="3">
        <v>45078</v>
      </c>
      <c r="D567" s="3">
        <v>45083</v>
      </c>
      <c r="E567" s="1" t="s">
        <v>87</v>
      </c>
      <c r="F567" s="1" t="s">
        <v>1896</v>
      </c>
      <c r="G567" s="1" t="s">
        <v>1897</v>
      </c>
      <c r="H567" s="1" t="s">
        <v>37</v>
      </c>
      <c r="I567" s="1" t="s">
        <v>26</v>
      </c>
      <c r="J567" s="1" t="s">
        <v>786</v>
      </c>
      <c r="K567" s="1" t="s">
        <v>787</v>
      </c>
      <c r="L567" s="1">
        <v>55044</v>
      </c>
      <c r="M567" s="1" t="s">
        <v>29</v>
      </c>
      <c r="N567" s="1" t="s">
        <v>1923</v>
      </c>
      <c r="O567" s="1" t="s">
        <v>31</v>
      </c>
      <c r="P567" s="1" t="s">
        <v>47</v>
      </c>
      <c r="Q567" s="1" t="s">
        <v>1924</v>
      </c>
      <c r="R567" s="1">
        <v>166.72</v>
      </c>
      <c r="S567" s="1">
        <v>2</v>
      </c>
      <c r="T567" s="1">
        <v>0</v>
      </c>
      <c r="U567" s="1">
        <v>41.680000000000007</v>
      </c>
    </row>
    <row r="568" spans="1:21" ht="15.75" x14ac:dyDescent="0.25">
      <c r="A568" s="1">
        <v>567</v>
      </c>
      <c r="B568" s="2" t="s">
        <v>1898</v>
      </c>
      <c r="C568" s="3">
        <v>45078</v>
      </c>
      <c r="D568" s="3">
        <v>45083</v>
      </c>
      <c r="E568" s="1" t="s">
        <v>22</v>
      </c>
      <c r="F568" s="1" t="s">
        <v>1899</v>
      </c>
      <c r="G568" s="1" t="s">
        <v>1900</v>
      </c>
      <c r="H568" s="1" t="s">
        <v>25</v>
      </c>
      <c r="I568" s="1" t="s">
        <v>26</v>
      </c>
      <c r="J568" s="1" t="s">
        <v>1901</v>
      </c>
      <c r="K568" s="1" t="s">
        <v>224</v>
      </c>
      <c r="L568" s="1">
        <v>72209</v>
      </c>
      <c r="M568" s="1" t="s">
        <v>63</v>
      </c>
      <c r="N568" s="1" t="s">
        <v>1925</v>
      </c>
      <c r="O568" s="1" t="s">
        <v>96</v>
      </c>
      <c r="P568" s="1" t="s">
        <v>97</v>
      </c>
      <c r="Q568" s="1" t="s">
        <v>1926</v>
      </c>
      <c r="R568" s="1">
        <v>881.93</v>
      </c>
      <c r="S568" s="1">
        <v>7</v>
      </c>
      <c r="T568" s="1">
        <v>0</v>
      </c>
      <c r="U568" s="1">
        <v>229.30180000000001</v>
      </c>
    </row>
    <row r="569" spans="1:21" ht="15.75" x14ac:dyDescent="0.25">
      <c r="A569" s="1">
        <v>568</v>
      </c>
      <c r="B569" s="2" t="s">
        <v>1927</v>
      </c>
      <c r="C569" s="3">
        <v>45079</v>
      </c>
      <c r="D569" s="3">
        <v>45084</v>
      </c>
      <c r="E569" s="1" t="s">
        <v>22</v>
      </c>
      <c r="F569" s="1" t="s">
        <v>719</v>
      </c>
      <c r="G569" s="1" t="s">
        <v>720</v>
      </c>
      <c r="H569" s="1" t="s">
        <v>37</v>
      </c>
      <c r="I569" s="1" t="s">
        <v>26</v>
      </c>
      <c r="J569" s="1" t="s">
        <v>1928</v>
      </c>
      <c r="K569" s="1" t="s">
        <v>733</v>
      </c>
      <c r="L569" s="1">
        <v>84057</v>
      </c>
      <c r="M569" s="1" t="s">
        <v>92</v>
      </c>
      <c r="N569" s="1" t="s">
        <v>1929</v>
      </c>
      <c r="O569" s="1" t="s">
        <v>65</v>
      </c>
      <c r="P569" s="1" t="s">
        <v>106</v>
      </c>
      <c r="Q569" s="1" t="s">
        <v>1930</v>
      </c>
      <c r="R569" s="1">
        <v>73.320000000000007</v>
      </c>
      <c r="S569" s="1">
        <v>6</v>
      </c>
      <c r="T569" s="1">
        <v>0</v>
      </c>
      <c r="U569" s="1">
        <v>21.995999999999992</v>
      </c>
    </row>
    <row r="570" spans="1:21" ht="15.75" x14ac:dyDescent="0.25">
      <c r="A570" s="1">
        <v>569</v>
      </c>
      <c r="B570" s="2" t="s">
        <v>1931</v>
      </c>
      <c r="C570" s="3">
        <v>45079</v>
      </c>
      <c r="D570" s="3">
        <v>45083</v>
      </c>
      <c r="E570" s="1" t="s">
        <v>22</v>
      </c>
      <c r="F570" s="1" t="s">
        <v>1295</v>
      </c>
      <c r="G570" s="1" t="s">
        <v>1296</v>
      </c>
      <c r="H570" s="1" t="s">
        <v>25</v>
      </c>
      <c r="I570" s="1" t="s">
        <v>26</v>
      </c>
      <c r="J570" s="1" t="s">
        <v>186</v>
      </c>
      <c r="K570" s="1" t="s">
        <v>76</v>
      </c>
      <c r="L570" s="1">
        <v>30076</v>
      </c>
      <c r="M570" s="1" t="s">
        <v>63</v>
      </c>
      <c r="N570" s="1" t="s">
        <v>1728</v>
      </c>
      <c r="O570" s="1" t="s">
        <v>31</v>
      </c>
      <c r="P570" s="1" t="s">
        <v>56</v>
      </c>
      <c r="Q570" s="1" t="s">
        <v>1729</v>
      </c>
      <c r="R570" s="1">
        <v>8.56</v>
      </c>
      <c r="S570" s="1">
        <v>2</v>
      </c>
      <c r="T570" s="1">
        <v>0</v>
      </c>
      <c r="U570" s="1">
        <v>2.6536</v>
      </c>
    </row>
    <row r="571" spans="1:21" ht="15.75" x14ac:dyDescent="0.25">
      <c r="A571" s="1">
        <v>570</v>
      </c>
      <c r="B571" s="2" t="s">
        <v>1927</v>
      </c>
      <c r="C571" s="3">
        <v>45079</v>
      </c>
      <c r="D571" s="3">
        <v>45084</v>
      </c>
      <c r="E571" s="1" t="s">
        <v>22</v>
      </c>
      <c r="F571" s="1" t="s">
        <v>719</v>
      </c>
      <c r="G571" s="1" t="s">
        <v>720</v>
      </c>
      <c r="H571" s="1" t="s">
        <v>37</v>
      </c>
      <c r="I571" s="1" t="s">
        <v>26</v>
      </c>
      <c r="J571" s="1" t="s">
        <v>1928</v>
      </c>
      <c r="K571" s="1" t="s">
        <v>733</v>
      </c>
      <c r="L571" s="1">
        <v>84057</v>
      </c>
      <c r="M571" s="1" t="s">
        <v>92</v>
      </c>
      <c r="N571" s="1" t="s">
        <v>1932</v>
      </c>
      <c r="O571" s="1" t="s">
        <v>31</v>
      </c>
      <c r="P571" s="1" t="s">
        <v>41</v>
      </c>
      <c r="Q571" s="1" t="s">
        <v>1933</v>
      </c>
      <c r="R571" s="1">
        <v>59.808000000000007</v>
      </c>
      <c r="S571" s="1">
        <v>3</v>
      </c>
      <c r="T571" s="1">
        <v>0.2</v>
      </c>
      <c r="U571" s="1">
        <v>19.4376</v>
      </c>
    </row>
    <row r="572" spans="1:21" ht="15.75" x14ac:dyDescent="0.25">
      <c r="A572" s="1">
        <v>571</v>
      </c>
      <c r="B572" s="2" t="s">
        <v>1931</v>
      </c>
      <c r="C572" s="3">
        <v>45079</v>
      </c>
      <c r="D572" s="3">
        <v>45083</v>
      </c>
      <c r="E572" s="1" t="s">
        <v>22</v>
      </c>
      <c r="F572" s="1" t="s">
        <v>1295</v>
      </c>
      <c r="G572" s="1" t="s">
        <v>1296</v>
      </c>
      <c r="H572" s="1" t="s">
        <v>25</v>
      </c>
      <c r="I572" s="1" t="s">
        <v>26</v>
      </c>
      <c r="J572" s="1" t="s">
        <v>186</v>
      </c>
      <c r="K572" s="1" t="s">
        <v>76</v>
      </c>
      <c r="L572" s="1">
        <v>30076</v>
      </c>
      <c r="M572" s="1" t="s">
        <v>63</v>
      </c>
      <c r="N572" s="1" t="s">
        <v>768</v>
      </c>
      <c r="O572" s="1" t="s">
        <v>31</v>
      </c>
      <c r="P572" s="1" t="s">
        <v>47</v>
      </c>
      <c r="Q572" s="1" t="s">
        <v>769</v>
      </c>
      <c r="R572" s="1">
        <v>356.94</v>
      </c>
      <c r="S572" s="1">
        <v>2</v>
      </c>
      <c r="T572" s="1">
        <v>0</v>
      </c>
      <c r="U572" s="1">
        <v>107.08199999999997</v>
      </c>
    </row>
    <row r="573" spans="1:21" ht="15.75" x14ac:dyDescent="0.25">
      <c r="A573" s="1">
        <v>572</v>
      </c>
      <c r="B573" s="2" t="s">
        <v>1931</v>
      </c>
      <c r="C573" s="3">
        <v>45079</v>
      </c>
      <c r="D573" s="3">
        <v>45083</v>
      </c>
      <c r="E573" s="1" t="s">
        <v>22</v>
      </c>
      <c r="F573" s="1" t="s">
        <v>1295</v>
      </c>
      <c r="G573" s="1" t="s">
        <v>1296</v>
      </c>
      <c r="H573" s="1" t="s">
        <v>25</v>
      </c>
      <c r="I573" s="1" t="s">
        <v>26</v>
      </c>
      <c r="J573" s="1" t="s">
        <v>186</v>
      </c>
      <c r="K573" s="1" t="s">
        <v>76</v>
      </c>
      <c r="L573" s="1">
        <v>30076</v>
      </c>
      <c r="M573" s="1" t="s">
        <v>63</v>
      </c>
      <c r="N573" s="1" t="s">
        <v>1934</v>
      </c>
      <c r="O573" s="1" t="s">
        <v>96</v>
      </c>
      <c r="P573" s="1" t="s">
        <v>97</v>
      </c>
      <c r="Q573" s="1" t="s">
        <v>1935</v>
      </c>
      <c r="R573" s="1">
        <v>239.96999999999997</v>
      </c>
      <c r="S573" s="1">
        <v>3</v>
      </c>
      <c r="T573" s="1">
        <v>0</v>
      </c>
      <c r="U573" s="1">
        <v>67.191599999999994</v>
      </c>
    </row>
    <row r="574" spans="1:21" ht="15.75" x14ac:dyDescent="0.25">
      <c r="A574" s="1">
        <v>573</v>
      </c>
      <c r="B574" s="2" t="s">
        <v>1936</v>
      </c>
      <c r="C574" s="3">
        <v>45080</v>
      </c>
      <c r="D574" s="3">
        <v>45083</v>
      </c>
      <c r="E574" s="1" t="s">
        <v>71</v>
      </c>
      <c r="F574" s="1" t="s">
        <v>1937</v>
      </c>
      <c r="G574" s="1" t="s">
        <v>1938</v>
      </c>
      <c r="H574" s="1" t="s">
        <v>25</v>
      </c>
      <c r="I574" s="1" t="s">
        <v>26</v>
      </c>
      <c r="J574" s="1" t="s">
        <v>1154</v>
      </c>
      <c r="K574" s="1" t="s">
        <v>39</v>
      </c>
      <c r="L574" s="1">
        <v>62521</v>
      </c>
      <c r="M574" s="1" t="s">
        <v>29</v>
      </c>
      <c r="N574" s="1" t="s">
        <v>1939</v>
      </c>
      <c r="O574" s="1" t="s">
        <v>65</v>
      </c>
      <c r="P574" s="1" t="s">
        <v>106</v>
      </c>
      <c r="Q574" s="1" t="s">
        <v>1940</v>
      </c>
      <c r="R574" s="1">
        <v>61.543999999999997</v>
      </c>
      <c r="S574" s="1">
        <v>7</v>
      </c>
      <c r="T574" s="1">
        <v>0.6</v>
      </c>
      <c r="U574" s="1">
        <v>-40.003599999999999</v>
      </c>
    </row>
    <row r="575" spans="1:21" ht="15.75" x14ac:dyDescent="0.25">
      <c r="A575" s="1">
        <v>574</v>
      </c>
      <c r="B575" s="2" t="s">
        <v>1941</v>
      </c>
      <c r="C575" s="3">
        <v>45080</v>
      </c>
      <c r="D575" s="3">
        <v>45084</v>
      </c>
      <c r="E575" s="1" t="s">
        <v>87</v>
      </c>
      <c r="F575" s="1" t="s">
        <v>1942</v>
      </c>
      <c r="G575" s="1" t="s">
        <v>1943</v>
      </c>
      <c r="H575" s="1" t="s">
        <v>25</v>
      </c>
      <c r="I575" s="1" t="s">
        <v>26</v>
      </c>
      <c r="J575" s="1" t="s">
        <v>387</v>
      </c>
      <c r="K575" s="1" t="s">
        <v>388</v>
      </c>
      <c r="L575" s="1">
        <v>98115</v>
      </c>
      <c r="M575" s="1" t="s">
        <v>92</v>
      </c>
      <c r="N575" s="1" t="s">
        <v>1944</v>
      </c>
      <c r="O575" s="1" t="s">
        <v>65</v>
      </c>
      <c r="P575" s="1" t="s">
        <v>339</v>
      </c>
      <c r="Q575" s="1" t="s">
        <v>1175</v>
      </c>
      <c r="R575" s="1">
        <v>515.88</v>
      </c>
      <c r="S575" s="1">
        <v>6</v>
      </c>
      <c r="T575" s="1">
        <v>0</v>
      </c>
      <c r="U575" s="1">
        <v>113.49359999999999</v>
      </c>
    </row>
    <row r="576" spans="1:21" ht="15.75" x14ac:dyDescent="0.25">
      <c r="A576" s="1">
        <v>575</v>
      </c>
      <c r="B576" s="2" t="s">
        <v>1945</v>
      </c>
      <c r="C576" s="3">
        <v>45080</v>
      </c>
      <c r="D576" s="3">
        <v>45084</v>
      </c>
      <c r="E576" s="1" t="s">
        <v>87</v>
      </c>
      <c r="F576" s="1" t="s">
        <v>1946</v>
      </c>
      <c r="G576" s="1" t="s">
        <v>1947</v>
      </c>
      <c r="H576" s="1" t="s">
        <v>37</v>
      </c>
      <c r="I576" s="1" t="s">
        <v>26</v>
      </c>
      <c r="J576" s="1" t="s">
        <v>1708</v>
      </c>
      <c r="K576" s="1" t="s">
        <v>231</v>
      </c>
      <c r="L576" s="1">
        <v>48640</v>
      </c>
      <c r="M576" s="1" t="s">
        <v>29</v>
      </c>
      <c r="N576" s="1" t="s">
        <v>1948</v>
      </c>
      <c r="O576" s="1" t="s">
        <v>31</v>
      </c>
      <c r="P576" s="1" t="s">
        <v>166</v>
      </c>
      <c r="Q576" s="1" t="s">
        <v>1949</v>
      </c>
      <c r="R576" s="1">
        <v>15.28</v>
      </c>
      <c r="S576" s="1">
        <v>2</v>
      </c>
      <c r="T576" s="1">
        <v>0</v>
      </c>
      <c r="U576" s="1">
        <v>7.4871999999999996</v>
      </c>
    </row>
    <row r="577" spans="1:21" ht="15.75" x14ac:dyDescent="0.25">
      <c r="A577" s="1">
        <v>576</v>
      </c>
      <c r="B577" s="2" t="s">
        <v>1936</v>
      </c>
      <c r="C577" s="3">
        <v>45080</v>
      </c>
      <c r="D577" s="3">
        <v>45083</v>
      </c>
      <c r="E577" s="1" t="s">
        <v>71</v>
      </c>
      <c r="F577" s="1" t="s">
        <v>1937</v>
      </c>
      <c r="G577" s="1" t="s">
        <v>1938</v>
      </c>
      <c r="H577" s="1" t="s">
        <v>25</v>
      </c>
      <c r="I577" s="1" t="s">
        <v>26</v>
      </c>
      <c r="J577" s="1" t="s">
        <v>1154</v>
      </c>
      <c r="K577" s="1" t="s">
        <v>39</v>
      </c>
      <c r="L577" s="1">
        <v>62521</v>
      </c>
      <c r="M577" s="1" t="s">
        <v>29</v>
      </c>
      <c r="N577" s="1" t="s">
        <v>1950</v>
      </c>
      <c r="O577" s="1" t="s">
        <v>31</v>
      </c>
      <c r="P577" s="1" t="s">
        <v>44</v>
      </c>
      <c r="Q577" s="1" t="s">
        <v>1951</v>
      </c>
      <c r="R577" s="1">
        <v>15.936000000000002</v>
      </c>
      <c r="S577" s="1">
        <v>4</v>
      </c>
      <c r="T577" s="1">
        <v>0.2</v>
      </c>
      <c r="U577" s="1">
        <v>5.1791999999999998</v>
      </c>
    </row>
    <row r="578" spans="1:21" ht="15.75" x14ac:dyDescent="0.25">
      <c r="A578" s="1">
        <v>577</v>
      </c>
      <c r="B578" s="2" t="s">
        <v>1936</v>
      </c>
      <c r="C578" s="3">
        <v>45080</v>
      </c>
      <c r="D578" s="3">
        <v>45083</v>
      </c>
      <c r="E578" s="1" t="s">
        <v>71</v>
      </c>
      <c r="F578" s="1" t="s">
        <v>1937</v>
      </c>
      <c r="G578" s="1" t="s">
        <v>1938</v>
      </c>
      <c r="H578" s="1" t="s">
        <v>25</v>
      </c>
      <c r="I578" s="1" t="s">
        <v>26</v>
      </c>
      <c r="J578" s="1" t="s">
        <v>1154</v>
      </c>
      <c r="K578" s="1" t="s">
        <v>39</v>
      </c>
      <c r="L578" s="1">
        <v>62521</v>
      </c>
      <c r="M578" s="1" t="s">
        <v>29</v>
      </c>
      <c r="N578" s="1" t="s">
        <v>1444</v>
      </c>
      <c r="O578" s="1" t="s">
        <v>31</v>
      </c>
      <c r="P578" s="1" t="s">
        <v>47</v>
      </c>
      <c r="Q578" s="1" t="s">
        <v>1445</v>
      </c>
      <c r="R578" s="1">
        <v>132.696</v>
      </c>
      <c r="S578" s="1">
        <v>3</v>
      </c>
      <c r="T578" s="1">
        <v>0.2</v>
      </c>
      <c r="U578" s="1">
        <v>9.9521999999999977</v>
      </c>
    </row>
    <row r="579" spans="1:21" ht="15.75" x14ac:dyDescent="0.25">
      <c r="A579" s="1">
        <v>578</v>
      </c>
      <c r="B579" s="2" t="s">
        <v>1952</v>
      </c>
      <c r="C579" s="3">
        <v>45081</v>
      </c>
      <c r="D579" s="3">
        <v>45086</v>
      </c>
      <c r="E579" s="1" t="s">
        <v>22</v>
      </c>
      <c r="F579" s="1" t="s">
        <v>1953</v>
      </c>
      <c r="G579" s="1" t="s">
        <v>1954</v>
      </c>
      <c r="H579" s="1" t="s">
        <v>25</v>
      </c>
      <c r="I579" s="1" t="s">
        <v>26</v>
      </c>
      <c r="J579" s="1" t="s">
        <v>348</v>
      </c>
      <c r="K579" s="1" t="s">
        <v>349</v>
      </c>
      <c r="L579" s="1">
        <v>10035</v>
      </c>
      <c r="M579" s="1" t="s">
        <v>54</v>
      </c>
      <c r="N579" s="1" t="s">
        <v>1955</v>
      </c>
      <c r="O579" s="1" t="s">
        <v>65</v>
      </c>
      <c r="P579" s="1" t="s">
        <v>140</v>
      </c>
      <c r="Q579" s="1" t="s">
        <v>1956</v>
      </c>
      <c r="R579" s="1">
        <v>353.56799999999998</v>
      </c>
      <c r="S579" s="1">
        <v>2</v>
      </c>
      <c r="T579" s="1">
        <v>0.2</v>
      </c>
      <c r="U579" s="1">
        <v>-44.196000000000026</v>
      </c>
    </row>
    <row r="580" spans="1:21" ht="15.75" x14ac:dyDescent="0.25">
      <c r="A580" s="1">
        <v>579</v>
      </c>
      <c r="B580" s="2" t="s">
        <v>1952</v>
      </c>
      <c r="C580" s="3">
        <v>45081</v>
      </c>
      <c r="D580" s="3">
        <v>45086</v>
      </c>
      <c r="E580" s="1" t="s">
        <v>22</v>
      </c>
      <c r="F580" s="1" t="s">
        <v>1953</v>
      </c>
      <c r="G580" s="1" t="s">
        <v>1954</v>
      </c>
      <c r="H580" s="1" t="s">
        <v>25</v>
      </c>
      <c r="I580" s="1" t="s">
        <v>26</v>
      </c>
      <c r="J580" s="1" t="s">
        <v>348</v>
      </c>
      <c r="K580" s="1" t="s">
        <v>349</v>
      </c>
      <c r="L580" s="1">
        <v>10035</v>
      </c>
      <c r="M580" s="1" t="s">
        <v>54</v>
      </c>
      <c r="N580" s="1" t="s">
        <v>1388</v>
      </c>
      <c r="O580" s="1" t="s">
        <v>65</v>
      </c>
      <c r="P580" s="1" t="s">
        <v>106</v>
      </c>
      <c r="Q580" s="1" t="s">
        <v>1389</v>
      </c>
      <c r="R580" s="1">
        <v>13.96</v>
      </c>
      <c r="S580" s="1">
        <v>2</v>
      </c>
      <c r="T580" s="1">
        <v>0</v>
      </c>
      <c r="U580" s="1">
        <v>6.7008000000000001</v>
      </c>
    </row>
    <row r="581" spans="1:21" ht="15.75" x14ac:dyDescent="0.25">
      <c r="A581" s="1">
        <v>580</v>
      </c>
      <c r="B581" s="2" t="s">
        <v>1952</v>
      </c>
      <c r="C581" s="3">
        <v>45081</v>
      </c>
      <c r="D581" s="3">
        <v>45086</v>
      </c>
      <c r="E581" s="1" t="s">
        <v>22</v>
      </c>
      <c r="F581" s="1" t="s">
        <v>1953</v>
      </c>
      <c r="G581" s="1" t="s">
        <v>1954</v>
      </c>
      <c r="H581" s="1" t="s">
        <v>25</v>
      </c>
      <c r="I581" s="1" t="s">
        <v>26</v>
      </c>
      <c r="J581" s="1" t="s">
        <v>348</v>
      </c>
      <c r="K581" s="1" t="s">
        <v>349</v>
      </c>
      <c r="L581" s="1">
        <v>10035</v>
      </c>
      <c r="M581" s="1" t="s">
        <v>54</v>
      </c>
      <c r="N581" s="1" t="s">
        <v>1957</v>
      </c>
      <c r="O581" s="1" t="s">
        <v>65</v>
      </c>
      <c r="P581" s="1" t="s">
        <v>106</v>
      </c>
      <c r="Q581" s="1" t="s">
        <v>1958</v>
      </c>
      <c r="R581" s="1">
        <v>56.96</v>
      </c>
      <c r="S581" s="1">
        <v>2</v>
      </c>
      <c r="T581" s="1">
        <v>0</v>
      </c>
      <c r="U581" s="1">
        <v>21.075200000000002</v>
      </c>
    </row>
    <row r="582" spans="1:21" ht="15.75" x14ac:dyDescent="0.25">
      <c r="A582" s="1">
        <v>581</v>
      </c>
      <c r="B582" s="2" t="s">
        <v>1952</v>
      </c>
      <c r="C582" s="3">
        <v>45081</v>
      </c>
      <c r="D582" s="3">
        <v>45086</v>
      </c>
      <c r="E582" s="1" t="s">
        <v>22</v>
      </c>
      <c r="F582" s="1" t="s">
        <v>1953</v>
      </c>
      <c r="G582" s="1" t="s">
        <v>1954</v>
      </c>
      <c r="H582" s="1" t="s">
        <v>25</v>
      </c>
      <c r="I582" s="1" t="s">
        <v>26</v>
      </c>
      <c r="J582" s="1" t="s">
        <v>348</v>
      </c>
      <c r="K582" s="1" t="s">
        <v>349</v>
      </c>
      <c r="L582" s="1">
        <v>10035</v>
      </c>
      <c r="M582" s="1" t="s">
        <v>54</v>
      </c>
      <c r="N582" s="1" t="s">
        <v>1959</v>
      </c>
      <c r="O582" s="1" t="s">
        <v>31</v>
      </c>
      <c r="P582" s="1" t="s">
        <v>205</v>
      </c>
      <c r="Q582" s="1" t="s">
        <v>1960</v>
      </c>
      <c r="R582" s="1">
        <v>15.56</v>
      </c>
      <c r="S582" s="1">
        <v>4</v>
      </c>
      <c r="T582" s="1">
        <v>0</v>
      </c>
      <c r="U582" s="1">
        <v>4.0456000000000003</v>
      </c>
    </row>
    <row r="583" spans="1:21" ht="15.75" x14ac:dyDescent="0.25">
      <c r="A583" s="1">
        <v>582</v>
      </c>
      <c r="B583" s="2" t="s">
        <v>1961</v>
      </c>
      <c r="C583" s="3">
        <v>45081</v>
      </c>
      <c r="D583" s="3">
        <v>45086</v>
      </c>
      <c r="E583" s="1" t="s">
        <v>22</v>
      </c>
      <c r="F583" s="1" t="s">
        <v>1001</v>
      </c>
      <c r="G583" s="1" t="s">
        <v>1002</v>
      </c>
      <c r="H583" s="1" t="s">
        <v>37</v>
      </c>
      <c r="I583" s="1" t="s">
        <v>26</v>
      </c>
      <c r="J583" s="1" t="s">
        <v>549</v>
      </c>
      <c r="K583" s="1" t="s">
        <v>155</v>
      </c>
      <c r="L583" s="1">
        <v>43229</v>
      </c>
      <c r="M583" s="1" t="s">
        <v>54</v>
      </c>
      <c r="N583" s="1" t="s">
        <v>1962</v>
      </c>
      <c r="O583" s="1" t="s">
        <v>31</v>
      </c>
      <c r="P583" s="1" t="s">
        <v>32</v>
      </c>
      <c r="Q583" s="1" t="s">
        <v>1546</v>
      </c>
      <c r="R583" s="1">
        <v>16.224</v>
      </c>
      <c r="S583" s="1">
        <v>2</v>
      </c>
      <c r="T583" s="1">
        <v>0.2</v>
      </c>
      <c r="U583" s="1">
        <v>5.8812000000000006</v>
      </c>
    </row>
    <row r="584" spans="1:21" ht="15.75" x14ac:dyDescent="0.25">
      <c r="A584" s="1">
        <v>583</v>
      </c>
      <c r="B584" s="2" t="s">
        <v>1963</v>
      </c>
      <c r="C584" s="3">
        <v>45083</v>
      </c>
      <c r="D584" s="3">
        <v>45088</v>
      </c>
      <c r="E584" s="1" t="s">
        <v>22</v>
      </c>
      <c r="F584" s="1" t="s">
        <v>1964</v>
      </c>
      <c r="G584" s="1" t="s">
        <v>1965</v>
      </c>
      <c r="H584" s="1" t="s">
        <v>74</v>
      </c>
      <c r="I584" s="1" t="s">
        <v>26</v>
      </c>
      <c r="J584" s="1" t="s">
        <v>1014</v>
      </c>
      <c r="K584" s="1" t="s">
        <v>349</v>
      </c>
      <c r="L584" s="1">
        <v>11561</v>
      </c>
      <c r="M584" s="1" t="s">
        <v>54</v>
      </c>
      <c r="N584" s="1" t="s">
        <v>1966</v>
      </c>
      <c r="O584" s="1" t="s">
        <v>65</v>
      </c>
      <c r="P584" s="1" t="s">
        <v>339</v>
      </c>
      <c r="Q584" s="1" t="s">
        <v>1967</v>
      </c>
      <c r="R584" s="1">
        <v>991.76400000000012</v>
      </c>
      <c r="S584" s="1">
        <v>3</v>
      </c>
      <c r="T584" s="1">
        <v>0.4</v>
      </c>
      <c r="U584" s="1">
        <v>-347.11740000000009</v>
      </c>
    </row>
    <row r="585" spans="1:21" ht="15.75" x14ac:dyDescent="0.25">
      <c r="A585" s="1">
        <v>584</v>
      </c>
      <c r="B585" s="2" t="s">
        <v>1968</v>
      </c>
      <c r="C585" s="3">
        <v>45083</v>
      </c>
      <c r="D585" s="3">
        <v>45086</v>
      </c>
      <c r="E585" s="1" t="s">
        <v>71</v>
      </c>
      <c r="F585" s="1" t="s">
        <v>1969</v>
      </c>
      <c r="G585" s="1" t="s">
        <v>1970</v>
      </c>
      <c r="H585" s="1" t="s">
        <v>25</v>
      </c>
      <c r="I585" s="1" t="s">
        <v>26</v>
      </c>
      <c r="J585" s="1" t="s">
        <v>1472</v>
      </c>
      <c r="K585" s="1" t="s">
        <v>349</v>
      </c>
      <c r="L585" s="1">
        <v>14609</v>
      </c>
      <c r="M585" s="1" t="s">
        <v>54</v>
      </c>
      <c r="N585" s="1" t="s">
        <v>1971</v>
      </c>
      <c r="O585" s="1" t="s">
        <v>31</v>
      </c>
      <c r="P585" s="1" t="s">
        <v>56</v>
      </c>
      <c r="Q585" s="1" t="s">
        <v>1972</v>
      </c>
      <c r="R585" s="1">
        <v>13.36</v>
      </c>
      <c r="S585" s="1">
        <v>2</v>
      </c>
      <c r="T585" s="1">
        <v>0</v>
      </c>
      <c r="U585" s="1">
        <v>4.9431999999999992</v>
      </c>
    </row>
    <row r="586" spans="1:21" ht="15.75" x14ac:dyDescent="0.25">
      <c r="A586" s="1">
        <v>585</v>
      </c>
      <c r="B586" s="2" t="s">
        <v>1973</v>
      </c>
      <c r="C586" s="3">
        <v>45083</v>
      </c>
      <c r="D586" s="3">
        <v>45089</v>
      </c>
      <c r="E586" s="1" t="s">
        <v>22</v>
      </c>
      <c r="F586" s="1" t="s">
        <v>1295</v>
      </c>
      <c r="G586" s="1" t="s">
        <v>1296</v>
      </c>
      <c r="H586" s="1" t="s">
        <v>25</v>
      </c>
      <c r="I586" s="1" t="s">
        <v>26</v>
      </c>
      <c r="J586" s="1" t="s">
        <v>739</v>
      </c>
      <c r="K586" s="1" t="s">
        <v>273</v>
      </c>
      <c r="L586" s="1">
        <v>32216</v>
      </c>
      <c r="M586" s="1" t="s">
        <v>63</v>
      </c>
      <c r="N586" s="1" t="s">
        <v>1974</v>
      </c>
      <c r="O586" s="1" t="s">
        <v>31</v>
      </c>
      <c r="P586" s="1" t="s">
        <v>41</v>
      </c>
      <c r="Q586" s="1" t="s">
        <v>1975</v>
      </c>
      <c r="R586" s="1">
        <v>1.3650000000000002</v>
      </c>
      <c r="S586" s="1">
        <v>1</v>
      </c>
      <c r="T586" s="1">
        <v>0.7</v>
      </c>
      <c r="U586" s="1">
        <v>-0.9099999999999997</v>
      </c>
    </row>
    <row r="587" spans="1:21" ht="15.75" x14ac:dyDescent="0.25">
      <c r="A587" s="1">
        <v>586</v>
      </c>
      <c r="B587" s="2" t="s">
        <v>1976</v>
      </c>
      <c r="C587" s="3">
        <v>45083</v>
      </c>
      <c r="D587" s="3">
        <v>45089</v>
      </c>
      <c r="E587" s="1" t="s">
        <v>22</v>
      </c>
      <c r="F587" s="1" t="s">
        <v>1977</v>
      </c>
      <c r="G587" s="1" t="s">
        <v>1978</v>
      </c>
      <c r="H587" s="1" t="s">
        <v>25</v>
      </c>
      <c r="I587" s="1" t="s">
        <v>26</v>
      </c>
      <c r="J587" s="1" t="s">
        <v>493</v>
      </c>
      <c r="K587" s="1" t="s">
        <v>39</v>
      </c>
      <c r="L587" s="1">
        <v>60623</v>
      </c>
      <c r="M587" s="1" t="s">
        <v>29</v>
      </c>
      <c r="N587" s="1" t="s">
        <v>1181</v>
      </c>
      <c r="O587" s="1" t="s">
        <v>31</v>
      </c>
      <c r="P587" s="1" t="s">
        <v>41</v>
      </c>
      <c r="Q587" s="1" t="s">
        <v>1182</v>
      </c>
      <c r="R587" s="1">
        <v>24.587999999999994</v>
      </c>
      <c r="S587" s="1">
        <v>3</v>
      </c>
      <c r="T587" s="1">
        <v>0.8</v>
      </c>
      <c r="U587" s="1">
        <v>-38.11140000000001</v>
      </c>
    </row>
    <row r="588" spans="1:21" ht="15.75" x14ac:dyDescent="0.25">
      <c r="A588" s="1">
        <v>587</v>
      </c>
      <c r="B588" s="2" t="s">
        <v>1963</v>
      </c>
      <c r="C588" s="3">
        <v>45083</v>
      </c>
      <c r="D588" s="3">
        <v>45088</v>
      </c>
      <c r="E588" s="1" t="s">
        <v>22</v>
      </c>
      <c r="F588" s="1" t="s">
        <v>1964</v>
      </c>
      <c r="G588" s="1" t="s">
        <v>1965</v>
      </c>
      <c r="H588" s="1" t="s">
        <v>74</v>
      </c>
      <c r="I588" s="1" t="s">
        <v>26</v>
      </c>
      <c r="J588" s="1" t="s">
        <v>1014</v>
      </c>
      <c r="K588" s="1" t="s">
        <v>349</v>
      </c>
      <c r="L588" s="1">
        <v>11561</v>
      </c>
      <c r="M588" s="1" t="s">
        <v>54</v>
      </c>
      <c r="N588" s="1" t="s">
        <v>1979</v>
      </c>
      <c r="O588" s="1" t="s">
        <v>31</v>
      </c>
      <c r="P588" s="1" t="s">
        <v>41</v>
      </c>
      <c r="Q588" s="1" t="s">
        <v>1980</v>
      </c>
      <c r="R588" s="1">
        <v>149.54399999999998</v>
      </c>
      <c r="S588" s="1">
        <v>9</v>
      </c>
      <c r="T588" s="1">
        <v>0.2</v>
      </c>
      <c r="U588" s="1">
        <v>50.471099999999993</v>
      </c>
    </row>
    <row r="589" spans="1:21" ht="15.75" x14ac:dyDescent="0.25">
      <c r="A589" s="1">
        <v>588</v>
      </c>
      <c r="B589" s="2" t="s">
        <v>1976</v>
      </c>
      <c r="C589" s="3">
        <v>45083</v>
      </c>
      <c r="D589" s="3">
        <v>45089</v>
      </c>
      <c r="E589" s="1" t="s">
        <v>22</v>
      </c>
      <c r="F589" s="1" t="s">
        <v>1977</v>
      </c>
      <c r="G589" s="1" t="s">
        <v>1978</v>
      </c>
      <c r="H589" s="1" t="s">
        <v>25</v>
      </c>
      <c r="I589" s="1" t="s">
        <v>26</v>
      </c>
      <c r="J589" s="1" t="s">
        <v>493</v>
      </c>
      <c r="K589" s="1" t="s">
        <v>39</v>
      </c>
      <c r="L589" s="1">
        <v>60623</v>
      </c>
      <c r="M589" s="1" t="s">
        <v>29</v>
      </c>
      <c r="N589" s="1" t="s">
        <v>1981</v>
      </c>
      <c r="O589" s="1" t="s">
        <v>31</v>
      </c>
      <c r="P589" s="1" t="s">
        <v>166</v>
      </c>
      <c r="Q589" s="1" t="s">
        <v>1982</v>
      </c>
      <c r="R589" s="1">
        <v>13.984000000000002</v>
      </c>
      <c r="S589" s="1">
        <v>2</v>
      </c>
      <c r="T589" s="1">
        <v>0.2</v>
      </c>
      <c r="U589" s="1">
        <v>4.7195999999999998</v>
      </c>
    </row>
    <row r="590" spans="1:21" ht="15.75" x14ac:dyDescent="0.25">
      <c r="A590" s="1">
        <v>589</v>
      </c>
      <c r="B590" s="2" t="s">
        <v>1983</v>
      </c>
      <c r="C590" s="3">
        <v>45083</v>
      </c>
      <c r="D590" s="3">
        <v>45087</v>
      </c>
      <c r="E590" s="1" t="s">
        <v>22</v>
      </c>
      <c r="F590" s="1" t="s">
        <v>1984</v>
      </c>
      <c r="G590" s="1" t="s">
        <v>1985</v>
      </c>
      <c r="H590" s="1" t="s">
        <v>37</v>
      </c>
      <c r="I590" s="1" t="s">
        <v>26</v>
      </c>
      <c r="J590" s="1" t="s">
        <v>27</v>
      </c>
      <c r="K590" s="1" t="s">
        <v>28</v>
      </c>
      <c r="L590" s="1">
        <v>77070</v>
      </c>
      <c r="M590" s="1" t="s">
        <v>29</v>
      </c>
      <c r="N590" s="1" t="s">
        <v>196</v>
      </c>
      <c r="O590" s="1" t="s">
        <v>31</v>
      </c>
      <c r="P590" s="1" t="s">
        <v>44</v>
      </c>
      <c r="Q590" s="1" t="s">
        <v>197</v>
      </c>
      <c r="R590" s="1">
        <v>100.24000000000001</v>
      </c>
      <c r="S590" s="1">
        <v>10</v>
      </c>
      <c r="T590" s="1">
        <v>0.2</v>
      </c>
      <c r="U590" s="1">
        <v>33.830999999999989</v>
      </c>
    </row>
    <row r="591" spans="1:21" ht="15.75" x14ac:dyDescent="0.25">
      <c r="A591" s="1">
        <v>590</v>
      </c>
      <c r="B591" s="2" t="s">
        <v>1973</v>
      </c>
      <c r="C591" s="3">
        <v>45083</v>
      </c>
      <c r="D591" s="3">
        <v>45089</v>
      </c>
      <c r="E591" s="1" t="s">
        <v>22</v>
      </c>
      <c r="F591" s="1" t="s">
        <v>1295</v>
      </c>
      <c r="G591" s="1" t="s">
        <v>1296</v>
      </c>
      <c r="H591" s="1" t="s">
        <v>25</v>
      </c>
      <c r="I591" s="1" t="s">
        <v>26</v>
      </c>
      <c r="J591" s="1" t="s">
        <v>739</v>
      </c>
      <c r="K591" s="1" t="s">
        <v>273</v>
      </c>
      <c r="L591" s="1">
        <v>32216</v>
      </c>
      <c r="M591" s="1" t="s">
        <v>63</v>
      </c>
      <c r="N591" s="1" t="s">
        <v>1798</v>
      </c>
      <c r="O591" s="1" t="s">
        <v>31</v>
      </c>
      <c r="P591" s="1" t="s">
        <v>32</v>
      </c>
      <c r="Q591" s="1" t="s">
        <v>1799</v>
      </c>
      <c r="R591" s="1">
        <v>62.015999999999998</v>
      </c>
      <c r="S591" s="1">
        <v>2</v>
      </c>
      <c r="T591" s="1">
        <v>0.2</v>
      </c>
      <c r="U591" s="1">
        <v>22.480800000000002</v>
      </c>
    </row>
    <row r="592" spans="1:21" ht="15.75" x14ac:dyDescent="0.25">
      <c r="A592" s="1">
        <v>591</v>
      </c>
      <c r="B592" s="2" t="s">
        <v>1963</v>
      </c>
      <c r="C592" s="3">
        <v>45083</v>
      </c>
      <c r="D592" s="3">
        <v>45088</v>
      </c>
      <c r="E592" s="1" t="s">
        <v>22</v>
      </c>
      <c r="F592" s="1" t="s">
        <v>1964</v>
      </c>
      <c r="G592" s="1" t="s">
        <v>1965</v>
      </c>
      <c r="H592" s="1" t="s">
        <v>74</v>
      </c>
      <c r="I592" s="1" t="s">
        <v>26</v>
      </c>
      <c r="J592" s="1" t="s">
        <v>1014</v>
      </c>
      <c r="K592" s="1" t="s">
        <v>349</v>
      </c>
      <c r="L592" s="1">
        <v>11561</v>
      </c>
      <c r="M592" s="1" t="s">
        <v>54</v>
      </c>
      <c r="N592" s="1" t="s">
        <v>1986</v>
      </c>
      <c r="O592" s="1" t="s">
        <v>31</v>
      </c>
      <c r="P592" s="1" t="s">
        <v>475</v>
      </c>
      <c r="Q592" s="1" t="s">
        <v>1987</v>
      </c>
      <c r="R592" s="1">
        <v>17.14</v>
      </c>
      <c r="S592" s="1">
        <v>2</v>
      </c>
      <c r="T592" s="1">
        <v>0</v>
      </c>
      <c r="U592" s="1">
        <v>4.4564000000000004</v>
      </c>
    </row>
    <row r="593" spans="1:21" ht="15.75" x14ac:dyDescent="0.25">
      <c r="A593" s="1">
        <v>592</v>
      </c>
      <c r="B593" s="2" t="s">
        <v>1988</v>
      </c>
      <c r="C593" s="3">
        <v>45084</v>
      </c>
      <c r="D593" s="3">
        <v>45088</v>
      </c>
      <c r="E593" s="1" t="s">
        <v>87</v>
      </c>
      <c r="F593" s="1" t="s">
        <v>1989</v>
      </c>
      <c r="G593" s="1" t="s">
        <v>1990</v>
      </c>
      <c r="H593" s="1" t="s">
        <v>25</v>
      </c>
      <c r="I593" s="1" t="s">
        <v>26</v>
      </c>
      <c r="J593" s="1" t="s">
        <v>1991</v>
      </c>
      <c r="K593" s="1" t="s">
        <v>39</v>
      </c>
      <c r="L593" s="1">
        <v>60505</v>
      </c>
      <c r="M593" s="1" t="s">
        <v>29</v>
      </c>
      <c r="N593" s="1" t="s">
        <v>1992</v>
      </c>
      <c r="O593" s="1" t="s">
        <v>65</v>
      </c>
      <c r="P593" s="1" t="s">
        <v>339</v>
      </c>
      <c r="Q593" s="1" t="s">
        <v>1993</v>
      </c>
      <c r="R593" s="1">
        <v>268.935</v>
      </c>
      <c r="S593" s="1">
        <v>3</v>
      </c>
      <c r="T593" s="1">
        <v>0.5</v>
      </c>
      <c r="U593" s="1">
        <v>-209.76929999999999</v>
      </c>
    </row>
    <row r="594" spans="1:21" ht="15.75" x14ac:dyDescent="0.25">
      <c r="A594" s="1">
        <v>593</v>
      </c>
      <c r="B594" s="2" t="s">
        <v>1994</v>
      </c>
      <c r="C594" s="3">
        <v>45084</v>
      </c>
      <c r="D594" s="3">
        <v>45087</v>
      </c>
      <c r="E594" s="1" t="s">
        <v>87</v>
      </c>
      <c r="F594" s="1" t="s">
        <v>1995</v>
      </c>
      <c r="G594" s="1" t="s">
        <v>1996</v>
      </c>
      <c r="H594" s="1" t="s">
        <v>74</v>
      </c>
      <c r="I594" s="1" t="s">
        <v>26</v>
      </c>
      <c r="J594" s="1" t="s">
        <v>1997</v>
      </c>
      <c r="K594" s="1" t="s">
        <v>39</v>
      </c>
      <c r="L594" s="1">
        <v>61604</v>
      </c>
      <c r="M594" s="1" t="s">
        <v>29</v>
      </c>
      <c r="N594" s="1" t="s">
        <v>1979</v>
      </c>
      <c r="O594" s="1" t="s">
        <v>31</v>
      </c>
      <c r="P594" s="1" t="s">
        <v>41</v>
      </c>
      <c r="Q594" s="1" t="s">
        <v>1980</v>
      </c>
      <c r="R594" s="1">
        <v>12.461999999999996</v>
      </c>
      <c r="S594" s="1">
        <v>3</v>
      </c>
      <c r="T594" s="1">
        <v>0.8</v>
      </c>
      <c r="U594" s="1">
        <v>-20.5623</v>
      </c>
    </row>
    <row r="595" spans="1:21" ht="15.75" x14ac:dyDescent="0.25">
      <c r="A595" s="1">
        <v>594</v>
      </c>
      <c r="B595" s="2" t="s">
        <v>1998</v>
      </c>
      <c r="C595" s="3">
        <v>45085</v>
      </c>
      <c r="D595" s="3">
        <v>45089</v>
      </c>
      <c r="E595" s="1" t="s">
        <v>22</v>
      </c>
      <c r="F595" s="1" t="s">
        <v>1099</v>
      </c>
      <c r="G595" s="1" t="s">
        <v>1100</v>
      </c>
      <c r="H595" s="1" t="s">
        <v>74</v>
      </c>
      <c r="I595" s="1" t="s">
        <v>26</v>
      </c>
      <c r="J595" s="1" t="s">
        <v>1999</v>
      </c>
      <c r="K595" s="1" t="s">
        <v>255</v>
      </c>
      <c r="L595" s="1">
        <v>37620</v>
      </c>
      <c r="M595" s="1" t="s">
        <v>63</v>
      </c>
      <c r="N595" s="1" t="s">
        <v>2000</v>
      </c>
      <c r="O595" s="1" t="s">
        <v>65</v>
      </c>
      <c r="P595" s="1" t="s">
        <v>66</v>
      </c>
      <c r="Q595" s="1" t="s">
        <v>2001</v>
      </c>
      <c r="R595" s="1">
        <v>170.35200000000003</v>
      </c>
      <c r="S595" s="1">
        <v>3</v>
      </c>
      <c r="T595" s="1">
        <v>0.2</v>
      </c>
      <c r="U595" s="1">
        <v>10.647000000000006</v>
      </c>
    </row>
    <row r="596" spans="1:21" ht="15.75" x14ac:dyDescent="0.25">
      <c r="A596" s="1">
        <v>595</v>
      </c>
      <c r="B596" s="2" t="s">
        <v>2002</v>
      </c>
      <c r="C596" s="3">
        <v>45085</v>
      </c>
      <c r="D596" s="3">
        <v>45091</v>
      </c>
      <c r="E596" s="1" t="s">
        <v>22</v>
      </c>
      <c r="F596" s="1" t="s">
        <v>2003</v>
      </c>
      <c r="G596" s="1" t="s">
        <v>2004</v>
      </c>
      <c r="H596" s="1" t="s">
        <v>25</v>
      </c>
      <c r="I596" s="1" t="s">
        <v>26</v>
      </c>
      <c r="J596" s="1" t="s">
        <v>387</v>
      </c>
      <c r="K596" s="1" t="s">
        <v>388</v>
      </c>
      <c r="L596" s="1">
        <v>98115</v>
      </c>
      <c r="M596" s="1" t="s">
        <v>92</v>
      </c>
      <c r="N596" s="1" t="s">
        <v>2005</v>
      </c>
      <c r="O596" s="1" t="s">
        <v>65</v>
      </c>
      <c r="P596" s="1" t="s">
        <v>66</v>
      </c>
      <c r="Q596" s="1" t="s">
        <v>2006</v>
      </c>
      <c r="R596" s="1">
        <v>585.55200000000002</v>
      </c>
      <c r="S596" s="1">
        <v>3</v>
      </c>
      <c r="T596" s="1">
        <v>0.2</v>
      </c>
      <c r="U596" s="1">
        <v>73.19399999999996</v>
      </c>
    </row>
    <row r="597" spans="1:21" ht="15.75" x14ac:dyDescent="0.25">
      <c r="A597" s="1">
        <v>596</v>
      </c>
      <c r="B597" s="2" t="s">
        <v>2007</v>
      </c>
      <c r="C597" s="3">
        <v>45085</v>
      </c>
      <c r="D597" s="3">
        <v>45090</v>
      </c>
      <c r="E597" s="1" t="s">
        <v>22</v>
      </c>
      <c r="F597" s="1" t="s">
        <v>2008</v>
      </c>
      <c r="G597" s="1" t="s">
        <v>2009</v>
      </c>
      <c r="H597" s="1" t="s">
        <v>25</v>
      </c>
      <c r="I597" s="1" t="s">
        <v>26</v>
      </c>
      <c r="J597" s="1" t="s">
        <v>1014</v>
      </c>
      <c r="K597" s="1" t="s">
        <v>349</v>
      </c>
      <c r="L597" s="1">
        <v>11561</v>
      </c>
      <c r="M597" s="1" t="s">
        <v>54</v>
      </c>
      <c r="N597" s="1" t="s">
        <v>1853</v>
      </c>
      <c r="O597" s="1" t="s">
        <v>31</v>
      </c>
      <c r="P597" s="1" t="s">
        <v>41</v>
      </c>
      <c r="Q597" s="1" t="s">
        <v>1854</v>
      </c>
      <c r="R597" s="1">
        <v>68.48</v>
      </c>
      <c r="S597" s="1">
        <v>2</v>
      </c>
      <c r="T597" s="1">
        <v>0.2</v>
      </c>
      <c r="U597" s="1">
        <v>25.679999999999996</v>
      </c>
    </row>
    <row r="598" spans="1:21" ht="15.75" x14ac:dyDescent="0.25">
      <c r="A598" s="1">
        <v>597</v>
      </c>
      <c r="B598" s="2" t="s">
        <v>2007</v>
      </c>
      <c r="C598" s="3">
        <v>45085</v>
      </c>
      <c r="D598" s="3">
        <v>45090</v>
      </c>
      <c r="E598" s="1" t="s">
        <v>22</v>
      </c>
      <c r="F598" s="1" t="s">
        <v>2008</v>
      </c>
      <c r="G598" s="1" t="s">
        <v>2009</v>
      </c>
      <c r="H598" s="1" t="s">
        <v>25</v>
      </c>
      <c r="I598" s="1" t="s">
        <v>26</v>
      </c>
      <c r="J598" s="1" t="s">
        <v>1014</v>
      </c>
      <c r="K598" s="1" t="s">
        <v>349</v>
      </c>
      <c r="L598" s="1">
        <v>11561</v>
      </c>
      <c r="M598" s="1" t="s">
        <v>54</v>
      </c>
      <c r="N598" s="1" t="s">
        <v>2010</v>
      </c>
      <c r="O598" s="1" t="s">
        <v>31</v>
      </c>
      <c r="P598" s="1" t="s">
        <v>47</v>
      </c>
      <c r="Q598" s="1" t="s">
        <v>2011</v>
      </c>
      <c r="R598" s="1">
        <v>1676.88</v>
      </c>
      <c r="S598" s="1">
        <v>6</v>
      </c>
      <c r="T598" s="1">
        <v>0</v>
      </c>
      <c r="U598" s="1">
        <v>83.843999999999937</v>
      </c>
    </row>
    <row r="599" spans="1:21" ht="15.75" x14ac:dyDescent="0.25">
      <c r="A599" s="1">
        <v>598</v>
      </c>
      <c r="B599" s="2" t="s">
        <v>2012</v>
      </c>
      <c r="C599" s="3">
        <v>45086</v>
      </c>
      <c r="D599" s="3">
        <v>45091</v>
      </c>
      <c r="E599" s="1" t="s">
        <v>22</v>
      </c>
      <c r="F599" s="1" t="s">
        <v>2013</v>
      </c>
      <c r="G599" s="1" t="s">
        <v>2014</v>
      </c>
      <c r="H599" s="1" t="s">
        <v>25</v>
      </c>
      <c r="I599" s="1" t="s">
        <v>26</v>
      </c>
      <c r="J599" s="1" t="s">
        <v>90</v>
      </c>
      <c r="K599" s="1" t="s">
        <v>91</v>
      </c>
      <c r="L599" s="1">
        <v>90032</v>
      </c>
      <c r="M599" s="1" t="s">
        <v>92</v>
      </c>
      <c r="N599" s="1" t="s">
        <v>2015</v>
      </c>
      <c r="O599" s="1" t="s">
        <v>65</v>
      </c>
      <c r="P599" s="1" t="s">
        <v>106</v>
      </c>
      <c r="Q599" s="1" t="s">
        <v>2016</v>
      </c>
      <c r="R599" s="1">
        <v>48.86</v>
      </c>
      <c r="S599" s="1">
        <v>7</v>
      </c>
      <c r="T599" s="1">
        <v>0</v>
      </c>
      <c r="U599" s="1">
        <v>14.169399999999996</v>
      </c>
    </row>
    <row r="600" spans="1:21" ht="15.75" x14ac:dyDescent="0.25">
      <c r="A600" s="1">
        <v>599</v>
      </c>
      <c r="B600" s="2" t="s">
        <v>2017</v>
      </c>
      <c r="C600" s="3">
        <v>45086</v>
      </c>
      <c r="D600" s="3">
        <v>45090</v>
      </c>
      <c r="E600" s="1" t="s">
        <v>87</v>
      </c>
      <c r="F600" s="1" t="s">
        <v>890</v>
      </c>
      <c r="G600" s="1" t="s">
        <v>891</v>
      </c>
      <c r="H600" s="1" t="s">
        <v>74</v>
      </c>
      <c r="I600" s="1" t="s">
        <v>26</v>
      </c>
      <c r="J600" s="1" t="s">
        <v>431</v>
      </c>
      <c r="K600" s="1" t="s">
        <v>304</v>
      </c>
      <c r="L600" s="1">
        <v>89031</v>
      </c>
      <c r="M600" s="1" t="s">
        <v>92</v>
      </c>
      <c r="N600" s="1" t="s">
        <v>2018</v>
      </c>
      <c r="O600" s="1" t="s">
        <v>65</v>
      </c>
      <c r="P600" s="1" t="s">
        <v>106</v>
      </c>
      <c r="Q600" s="1" t="s">
        <v>2019</v>
      </c>
      <c r="R600" s="1">
        <v>37.4</v>
      </c>
      <c r="S600" s="1">
        <v>2</v>
      </c>
      <c r="T600" s="1">
        <v>0</v>
      </c>
      <c r="U600" s="1">
        <v>14.212</v>
      </c>
    </row>
    <row r="601" spans="1:21" ht="15.75" x14ac:dyDescent="0.25">
      <c r="A601" s="1">
        <v>600</v>
      </c>
      <c r="B601" s="2" t="s">
        <v>2012</v>
      </c>
      <c r="C601" s="3">
        <v>45086</v>
      </c>
      <c r="D601" s="3">
        <v>45091</v>
      </c>
      <c r="E601" s="1" t="s">
        <v>22</v>
      </c>
      <c r="F601" s="1" t="s">
        <v>2013</v>
      </c>
      <c r="G601" s="1" t="s">
        <v>2014</v>
      </c>
      <c r="H601" s="1" t="s">
        <v>25</v>
      </c>
      <c r="I601" s="1" t="s">
        <v>26</v>
      </c>
      <c r="J601" s="1" t="s">
        <v>90</v>
      </c>
      <c r="K601" s="1" t="s">
        <v>91</v>
      </c>
      <c r="L601" s="1">
        <v>90032</v>
      </c>
      <c r="M601" s="1" t="s">
        <v>92</v>
      </c>
      <c r="N601" s="1" t="s">
        <v>1864</v>
      </c>
      <c r="O601" s="1" t="s">
        <v>65</v>
      </c>
      <c r="P601" s="1" t="s">
        <v>339</v>
      </c>
      <c r="Q601" s="1" t="s">
        <v>1865</v>
      </c>
      <c r="R601" s="1">
        <v>1706.1840000000002</v>
      </c>
      <c r="S601" s="1">
        <v>9</v>
      </c>
      <c r="T601" s="1">
        <v>0.2</v>
      </c>
      <c r="U601" s="1">
        <v>85.309199999999805</v>
      </c>
    </row>
    <row r="602" spans="1:21" ht="15.75" x14ac:dyDescent="0.25">
      <c r="A602" s="1">
        <v>601</v>
      </c>
      <c r="B602" s="2" t="s">
        <v>2020</v>
      </c>
      <c r="C602" s="3">
        <v>45086</v>
      </c>
      <c r="D602" s="3">
        <v>45088</v>
      </c>
      <c r="E602" s="1" t="s">
        <v>87</v>
      </c>
      <c r="F602" s="1" t="s">
        <v>2021</v>
      </c>
      <c r="G602" s="1" t="s">
        <v>2022</v>
      </c>
      <c r="H602" s="1" t="s">
        <v>25</v>
      </c>
      <c r="I602" s="1" t="s">
        <v>26</v>
      </c>
      <c r="J602" s="1" t="s">
        <v>2023</v>
      </c>
      <c r="K602" s="1" t="s">
        <v>123</v>
      </c>
      <c r="L602" s="1">
        <v>22801</v>
      </c>
      <c r="M602" s="1" t="s">
        <v>63</v>
      </c>
      <c r="N602" s="1" t="s">
        <v>2024</v>
      </c>
      <c r="O602" s="1" t="s">
        <v>65</v>
      </c>
      <c r="P602" s="1" t="s">
        <v>339</v>
      </c>
      <c r="Q602" s="1" t="s">
        <v>2025</v>
      </c>
      <c r="R602" s="1">
        <v>1441.3</v>
      </c>
      <c r="S602" s="1">
        <v>7</v>
      </c>
      <c r="T602" s="1">
        <v>0</v>
      </c>
      <c r="U602" s="1">
        <v>245.0209999999999</v>
      </c>
    </row>
    <row r="603" spans="1:21" ht="15.75" x14ac:dyDescent="0.25">
      <c r="A603" s="1">
        <v>602</v>
      </c>
      <c r="B603" s="2" t="s">
        <v>2012</v>
      </c>
      <c r="C603" s="3">
        <v>45086</v>
      </c>
      <c r="D603" s="3">
        <v>45091</v>
      </c>
      <c r="E603" s="1" t="s">
        <v>22</v>
      </c>
      <c r="F603" s="1" t="s">
        <v>2013</v>
      </c>
      <c r="G603" s="1" t="s">
        <v>2014</v>
      </c>
      <c r="H603" s="1" t="s">
        <v>25</v>
      </c>
      <c r="I603" s="1" t="s">
        <v>26</v>
      </c>
      <c r="J603" s="1" t="s">
        <v>90</v>
      </c>
      <c r="K603" s="1" t="s">
        <v>91</v>
      </c>
      <c r="L603" s="1">
        <v>90032</v>
      </c>
      <c r="M603" s="1" t="s">
        <v>92</v>
      </c>
      <c r="N603" s="1" t="s">
        <v>2026</v>
      </c>
      <c r="O603" s="1" t="s">
        <v>31</v>
      </c>
      <c r="P603" s="1" t="s">
        <v>205</v>
      </c>
      <c r="Q603" s="1" t="s">
        <v>2027</v>
      </c>
      <c r="R603" s="1">
        <v>114.9</v>
      </c>
      <c r="S603" s="1">
        <v>5</v>
      </c>
      <c r="T603" s="1">
        <v>0</v>
      </c>
      <c r="U603" s="1">
        <v>34.469999999999992</v>
      </c>
    </row>
    <row r="604" spans="1:21" ht="15.75" x14ac:dyDescent="0.25">
      <c r="A604" s="1">
        <v>603</v>
      </c>
      <c r="B604" s="2" t="s">
        <v>2028</v>
      </c>
      <c r="C604" s="3">
        <v>45086</v>
      </c>
      <c r="D604" s="3">
        <v>45090</v>
      </c>
      <c r="E604" s="1" t="s">
        <v>87</v>
      </c>
      <c r="F604" s="1" t="s">
        <v>2029</v>
      </c>
      <c r="G604" s="1" t="s">
        <v>2030</v>
      </c>
      <c r="H604" s="1" t="s">
        <v>37</v>
      </c>
      <c r="I604" s="1" t="s">
        <v>26</v>
      </c>
      <c r="J604" s="1" t="s">
        <v>104</v>
      </c>
      <c r="K604" s="1" t="s">
        <v>28</v>
      </c>
      <c r="L604" s="1">
        <v>77340</v>
      </c>
      <c r="M604" s="1" t="s">
        <v>29</v>
      </c>
      <c r="N604" s="1" t="s">
        <v>2031</v>
      </c>
      <c r="O604" s="1" t="s">
        <v>31</v>
      </c>
      <c r="P604" s="1" t="s">
        <v>56</v>
      </c>
      <c r="Q604" s="1" t="s">
        <v>2032</v>
      </c>
      <c r="R604" s="1">
        <v>70.367999999999995</v>
      </c>
      <c r="S604" s="1">
        <v>2</v>
      </c>
      <c r="T604" s="1">
        <v>0.2</v>
      </c>
      <c r="U604" s="1">
        <v>6.1572000000000031</v>
      </c>
    </row>
    <row r="605" spans="1:21" ht="15.75" x14ac:dyDescent="0.25">
      <c r="A605" s="1">
        <v>604</v>
      </c>
      <c r="B605" s="2" t="s">
        <v>2017</v>
      </c>
      <c r="C605" s="3">
        <v>45086</v>
      </c>
      <c r="D605" s="3">
        <v>45090</v>
      </c>
      <c r="E605" s="1" t="s">
        <v>87</v>
      </c>
      <c r="F605" s="1" t="s">
        <v>890</v>
      </c>
      <c r="G605" s="1" t="s">
        <v>891</v>
      </c>
      <c r="H605" s="1" t="s">
        <v>74</v>
      </c>
      <c r="I605" s="1" t="s">
        <v>26</v>
      </c>
      <c r="J605" s="1" t="s">
        <v>431</v>
      </c>
      <c r="K605" s="1" t="s">
        <v>304</v>
      </c>
      <c r="L605" s="1">
        <v>89031</v>
      </c>
      <c r="M605" s="1" t="s">
        <v>92</v>
      </c>
      <c r="N605" s="1" t="s">
        <v>2033</v>
      </c>
      <c r="O605" s="1" t="s">
        <v>31</v>
      </c>
      <c r="P605" s="1" t="s">
        <v>56</v>
      </c>
      <c r="Q605" s="1" t="s">
        <v>2034</v>
      </c>
      <c r="R605" s="1">
        <v>18.060000000000002</v>
      </c>
      <c r="S605" s="1">
        <v>7</v>
      </c>
      <c r="T605" s="1">
        <v>0</v>
      </c>
      <c r="U605" s="1">
        <v>4.6956000000000007</v>
      </c>
    </row>
    <row r="606" spans="1:21" ht="15.75" x14ac:dyDescent="0.25">
      <c r="A606" s="1">
        <v>605</v>
      </c>
      <c r="B606" s="2" t="s">
        <v>2012</v>
      </c>
      <c r="C606" s="3">
        <v>45086</v>
      </c>
      <c r="D606" s="3">
        <v>45091</v>
      </c>
      <c r="E606" s="1" t="s">
        <v>22</v>
      </c>
      <c r="F606" s="1" t="s">
        <v>2013</v>
      </c>
      <c r="G606" s="1" t="s">
        <v>2014</v>
      </c>
      <c r="H606" s="1" t="s">
        <v>25</v>
      </c>
      <c r="I606" s="1" t="s">
        <v>26</v>
      </c>
      <c r="J606" s="1" t="s">
        <v>90</v>
      </c>
      <c r="K606" s="1" t="s">
        <v>91</v>
      </c>
      <c r="L606" s="1">
        <v>90032</v>
      </c>
      <c r="M606" s="1" t="s">
        <v>92</v>
      </c>
      <c r="N606" s="1" t="s">
        <v>2035</v>
      </c>
      <c r="O606" s="1" t="s">
        <v>31</v>
      </c>
      <c r="P606" s="1" t="s">
        <v>56</v>
      </c>
      <c r="Q606" s="1" t="s">
        <v>2036</v>
      </c>
      <c r="R606" s="1">
        <v>7.28</v>
      </c>
      <c r="S606" s="1">
        <v>4</v>
      </c>
      <c r="T606" s="1">
        <v>0</v>
      </c>
      <c r="U606" s="1">
        <v>1.9656000000000002</v>
      </c>
    </row>
    <row r="607" spans="1:21" ht="15.75" x14ac:dyDescent="0.25">
      <c r="A607" s="1">
        <v>606</v>
      </c>
      <c r="B607" s="2" t="s">
        <v>2037</v>
      </c>
      <c r="C607" s="3">
        <v>45086</v>
      </c>
      <c r="D607" s="3">
        <v>45093</v>
      </c>
      <c r="E607" s="1" t="s">
        <v>22</v>
      </c>
      <c r="F607" s="1" t="s">
        <v>2038</v>
      </c>
      <c r="G607" s="1" t="s">
        <v>2039</v>
      </c>
      <c r="H607" s="1" t="s">
        <v>25</v>
      </c>
      <c r="I607" s="1" t="s">
        <v>26</v>
      </c>
      <c r="J607" s="1" t="s">
        <v>138</v>
      </c>
      <c r="K607" s="1" t="s">
        <v>91</v>
      </c>
      <c r="L607" s="1">
        <v>94122</v>
      </c>
      <c r="M607" s="1" t="s">
        <v>92</v>
      </c>
      <c r="N607" s="1" t="s">
        <v>2040</v>
      </c>
      <c r="O607" s="1" t="s">
        <v>31</v>
      </c>
      <c r="P607" s="1" t="s">
        <v>56</v>
      </c>
      <c r="Q607" s="1" t="s">
        <v>2041</v>
      </c>
      <c r="R607" s="1">
        <v>23.1</v>
      </c>
      <c r="S607" s="1">
        <v>2</v>
      </c>
      <c r="T607" s="1">
        <v>0</v>
      </c>
      <c r="U607" s="1">
        <v>10.625999999999999</v>
      </c>
    </row>
    <row r="608" spans="1:21" ht="15.75" x14ac:dyDescent="0.25">
      <c r="A608" s="1">
        <v>607</v>
      </c>
      <c r="B608" s="2" t="s">
        <v>2012</v>
      </c>
      <c r="C608" s="3">
        <v>45086</v>
      </c>
      <c r="D608" s="3">
        <v>45091</v>
      </c>
      <c r="E608" s="1" t="s">
        <v>22</v>
      </c>
      <c r="F608" s="1" t="s">
        <v>2013</v>
      </c>
      <c r="G608" s="1" t="s">
        <v>2014</v>
      </c>
      <c r="H608" s="1" t="s">
        <v>25</v>
      </c>
      <c r="I608" s="1" t="s">
        <v>26</v>
      </c>
      <c r="J608" s="1" t="s">
        <v>90</v>
      </c>
      <c r="K608" s="1" t="s">
        <v>91</v>
      </c>
      <c r="L608" s="1">
        <v>90032</v>
      </c>
      <c r="M608" s="1" t="s">
        <v>92</v>
      </c>
      <c r="N608" s="1" t="s">
        <v>2042</v>
      </c>
      <c r="O608" s="1" t="s">
        <v>31</v>
      </c>
      <c r="P608" s="1" t="s">
        <v>41</v>
      </c>
      <c r="Q608" s="1" t="s">
        <v>2043</v>
      </c>
      <c r="R608" s="1">
        <v>18.504000000000001</v>
      </c>
      <c r="S608" s="1">
        <v>3</v>
      </c>
      <c r="T608" s="1">
        <v>0.2</v>
      </c>
      <c r="U608" s="1">
        <v>5.7824999999999998</v>
      </c>
    </row>
    <row r="609" spans="1:21" ht="15.75" x14ac:dyDescent="0.25">
      <c r="A609" s="1">
        <v>608</v>
      </c>
      <c r="B609" s="2" t="s">
        <v>2017</v>
      </c>
      <c r="C609" s="3">
        <v>45086</v>
      </c>
      <c r="D609" s="3">
        <v>45090</v>
      </c>
      <c r="E609" s="1" t="s">
        <v>87</v>
      </c>
      <c r="F609" s="1" t="s">
        <v>890</v>
      </c>
      <c r="G609" s="1" t="s">
        <v>891</v>
      </c>
      <c r="H609" s="1" t="s">
        <v>74</v>
      </c>
      <c r="I609" s="1" t="s">
        <v>26</v>
      </c>
      <c r="J609" s="1" t="s">
        <v>431</v>
      </c>
      <c r="K609" s="1" t="s">
        <v>304</v>
      </c>
      <c r="L609" s="1">
        <v>89031</v>
      </c>
      <c r="M609" s="1" t="s">
        <v>92</v>
      </c>
      <c r="N609" s="1" t="s">
        <v>821</v>
      </c>
      <c r="O609" s="1" t="s">
        <v>31</v>
      </c>
      <c r="P609" s="1" t="s">
        <v>32</v>
      </c>
      <c r="Q609" s="1" t="s">
        <v>822</v>
      </c>
      <c r="R609" s="1">
        <v>79.14</v>
      </c>
      <c r="S609" s="1">
        <v>3</v>
      </c>
      <c r="T609" s="1">
        <v>0</v>
      </c>
      <c r="U609" s="1">
        <v>36.404399999999995</v>
      </c>
    </row>
    <row r="610" spans="1:21" ht="15.75" x14ac:dyDescent="0.25">
      <c r="A610" s="1">
        <v>609</v>
      </c>
      <c r="B610" s="2" t="s">
        <v>2037</v>
      </c>
      <c r="C610" s="3">
        <v>45086</v>
      </c>
      <c r="D610" s="3">
        <v>45093</v>
      </c>
      <c r="E610" s="1" t="s">
        <v>22</v>
      </c>
      <c r="F610" s="1" t="s">
        <v>2038</v>
      </c>
      <c r="G610" s="1" t="s">
        <v>2039</v>
      </c>
      <c r="H610" s="1" t="s">
        <v>25</v>
      </c>
      <c r="I610" s="1" t="s">
        <v>26</v>
      </c>
      <c r="J610" s="1" t="s">
        <v>138</v>
      </c>
      <c r="K610" s="1" t="s">
        <v>91</v>
      </c>
      <c r="L610" s="1">
        <v>94122</v>
      </c>
      <c r="M610" s="1" t="s">
        <v>92</v>
      </c>
      <c r="N610" s="1" t="s">
        <v>2044</v>
      </c>
      <c r="O610" s="1" t="s">
        <v>31</v>
      </c>
      <c r="P610" s="1" t="s">
        <v>475</v>
      </c>
      <c r="Q610" s="1" t="s">
        <v>2045</v>
      </c>
      <c r="R610" s="1">
        <v>7.36</v>
      </c>
      <c r="S610" s="1">
        <v>2</v>
      </c>
      <c r="T610" s="1">
        <v>0</v>
      </c>
      <c r="U610" s="1">
        <v>0.14719999999999978</v>
      </c>
    </row>
    <row r="611" spans="1:21" ht="15.75" x14ac:dyDescent="0.25">
      <c r="A611" s="1">
        <v>610</v>
      </c>
      <c r="B611" s="2" t="s">
        <v>2028</v>
      </c>
      <c r="C611" s="3">
        <v>45086</v>
      </c>
      <c r="D611" s="3">
        <v>45090</v>
      </c>
      <c r="E611" s="1" t="s">
        <v>87</v>
      </c>
      <c r="F611" s="1" t="s">
        <v>2029</v>
      </c>
      <c r="G611" s="1" t="s">
        <v>2030</v>
      </c>
      <c r="H611" s="1" t="s">
        <v>37</v>
      </c>
      <c r="I611" s="1" t="s">
        <v>26</v>
      </c>
      <c r="J611" s="1" t="s">
        <v>104</v>
      </c>
      <c r="K611" s="1" t="s">
        <v>28</v>
      </c>
      <c r="L611" s="1">
        <v>77340</v>
      </c>
      <c r="M611" s="1" t="s">
        <v>29</v>
      </c>
      <c r="N611" s="1" t="s">
        <v>2046</v>
      </c>
      <c r="O611" s="1" t="s">
        <v>96</v>
      </c>
      <c r="P611" s="1" t="s">
        <v>117</v>
      </c>
      <c r="Q611" s="1" t="s">
        <v>2047</v>
      </c>
      <c r="R611" s="1">
        <v>63.984000000000009</v>
      </c>
      <c r="S611" s="1">
        <v>2</v>
      </c>
      <c r="T611" s="1">
        <v>0.2</v>
      </c>
      <c r="U611" s="1">
        <v>10.397399999999998</v>
      </c>
    </row>
    <row r="612" spans="1:21" ht="15.75" x14ac:dyDescent="0.25">
      <c r="A612" s="1">
        <v>611</v>
      </c>
      <c r="B612" s="2" t="s">
        <v>2028</v>
      </c>
      <c r="C612" s="3">
        <v>45086</v>
      </c>
      <c r="D612" s="3">
        <v>45090</v>
      </c>
      <c r="E612" s="1" t="s">
        <v>87</v>
      </c>
      <c r="F612" s="1" t="s">
        <v>2029</v>
      </c>
      <c r="G612" s="1" t="s">
        <v>2030</v>
      </c>
      <c r="H612" s="1" t="s">
        <v>37</v>
      </c>
      <c r="I612" s="1" t="s">
        <v>26</v>
      </c>
      <c r="J612" s="1" t="s">
        <v>104</v>
      </c>
      <c r="K612" s="1" t="s">
        <v>28</v>
      </c>
      <c r="L612" s="1">
        <v>77340</v>
      </c>
      <c r="M612" s="1" t="s">
        <v>29</v>
      </c>
      <c r="N612" s="1" t="s">
        <v>1480</v>
      </c>
      <c r="O612" s="1" t="s">
        <v>96</v>
      </c>
      <c r="P612" s="1" t="s">
        <v>97</v>
      </c>
      <c r="Q612" s="1" t="s">
        <v>1481</v>
      </c>
      <c r="R612" s="1">
        <v>7.9920000000000009</v>
      </c>
      <c r="S612" s="1">
        <v>1</v>
      </c>
      <c r="T612" s="1">
        <v>0.2</v>
      </c>
      <c r="U612" s="1">
        <v>0.59940000000000015</v>
      </c>
    </row>
    <row r="613" spans="1:21" ht="15.75" x14ac:dyDescent="0.25">
      <c r="A613" s="1">
        <v>612</v>
      </c>
      <c r="B613" s="2" t="s">
        <v>2012</v>
      </c>
      <c r="C613" s="3">
        <v>45086</v>
      </c>
      <c r="D613" s="3">
        <v>45091</v>
      </c>
      <c r="E613" s="1" t="s">
        <v>22</v>
      </c>
      <c r="F613" s="1" t="s">
        <v>2013</v>
      </c>
      <c r="G613" s="1" t="s">
        <v>2014</v>
      </c>
      <c r="H613" s="1" t="s">
        <v>25</v>
      </c>
      <c r="I613" s="1" t="s">
        <v>26</v>
      </c>
      <c r="J613" s="1" t="s">
        <v>90</v>
      </c>
      <c r="K613" s="1" t="s">
        <v>91</v>
      </c>
      <c r="L613" s="1">
        <v>90032</v>
      </c>
      <c r="M613" s="1" t="s">
        <v>92</v>
      </c>
      <c r="N613" s="1" t="s">
        <v>2048</v>
      </c>
      <c r="O613" s="1" t="s">
        <v>96</v>
      </c>
      <c r="P613" s="1" t="s">
        <v>97</v>
      </c>
      <c r="Q613" s="1" t="s">
        <v>2049</v>
      </c>
      <c r="R613" s="1">
        <v>911.42399999999998</v>
      </c>
      <c r="S613" s="1">
        <v>4</v>
      </c>
      <c r="T613" s="1">
        <v>0.2</v>
      </c>
      <c r="U613" s="1">
        <v>68.356800000000021</v>
      </c>
    </row>
    <row r="614" spans="1:21" ht="15.75" x14ac:dyDescent="0.25">
      <c r="A614" s="1">
        <v>613</v>
      </c>
      <c r="B614" s="2" t="s">
        <v>2012</v>
      </c>
      <c r="C614" s="3">
        <v>45086</v>
      </c>
      <c r="D614" s="3">
        <v>45091</v>
      </c>
      <c r="E614" s="1" t="s">
        <v>22</v>
      </c>
      <c r="F614" s="1" t="s">
        <v>2013</v>
      </c>
      <c r="G614" s="1" t="s">
        <v>2014</v>
      </c>
      <c r="H614" s="1" t="s">
        <v>25</v>
      </c>
      <c r="I614" s="1" t="s">
        <v>26</v>
      </c>
      <c r="J614" s="1" t="s">
        <v>90</v>
      </c>
      <c r="K614" s="1" t="s">
        <v>91</v>
      </c>
      <c r="L614" s="1">
        <v>90032</v>
      </c>
      <c r="M614" s="1" t="s">
        <v>92</v>
      </c>
      <c r="N614" s="1" t="s">
        <v>2050</v>
      </c>
      <c r="O614" s="1" t="s">
        <v>96</v>
      </c>
      <c r="P614" s="1" t="s">
        <v>97</v>
      </c>
      <c r="Q614" s="1" t="s">
        <v>2051</v>
      </c>
      <c r="R614" s="1">
        <v>907.15200000000004</v>
      </c>
      <c r="S614" s="1">
        <v>6</v>
      </c>
      <c r="T614" s="1">
        <v>0.2</v>
      </c>
      <c r="U614" s="1">
        <v>90.715200000000038</v>
      </c>
    </row>
    <row r="615" spans="1:21" ht="15.75" x14ac:dyDescent="0.25">
      <c r="A615" s="1">
        <v>614</v>
      </c>
      <c r="B615" s="2" t="s">
        <v>2052</v>
      </c>
      <c r="C615" s="3">
        <v>45087</v>
      </c>
      <c r="D615" s="3">
        <v>45092</v>
      </c>
      <c r="E615" s="1" t="s">
        <v>87</v>
      </c>
      <c r="F615" s="1" t="s">
        <v>2053</v>
      </c>
      <c r="G615" s="1" t="s">
        <v>2054</v>
      </c>
      <c r="H615" s="1" t="s">
        <v>74</v>
      </c>
      <c r="I615" s="1" t="s">
        <v>26</v>
      </c>
      <c r="J615" s="1" t="s">
        <v>355</v>
      </c>
      <c r="K615" s="1" t="s">
        <v>231</v>
      </c>
      <c r="L615" s="1">
        <v>48234</v>
      </c>
      <c r="M615" s="1" t="s">
        <v>29</v>
      </c>
      <c r="N615" s="1" t="s">
        <v>2055</v>
      </c>
      <c r="O615" s="1" t="s">
        <v>31</v>
      </c>
      <c r="P615" s="1" t="s">
        <v>44</v>
      </c>
      <c r="Q615" s="1" t="s">
        <v>2056</v>
      </c>
      <c r="R615" s="1">
        <v>491.55</v>
      </c>
      <c r="S615" s="1">
        <v>5</v>
      </c>
      <c r="T615" s="1">
        <v>0</v>
      </c>
      <c r="U615" s="1">
        <v>240.8595</v>
      </c>
    </row>
    <row r="616" spans="1:21" ht="15.75" x14ac:dyDescent="0.25">
      <c r="A616" s="1">
        <v>615</v>
      </c>
      <c r="B616" s="2" t="s">
        <v>2057</v>
      </c>
      <c r="C616" s="3">
        <v>45090</v>
      </c>
      <c r="D616" s="3">
        <v>45094</v>
      </c>
      <c r="E616" s="1" t="s">
        <v>22</v>
      </c>
      <c r="F616" s="1" t="s">
        <v>689</v>
      </c>
      <c r="G616" s="1" t="s">
        <v>690</v>
      </c>
      <c r="H616" s="1" t="s">
        <v>74</v>
      </c>
      <c r="I616" s="1" t="s">
        <v>26</v>
      </c>
      <c r="J616" s="1" t="s">
        <v>90</v>
      </c>
      <c r="K616" s="1" t="s">
        <v>91</v>
      </c>
      <c r="L616" s="1">
        <v>90032</v>
      </c>
      <c r="M616" s="1" t="s">
        <v>92</v>
      </c>
      <c r="N616" s="1" t="s">
        <v>494</v>
      </c>
      <c r="O616" s="1" t="s">
        <v>31</v>
      </c>
      <c r="P616" s="1" t="s">
        <v>56</v>
      </c>
      <c r="Q616" s="1" t="s">
        <v>495</v>
      </c>
      <c r="R616" s="1">
        <v>14.52</v>
      </c>
      <c r="S616" s="1">
        <v>3</v>
      </c>
      <c r="T616" s="1">
        <v>0</v>
      </c>
      <c r="U616" s="1">
        <v>4.7915999999999999</v>
      </c>
    </row>
    <row r="617" spans="1:21" ht="15.75" x14ac:dyDescent="0.25">
      <c r="A617" s="1">
        <v>616</v>
      </c>
      <c r="B617" s="2" t="s">
        <v>2058</v>
      </c>
      <c r="C617" s="3">
        <v>45091</v>
      </c>
      <c r="D617" s="3">
        <v>45097</v>
      </c>
      <c r="E617" s="1" t="s">
        <v>22</v>
      </c>
      <c r="F617" s="1" t="s">
        <v>2059</v>
      </c>
      <c r="G617" s="1" t="s">
        <v>2060</v>
      </c>
      <c r="H617" s="1" t="s">
        <v>37</v>
      </c>
      <c r="I617" s="1" t="s">
        <v>26</v>
      </c>
      <c r="J617" s="1" t="s">
        <v>355</v>
      </c>
      <c r="K617" s="1" t="s">
        <v>231</v>
      </c>
      <c r="L617" s="1">
        <v>48234</v>
      </c>
      <c r="M617" s="1" t="s">
        <v>29</v>
      </c>
      <c r="N617" s="1" t="s">
        <v>2061</v>
      </c>
      <c r="O617" s="1" t="s">
        <v>65</v>
      </c>
      <c r="P617" s="1" t="s">
        <v>140</v>
      </c>
      <c r="Q617" s="1" t="s">
        <v>2062</v>
      </c>
      <c r="R617" s="1">
        <v>212.94</v>
      </c>
      <c r="S617" s="1">
        <v>3</v>
      </c>
      <c r="T617" s="1">
        <v>0</v>
      </c>
      <c r="U617" s="1">
        <v>57.4938</v>
      </c>
    </row>
    <row r="618" spans="1:21" ht="15.75" x14ac:dyDescent="0.25">
      <c r="A618" s="1">
        <v>617</v>
      </c>
      <c r="B618" s="2" t="s">
        <v>2063</v>
      </c>
      <c r="C618" s="3">
        <v>45092</v>
      </c>
      <c r="D618" s="3">
        <v>45098</v>
      </c>
      <c r="E618" s="1" t="s">
        <v>22</v>
      </c>
      <c r="F618" s="1" t="s">
        <v>2064</v>
      </c>
      <c r="G618" s="1" t="s">
        <v>2065</v>
      </c>
      <c r="H618" s="1" t="s">
        <v>74</v>
      </c>
      <c r="I618" s="1" t="s">
        <v>26</v>
      </c>
      <c r="J618" s="1" t="s">
        <v>1536</v>
      </c>
      <c r="K618" s="1" t="s">
        <v>28</v>
      </c>
      <c r="L618" s="1">
        <v>78207</v>
      </c>
      <c r="M618" s="1" t="s">
        <v>29</v>
      </c>
      <c r="N618" s="1" t="s">
        <v>721</v>
      </c>
      <c r="O618" s="1" t="s">
        <v>65</v>
      </c>
      <c r="P618" s="1" t="s">
        <v>66</v>
      </c>
      <c r="Q618" s="1" t="s">
        <v>722</v>
      </c>
      <c r="R618" s="1">
        <v>797.94399999999996</v>
      </c>
      <c r="S618" s="1">
        <v>4</v>
      </c>
      <c r="T618" s="1">
        <v>0.3</v>
      </c>
      <c r="U618" s="1">
        <v>-56.995999999999981</v>
      </c>
    </row>
    <row r="619" spans="1:21" ht="15.75" x14ac:dyDescent="0.25">
      <c r="A619" s="1">
        <v>618</v>
      </c>
      <c r="B619" s="2" t="s">
        <v>2063</v>
      </c>
      <c r="C619" s="3">
        <v>45092</v>
      </c>
      <c r="D619" s="3">
        <v>45098</v>
      </c>
      <c r="E619" s="1" t="s">
        <v>22</v>
      </c>
      <c r="F619" s="1" t="s">
        <v>2064</v>
      </c>
      <c r="G619" s="1" t="s">
        <v>2065</v>
      </c>
      <c r="H619" s="1" t="s">
        <v>74</v>
      </c>
      <c r="I619" s="1" t="s">
        <v>26</v>
      </c>
      <c r="J619" s="1" t="s">
        <v>1536</v>
      </c>
      <c r="K619" s="1" t="s">
        <v>28</v>
      </c>
      <c r="L619" s="1">
        <v>78207</v>
      </c>
      <c r="M619" s="1" t="s">
        <v>29</v>
      </c>
      <c r="N619" s="1" t="s">
        <v>2066</v>
      </c>
      <c r="O619" s="1" t="s">
        <v>65</v>
      </c>
      <c r="P619" s="1" t="s">
        <v>339</v>
      </c>
      <c r="Q619" s="1" t="s">
        <v>2067</v>
      </c>
      <c r="R619" s="1">
        <v>99.918000000000006</v>
      </c>
      <c r="S619" s="1">
        <v>2</v>
      </c>
      <c r="T619" s="1">
        <v>0.3</v>
      </c>
      <c r="U619" s="1">
        <v>-18.556200000000018</v>
      </c>
    </row>
    <row r="620" spans="1:21" ht="15.75" x14ac:dyDescent="0.25">
      <c r="A620" s="1">
        <v>619</v>
      </c>
      <c r="B620" s="2" t="s">
        <v>2063</v>
      </c>
      <c r="C620" s="3">
        <v>45092</v>
      </c>
      <c r="D620" s="3">
        <v>45098</v>
      </c>
      <c r="E620" s="1" t="s">
        <v>22</v>
      </c>
      <c r="F620" s="1" t="s">
        <v>2064</v>
      </c>
      <c r="G620" s="1" t="s">
        <v>2065</v>
      </c>
      <c r="H620" s="1" t="s">
        <v>74</v>
      </c>
      <c r="I620" s="1" t="s">
        <v>26</v>
      </c>
      <c r="J620" s="1" t="s">
        <v>1536</v>
      </c>
      <c r="K620" s="1" t="s">
        <v>28</v>
      </c>
      <c r="L620" s="1">
        <v>78207</v>
      </c>
      <c r="M620" s="1" t="s">
        <v>29</v>
      </c>
      <c r="N620" s="1" t="s">
        <v>2068</v>
      </c>
      <c r="O620" s="1" t="s">
        <v>31</v>
      </c>
      <c r="P620" s="1" t="s">
        <v>41</v>
      </c>
      <c r="Q620" s="1" t="s">
        <v>2069</v>
      </c>
      <c r="R620" s="1">
        <v>8.5679999999999978</v>
      </c>
      <c r="S620" s="1">
        <v>3</v>
      </c>
      <c r="T620" s="1">
        <v>0.8</v>
      </c>
      <c r="U620" s="1">
        <v>-14.5656</v>
      </c>
    </row>
    <row r="621" spans="1:21" ht="15.75" x14ac:dyDescent="0.25">
      <c r="A621" s="1">
        <v>620</v>
      </c>
      <c r="B621" s="2" t="s">
        <v>2070</v>
      </c>
      <c r="C621" s="3">
        <v>45092</v>
      </c>
      <c r="D621" s="3">
        <v>45092</v>
      </c>
      <c r="E621" s="1" t="s">
        <v>497</v>
      </c>
      <c r="F621" s="1" t="s">
        <v>2071</v>
      </c>
      <c r="G621" s="1" t="s">
        <v>2072</v>
      </c>
      <c r="H621" s="1" t="s">
        <v>25</v>
      </c>
      <c r="I621" s="1" t="s">
        <v>26</v>
      </c>
      <c r="J621" s="1" t="s">
        <v>535</v>
      </c>
      <c r="K621" s="1" t="s">
        <v>28</v>
      </c>
      <c r="L621" s="1">
        <v>79907</v>
      </c>
      <c r="M621" s="1" t="s">
        <v>29</v>
      </c>
      <c r="N621" s="1" t="s">
        <v>2073</v>
      </c>
      <c r="O621" s="1" t="s">
        <v>31</v>
      </c>
      <c r="P621" s="1" t="s">
        <v>32</v>
      </c>
      <c r="Q621" s="1" t="s">
        <v>2074</v>
      </c>
      <c r="R621" s="1">
        <v>36.544000000000004</v>
      </c>
      <c r="S621" s="1">
        <v>2</v>
      </c>
      <c r="T621" s="1">
        <v>0.2</v>
      </c>
      <c r="U621" s="1">
        <v>11.876799999999998</v>
      </c>
    </row>
    <row r="622" spans="1:21" ht="15.75" x14ac:dyDescent="0.25">
      <c r="A622" s="1">
        <v>621</v>
      </c>
      <c r="B622" s="2" t="s">
        <v>2075</v>
      </c>
      <c r="C622" s="3">
        <v>45093</v>
      </c>
      <c r="D622" s="3">
        <v>45099</v>
      </c>
      <c r="E622" s="1" t="s">
        <v>22</v>
      </c>
      <c r="F622" s="1" t="s">
        <v>2076</v>
      </c>
      <c r="G622" s="1" t="s">
        <v>2077</v>
      </c>
      <c r="H622" s="1" t="s">
        <v>25</v>
      </c>
      <c r="I622" s="1" t="s">
        <v>26</v>
      </c>
      <c r="J622" s="1" t="s">
        <v>2078</v>
      </c>
      <c r="K622" s="1" t="s">
        <v>297</v>
      </c>
      <c r="L622" s="1">
        <v>46544</v>
      </c>
      <c r="M622" s="1" t="s">
        <v>29</v>
      </c>
      <c r="N622" s="1" t="s">
        <v>462</v>
      </c>
      <c r="O622" s="1" t="s">
        <v>65</v>
      </c>
      <c r="P622" s="1" t="s">
        <v>66</v>
      </c>
      <c r="Q622" s="1" t="s">
        <v>463</v>
      </c>
      <c r="R622" s="1">
        <v>647.84</v>
      </c>
      <c r="S622" s="1">
        <v>8</v>
      </c>
      <c r="T622" s="1">
        <v>0</v>
      </c>
      <c r="U622" s="1">
        <v>32.391999999999939</v>
      </c>
    </row>
    <row r="623" spans="1:21" ht="15.75" x14ac:dyDescent="0.25">
      <c r="A623" s="1">
        <v>622</v>
      </c>
      <c r="B623" s="2" t="s">
        <v>2079</v>
      </c>
      <c r="C623" s="3">
        <v>45093</v>
      </c>
      <c r="D623" s="3">
        <v>45098</v>
      </c>
      <c r="E623" s="1" t="s">
        <v>22</v>
      </c>
      <c r="F623" s="1" t="s">
        <v>684</v>
      </c>
      <c r="G623" s="1" t="s">
        <v>685</v>
      </c>
      <c r="H623" s="1" t="s">
        <v>25</v>
      </c>
      <c r="I623" s="1" t="s">
        <v>26</v>
      </c>
      <c r="J623" s="1" t="s">
        <v>2080</v>
      </c>
      <c r="K623" s="1" t="s">
        <v>349</v>
      </c>
      <c r="L623" s="1">
        <v>11550</v>
      </c>
      <c r="M623" s="1" t="s">
        <v>54</v>
      </c>
      <c r="N623" s="1" t="s">
        <v>2081</v>
      </c>
      <c r="O623" s="1" t="s">
        <v>31</v>
      </c>
      <c r="P623" s="1" t="s">
        <v>56</v>
      </c>
      <c r="Q623" s="1" t="s">
        <v>2082</v>
      </c>
      <c r="R623" s="1">
        <v>35</v>
      </c>
      <c r="S623" s="1">
        <v>4</v>
      </c>
      <c r="T623" s="1">
        <v>0</v>
      </c>
      <c r="U623" s="1">
        <v>10.499999999999996</v>
      </c>
    </row>
    <row r="624" spans="1:21" ht="15.75" x14ac:dyDescent="0.25">
      <c r="A624" s="1">
        <v>623</v>
      </c>
      <c r="B624" s="2" t="s">
        <v>2079</v>
      </c>
      <c r="C624" s="3">
        <v>45093</v>
      </c>
      <c r="D624" s="3">
        <v>45098</v>
      </c>
      <c r="E624" s="1" t="s">
        <v>22</v>
      </c>
      <c r="F624" s="1" t="s">
        <v>684</v>
      </c>
      <c r="G624" s="1" t="s">
        <v>685</v>
      </c>
      <c r="H624" s="1" t="s">
        <v>25</v>
      </c>
      <c r="I624" s="1" t="s">
        <v>26</v>
      </c>
      <c r="J624" s="1" t="s">
        <v>2080</v>
      </c>
      <c r="K624" s="1" t="s">
        <v>349</v>
      </c>
      <c r="L624" s="1">
        <v>11550</v>
      </c>
      <c r="M624" s="1" t="s">
        <v>54</v>
      </c>
      <c r="N624" s="1" t="s">
        <v>1142</v>
      </c>
      <c r="O624" s="1" t="s">
        <v>31</v>
      </c>
      <c r="P624" s="1" t="s">
        <v>41</v>
      </c>
      <c r="Q624" s="1" t="s">
        <v>1143</v>
      </c>
      <c r="R624" s="1">
        <v>39.552000000000007</v>
      </c>
      <c r="S624" s="1">
        <v>3</v>
      </c>
      <c r="T624" s="1">
        <v>0.2</v>
      </c>
      <c r="U624" s="1">
        <v>14.337599999999998</v>
      </c>
    </row>
    <row r="625" spans="1:21" ht="15.75" x14ac:dyDescent="0.25">
      <c r="A625" s="1">
        <v>624</v>
      </c>
      <c r="B625" s="2" t="s">
        <v>2079</v>
      </c>
      <c r="C625" s="3">
        <v>45093</v>
      </c>
      <c r="D625" s="3">
        <v>45098</v>
      </c>
      <c r="E625" s="1" t="s">
        <v>22</v>
      </c>
      <c r="F625" s="1" t="s">
        <v>684</v>
      </c>
      <c r="G625" s="1" t="s">
        <v>685</v>
      </c>
      <c r="H625" s="1" t="s">
        <v>25</v>
      </c>
      <c r="I625" s="1" t="s">
        <v>26</v>
      </c>
      <c r="J625" s="1" t="s">
        <v>2080</v>
      </c>
      <c r="K625" s="1" t="s">
        <v>349</v>
      </c>
      <c r="L625" s="1">
        <v>11550</v>
      </c>
      <c r="M625" s="1" t="s">
        <v>54</v>
      </c>
      <c r="N625" s="1" t="s">
        <v>2083</v>
      </c>
      <c r="O625" s="1" t="s">
        <v>31</v>
      </c>
      <c r="P625" s="1" t="s">
        <v>166</v>
      </c>
      <c r="Q625" s="1" t="s">
        <v>169</v>
      </c>
      <c r="R625" s="1">
        <v>41.4</v>
      </c>
      <c r="S625" s="1">
        <v>5</v>
      </c>
      <c r="T625" s="1">
        <v>0</v>
      </c>
      <c r="U625" s="1">
        <v>19.457999999999998</v>
      </c>
    </row>
    <row r="626" spans="1:21" ht="15.75" x14ac:dyDescent="0.25">
      <c r="A626" s="1">
        <v>625</v>
      </c>
      <c r="B626" s="2" t="s">
        <v>2084</v>
      </c>
      <c r="C626" s="3">
        <v>45094</v>
      </c>
      <c r="D626" s="3">
        <v>45098</v>
      </c>
      <c r="E626" s="1" t="s">
        <v>22</v>
      </c>
      <c r="F626" s="1" t="s">
        <v>2085</v>
      </c>
      <c r="G626" s="1" t="s">
        <v>2086</v>
      </c>
      <c r="H626" s="1" t="s">
        <v>25</v>
      </c>
      <c r="I626" s="1" t="s">
        <v>26</v>
      </c>
      <c r="J626" s="1" t="s">
        <v>387</v>
      </c>
      <c r="K626" s="1" t="s">
        <v>388</v>
      </c>
      <c r="L626" s="1">
        <v>98105</v>
      </c>
      <c r="M626" s="1" t="s">
        <v>92</v>
      </c>
      <c r="N626" s="1" t="s">
        <v>686</v>
      </c>
      <c r="O626" s="1" t="s">
        <v>65</v>
      </c>
      <c r="P626" s="1" t="s">
        <v>106</v>
      </c>
      <c r="Q626" s="1" t="s">
        <v>687</v>
      </c>
      <c r="R626" s="1">
        <v>6.24</v>
      </c>
      <c r="S626" s="1">
        <v>3</v>
      </c>
      <c r="T626" s="1">
        <v>0</v>
      </c>
      <c r="U626" s="1">
        <v>2.6208000000000005</v>
      </c>
    </row>
    <row r="627" spans="1:21" ht="15.75" x14ac:dyDescent="0.25">
      <c r="A627" s="1">
        <v>626</v>
      </c>
      <c r="B627" s="2" t="s">
        <v>2084</v>
      </c>
      <c r="C627" s="3">
        <v>45094</v>
      </c>
      <c r="D627" s="3">
        <v>45098</v>
      </c>
      <c r="E627" s="1" t="s">
        <v>22</v>
      </c>
      <c r="F627" s="1" t="s">
        <v>2085</v>
      </c>
      <c r="G627" s="1" t="s">
        <v>2086</v>
      </c>
      <c r="H627" s="1" t="s">
        <v>25</v>
      </c>
      <c r="I627" s="1" t="s">
        <v>26</v>
      </c>
      <c r="J627" s="1" t="s">
        <v>387</v>
      </c>
      <c r="K627" s="1" t="s">
        <v>388</v>
      </c>
      <c r="L627" s="1">
        <v>98105</v>
      </c>
      <c r="M627" s="1" t="s">
        <v>92</v>
      </c>
      <c r="N627" s="1" t="s">
        <v>2087</v>
      </c>
      <c r="O627" s="1" t="s">
        <v>31</v>
      </c>
      <c r="P627" s="1" t="s">
        <v>41</v>
      </c>
      <c r="Q627" s="1" t="s">
        <v>2088</v>
      </c>
      <c r="R627" s="1">
        <v>3266.3760000000002</v>
      </c>
      <c r="S627" s="1">
        <v>3</v>
      </c>
      <c r="T627" s="1">
        <v>0.2</v>
      </c>
      <c r="U627" s="1">
        <v>1061.5721999999998</v>
      </c>
    </row>
    <row r="628" spans="1:21" ht="15.75" x14ac:dyDescent="0.25">
      <c r="A628" s="1">
        <v>627</v>
      </c>
      <c r="B628" s="2" t="s">
        <v>2084</v>
      </c>
      <c r="C628" s="3">
        <v>45094</v>
      </c>
      <c r="D628" s="3">
        <v>45098</v>
      </c>
      <c r="E628" s="1" t="s">
        <v>22</v>
      </c>
      <c r="F628" s="1" t="s">
        <v>2085</v>
      </c>
      <c r="G628" s="1" t="s">
        <v>2086</v>
      </c>
      <c r="H628" s="1" t="s">
        <v>25</v>
      </c>
      <c r="I628" s="1" t="s">
        <v>26</v>
      </c>
      <c r="J628" s="1" t="s">
        <v>387</v>
      </c>
      <c r="K628" s="1" t="s">
        <v>388</v>
      </c>
      <c r="L628" s="1">
        <v>98105</v>
      </c>
      <c r="M628" s="1" t="s">
        <v>92</v>
      </c>
      <c r="N628" s="1" t="s">
        <v>2089</v>
      </c>
      <c r="O628" s="1" t="s">
        <v>31</v>
      </c>
      <c r="P628" s="1" t="s">
        <v>82</v>
      </c>
      <c r="Q628" s="1" t="s">
        <v>2090</v>
      </c>
      <c r="R628" s="1">
        <v>17.899999999999999</v>
      </c>
      <c r="S628" s="1">
        <v>5</v>
      </c>
      <c r="T628" s="1">
        <v>0</v>
      </c>
      <c r="U628" s="1">
        <v>8.9499999999999993</v>
      </c>
    </row>
    <row r="629" spans="1:21" ht="15.75" x14ac:dyDescent="0.25">
      <c r="A629" s="1">
        <v>628</v>
      </c>
      <c r="B629" s="2" t="s">
        <v>2091</v>
      </c>
      <c r="C629" s="3">
        <v>45094</v>
      </c>
      <c r="D629" s="3">
        <v>45097</v>
      </c>
      <c r="E629" s="1" t="s">
        <v>87</v>
      </c>
      <c r="F629" s="1" t="s">
        <v>2092</v>
      </c>
      <c r="G629" s="1" t="s">
        <v>2093</v>
      </c>
      <c r="H629" s="1" t="s">
        <v>25</v>
      </c>
      <c r="I629" s="1" t="s">
        <v>26</v>
      </c>
      <c r="J629" s="1" t="s">
        <v>493</v>
      </c>
      <c r="K629" s="1" t="s">
        <v>39</v>
      </c>
      <c r="L629" s="1">
        <v>60653</v>
      </c>
      <c r="M629" s="1" t="s">
        <v>29</v>
      </c>
      <c r="N629" s="1" t="s">
        <v>2094</v>
      </c>
      <c r="O629" s="1" t="s">
        <v>31</v>
      </c>
      <c r="P629" s="1" t="s">
        <v>32</v>
      </c>
      <c r="Q629" s="1" t="s">
        <v>2095</v>
      </c>
      <c r="R629" s="1">
        <v>62.015999999999998</v>
      </c>
      <c r="S629" s="1">
        <v>2</v>
      </c>
      <c r="T629" s="1">
        <v>0.2</v>
      </c>
      <c r="U629" s="1">
        <v>22.480800000000002</v>
      </c>
    </row>
    <row r="630" spans="1:21" ht="15.75" x14ac:dyDescent="0.25">
      <c r="A630" s="1">
        <v>629</v>
      </c>
      <c r="B630" s="2" t="s">
        <v>2096</v>
      </c>
      <c r="C630" s="3">
        <v>45094</v>
      </c>
      <c r="D630" s="3">
        <v>45100</v>
      </c>
      <c r="E630" s="1" t="s">
        <v>22</v>
      </c>
      <c r="F630" s="1" t="s">
        <v>2097</v>
      </c>
      <c r="G630" s="1" t="s">
        <v>2098</v>
      </c>
      <c r="H630" s="1" t="s">
        <v>25</v>
      </c>
      <c r="I630" s="1" t="s">
        <v>26</v>
      </c>
      <c r="J630" s="1" t="s">
        <v>154</v>
      </c>
      <c r="K630" s="1" t="s">
        <v>132</v>
      </c>
      <c r="L630" s="1">
        <v>19711</v>
      </c>
      <c r="M630" s="1" t="s">
        <v>54</v>
      </c>
      <c r="N630" s="1" t="s">
        <v>2099</v>
      </c>
      <c r="O630" s="1" t="s">
        <v>96</v>
      </c>
      <c r="P630" s="1" t="s">
        <v>754</v>
      </c>
      <c r="Q630" s="1" t="s">
        <v>2100</v>
      </c>
      <c r="R630" s="1">
        <v>65.97</v>
      </c>
      <c r="S630" s="1">
        <v>3</v>
      </c>
      <c r="T630" s="1">
        <v>0</v>
      </c>
      <c r="U630" s="1">
        <v>31.005899999999997</v>
      </c>
    </row>
    <row r="631" spans="1:21" ht="15.75" x14ac:dyDescent="0.25">
      <c r="A631" s="1">
        <v>630</v>
      </c>
      <c r="B631" s="2" t="s">
        <v>2101</v>
      </c>
      <c r="C631" s="3">
        <v>45095</v>
      </c>
      <c r="D631" s="3">
        <v>45100</v>
      </c>
      <c r="E631" s="1" t="s">
        <v>22</v>
      </c>
      <c r="F631" s="1" t="s">
        <v>2102</v>
      </c>
      <c r="G631" s="1" t="s">
        <v>2103</v>
      </c>
      <c r="H631" s="1" t="s">
        <v>25</v>
      </c>
      <c r="I631" s="1" t="s">
        <v>26</v>
      </c>
      <c r="J631" s="1" t="s">
        <v>90</v>
      </c>
      <c r="K631" s="1" t="s">
        <v>91</v>
      </c>
      <c r="L631" s="1">
        <v>90036</v>
      </c>
      <c r="M631" s="1" t="s">
        <v>92</v>
      </c>
      <c r="N631" s="1" t="s">
        <v>2104</v>
      </c>
      <c r="O631" s="1" t="s">
        <v>96</v>
      </c>
      <c r="P631" s="1" t="s">
        <v>97</v>
      </c>
      <c r="Q631" s="1" t="s">
        <v>2105</v>
      </c>
      <c r="R631" s="1">
        <v>139.80000000000001</v>
      </c>
      <c r="S631" s="1">
        <v>5</v>
      </c>
      <c r="T631" s="1">
        <v>0.2</v>
      </c>
      <c r="U631" s="1">
        <v>12.232500000000009</v>
      </c>
    </row>
    <row r="632" spans="1:21" ht="15.75" x14ac:dyDescent="0.25">
      <c r="A632" s="1">
        <v>631</v>
      </c>
      <c r="B632" s="2" t="s">
        <v>2106</v>
      </c>
      <c r="C632" s="3">
        <v>45095</v>
      </c>
      <c r="D632" s="3">
        <v>45097</v>
      </c>
      <c r="E632" s="1" t="s">
        <v>87</v>
      </c>
      <c r="F632" s="1" t="s">
        <v>2107</v>
      </c>
      <c r="G632" s="1" t="s">
        <v>2108</v>
      </c>
      <c r="H632" s="1" t="s">
        <v>37</v>
      </c>
      <c r="I632" s="1" t="s">
        <v>279</v>
      </c>
      <c r="J632" s="1" t="s">
        <v>2109</v>
      </c>
      <c r="K632" s="1" t="s">
        <v>2110</v>
      </c>
      <c r="L632" s="1" t="s">
        <v>2111</v>
      </c>
      <c r="M632" s="1" t="s">
        <v>54</v>
      </c>
      <c r="N632" s="1" t="s">
        <v>2112</v>
      </c>
      <c r="O632" s="1" t="s">
        <v>31</v>
      </c>
      <c r="P632" s="1" t="s">
        <v>32</v>
      </c>
      <c r="Q632" s="1" t="s">
        <v>2113</v>
      </c>
      <c r="R632" s="1">
        <v>74.352000000000004</v>
      </c>
      <c r="S632" s="1">
        <v>3</v>
      </c>
      <c r="T632" s="1">
        <v>0.2</v>
      </c>
      <c r="U632" s="1">
        <v>23.234999999999992</v>
      </c>
    </row>
    <row r="633" spans="1:21" ht="15.75" x14ac:dyDescent="0.25">
      <c r="A633" s="1">
        <v>632</v>
      </c>
      <c r="B633" s="2" t="s">
        <v>2114</v>
      </c>
      <c r="C633" s="3">
        <v>45097</v>
      </c>
      <c r="D633" s="3">
        <v>45101</v>
      </c>
      <c r="E633" s="1" t="s">
        <v>22</v>
      </c>
      <c r="F633" s="1" t="s">
        <v>603</v>
      </c>
      <c r="G633" s="1" t="s">
        <v>604</v>
      </c>
      <c r="H633" s="1" t="s">
        <v>25</v>
      </c>
      <c r="I633" s="1" t="s">
        <v>26</v>
      </c>
      <c r="J633" s="1" t="s">
        <v>994</v>
      </c>
      <c r="K633" s="1" t="s">
        <v>28</v>
      </c>
      <c r="L633" s="1">
        <v>75023</v>
      </c>
      <c r="M633" s="1" t="s">
        <v>29</v>
      </c>
      <c r="N633" s="1" t="s">
        <v>2115</v>
      </c>
      <c r="O633" s="1" t="s">
        <v>65</v>
      </c>
      <c r="P633" s="1" t="s">
        <v>140</v>
      </c>
      <c r="Q633" s="1" t="s">
        <v>2116</v>
      </c>
      <c r="R633" s="1">
        <v>193.06559999999999</v>
      </c>
      <c r="S633" s="1">
        <v>4</v>
      </c>
      <c r="T633" s="1">
        <v>0.32</v>
      </c>
      <c r="U633" s="1">
        <v>-19.874399999999994</v>
      </c>
    </row>
    <row r="634" spans="1:21" ht="15.75" x14ac:dyDescent="0.25">
      <c r="A634" s="1">
        <v>633</v>
      </c>
      <c r="B634" s="2" t="s">
        <v>2117</v>
      </c>
      <c r="C634" s="3">
        <v>45097</v>
      </c>
      <c r="D634" s="3">
        <v>45104</v>
      </c>
      <c r="E634" s="1" t="s">
        <v>22</v>
      </c>
      <c r="F634" s="1" t="s">
        <v>2118</v>
      </c>
      <c r="G634" s="1" t="s">
        <v>2119</v>
      </c>
      <c r="H634" s="1" t="s">
        <v>25</v>
      </c>
      <c r="I634" s="1" t="s">
        <v>26</v>
      </c>
      <c r="J634" s="1" t="s">
        <v>2120</v>
      </c>
      <c r="K634" s="1" t="s">
        <v>2121</v>
      </c>
      <c r="L634" s="1">
        <v>73505</v>
      </c>
      <c r="M634" s="1" t="s">
        <v>29</v>
      </c>
      <c r="N634" s="1" t="s">
        <v>1869</v>
      </c>
      <c r="O634" s="1" t="s">
        <v>31</v>
      </c>
      <c r="P634" s="1" t="s">
        <v>205</v>
      </c>
      <c r="Q634" s="1" t="s">
        <v>1870</v>
      </c>
      <c r="R634" s="1">
        <v>471.90000000000003</v>
      </c>
      <c r="S634" s="1">
        <v>6</v>
      </c>
      <c r="T634" s="1">
        <v>0</v>
      </c>
      <c r="U634" s="1">
        <v>155.72699999999998</v>
      </c>
    </row>
    <row r="635" spans="1:21" ht="15.75" x14ac:dyDescent="0.25">
      <c r="A635" s="1">
        <v>634</v>
      </c>
      <c r="B635" s="2" t="s">
        <v>2117</v>
      </c>
      <c r="C635" s="3">
        <v>45097</v>
      </c>
      <c r="D635" s="3">
        <v>45104</v>
      </c>
      <c r="E635" s="1" t="s">
        <v>22</v>
      </c>
      <c r="F635" s="1" t="s">
        <v>2118</v>
      </c>
      <c r="G635" s="1" t="s">
        <v>2119</v>
      </c>
      <c r="H635" s="1" t="s">
        <v>25</v>
      </c>
      <c r="I635" s="1" t="s">
        <v>26</v>
      </c>
      <c r="J635" s="1" t="s">
        <v>2120</v>
      </c>
      <c r="K635" s="1" t="s">
        <v>2121</v>
      </c>
      <c r="L635" s="1">
        <v>73505</v>
      </c>
      <c r="M635" s="1" t="s">
        <v>29</v>
      </c>
      <c r="N635" s="1" t="s">
        <v>2122</v>
      </c>
      <c r="O635" s="1" t="s">
        <v>31</v>
      </c>
      <c r="P635" s="1" t="s">
        <v>56</v>
      </c>
      <c r="Q635" s="1" t="s">
        <v>2123</v>
      </c>
      <c r="R635" s="1">
        <v>3.52</v>
      </c>
      <c r="S635" s="1">
        <v>2</v>
      </c>
      <c r="T635" s="1">
        <v>0</v>
      </c>
      <c r="U635" s="1">
        <v>1.6896</v>
      </c>
    </row>
    <row r="636" spans="1:21" ht="15.75" x14ac:dyDescent="0.25">
      <c r="A636" s="1">
        <v>635</v>
      </c>
      <c r="B636" s="2" t="s">
        <v>2114</v>
      </c>
      <c r="C636" s="3">
        <v>45097</v>
      </c>
      <c r="D636" s="3">
        <v>45101</v>
      </c>
      <c r="E636" s="1" t="s">
        <v>22</v>
      </c>
      <c r="F636" s="1" t="s">
        <v>603</v>
      </c>
      <c r="G636" s="1" t="s">
        <v>604</v>
      </c>
      <c r="H636" s="1" t="s">
        <v>25</v>
      </c>
      <c r="I636" s="1" t="s">
        <v>26</v>
      </c>
      <c r="J636" s="1" t="s">
        <v>994</v>
      </c>
      <c r="K636" s="1" t="s">
        <v>28</v>
      </c>
      <c r="L636" s="1">
        <v>75023</v>
      </c>
      <c r="M636" s="1" t="s">
        <v>29</v>
      </c>
      <c r="N636" s="1" t="s">
        <v>2124</v>
      </c>
      <c r="O636" s="1" t="s">
        <v>31</v>
      </c>
      <c r="P636" s="1" t="s">
        <v>41</v>
      </c>
      <c r="Q636" s="1" t="s">
        <v>2125</v>
      </c>
      <c r="R636" s="1">
        <v>3.3919999999999995</v>
      </c>
      <c r="S636" s="1">
        <v>4</v>
      </c>
      <c r="T636" s="1">
        <v>0.8</v>
      </c>
      <c r="U636" s="1">
        <v>-5.088000000000001</v>
      </c>
    </row>
    <row r="637" spans="1:21" ht="15.75" x14ac:dyDescent="0.25">
      <c r="A637" s="1">
        <v>636</v>
      </c>
      <c r="B637" s="2" t="s">
        <v>2114</v>
      </c>
      <c r="C637" s="3">
        <v>45097</v>
      </c>
      <c r="D637" s="3">
        <v>45101</v>
      </c>
      <c r="E637" s="1" t="s">
        <v>22</v>
      </c>
      <c r="F637" s="1" t="s">
        <v>603</v>
      </c>
      <c r="G637" s="1" t="s">
        <v>604</v>
      </c>
      <c r="H637" s="1" t="s">
        <v>25</v>
      </c>
      <c r="I637" s="1" t="s">
        <v>26</v>
      </c>
      <c r="J637" s="1" t="s">
        <v>994</v>
      </c>
      <c r="K637" s="1" t="s">
        <v>28</v>
      </c>
      <c r="L637" s="1">
        <v>75023</v>
      </c>
      <c r="M637" s="1" t="s">
        <v>29</v>
      </c>
      <c r="N637" s="1" t="s">
        <v>590</v>
      </c>
      <c r="O637" s="1" t="s">
        <v>31</v>
      </c>
      <c r="P637" s="1" t="s">
        <v>32</v>
      </c>
      <c r="Q637" s="1" t="s">
        <v>591</v>
      </c>
      <c r="R637" s="1">
        <v>11.648000000000001</v>
      </c>
      <c r="S637" s="1">
        <v>2</v>
      </c>
      <c r="T637" s="1">
        <v>0.2</v>
      </c>
      <c r="U637" s="1">
        <v>4.0768000000000004</v>
      </c>
    </row>
    <row r="638" spans="1:21" ht="15.75" x14ac:dyDescent="0.25">
      <c r="A638" s="1">
        <v>637</v>
      </c>
      <c r="B638" s="2" t="s">
        <v>2114</v>
      </c>
      <c r="C638" s="3">
        <v>45097</v>
      </c>
      <c r="D638" s="3">
        <v>45101</v>
      </c>
      <c r="E638" s="1" t="s">
        <v>22</v>
      </c>
      <c r="F638" s="1" t="s">
        <v>603</v>
      </c>
      <c r="G638" s="1" t="s">
        <v>604</v>
      </c>
      <c r="H638" s="1" t="s">
        <v>25</v>
      </c>
      <c r="I638" s="1" t="s">
        <v>26</v>
      </c>
      <c r="J638" s="1" t="s">
        <v>994</v>
      </c>
      <c r="K638" s="1" t="s">
        <v>28</v>
      </c>
      <c r="L638" s="1">
        <v>75023</v>
      </c>
      <c r="M638" s="1" t="s">
        <v>29</v>
      </c>
      <c r="N638" s="1" t="s">
        <v>2126</v>
      </c>
      <c r="O638" s="1" t="s">
        <v>31</v>
      </c>
      <c r="P638" s="1" t="s">
        <v>32</v>
      </c>
      <c r="Q638" s="1" t="s">
        <v>2127</v>
      </c>
      <c r="R638" s="1">
        <v>15.552000000000003</v>
      </c>
      <c r="S638" s="1">
        <v>3</v>
      </c>
      <c r="T638" s="1">
        <v>0.2</v>
      </c>
      <c r="U638" s="1">
        <v>5.4432</v>
      </c>
    </row>
    <row r="639" spans="1:21" ht="15.75" x14ac:dyDescent="0.25">
      <c r="A639" s="1">
        <v>638</v>
      </c>
      <c r="B639" s="2" t="s">
        <v>2114</v>
      </c>
      <c r="C639" s="3">
        <v>45097</v>
      </c>
      <c r="D639" s="3">
        <v>45101</v>
      </c>
      <c r="E639" s="1" t="s">
        <v>22</v>
      </c>
      <c r="F639" s="1" t="s">
        <v>603</v>
      </c>
      <c r="G639" s="1" t="s">
        <v>604</v>
      </c>
      <c r="H639" s="1" t="s">
        <v>25</v>
      </c>
      <c r="I639" s="1" t="s">
        <v>26</v>
      </c>
      <c r="J639" s="1" t="s">
        <v>994</v>
      </c>
      <c r="K639" s="1" t="s">
        <v>28</v>
      </c>
      <c r="L639" s="1">
        <v>75023</v>
      </c>
      <c r="M639" s="1" t="s">
        <v>29</v>
      </c>
      <c r="N639" s="1" t="s">
        <v>2128</v>
      </c>
      <c r="O639" s="1" t="s">
        <v>31</v>
      </c>
      <c r="P639" s="1" t="s">
        <v>47</v>
      </c>
      <c r="Q639" s="1" t="s">
        <v>2129</v>
      </c>
      <c r="R639" s="1">
        <v>509.48800000000006</v>
      </c>
      <c r="S639" s="1">
        <v>7</v>
      </c>
      <c r="T639" s="1">
        <v>0.2</v>
      </c>
      <c r="U639" s="1">
        <v>-127.37200000000001</v>
      </c>
    </row>
    <row r="640" spans="1:21" ht="15.75" x14ac:dyDescent="0.25">
      <c r="A640" s="1">
        <v>639</v>
      </c>
      <c r="B640" s="2" t="s">
        <v>2114</v>
      </c>
      <c r="C640" s="3">
        <v>45097</v>
      </c>
      <c r="D640" s="3">
        <v>45101</v>
      </c>
      <c r="E640" s="1" t="s">
        <v>22</v>
      </c>
      <c r="F640" s="1" t="s">
        <v>603</v>
      </c>
      <c r="G640" s="1" t="s">
        <v>604</v>
      </c>
      <c r="H640" s="1" t="s">
        <v>25</v>
      </c>
      <c r="I640" s="1" t="s">
        <v>26</v>
      </c>
      <c r="J640" s="1" t="s">
        <v>994</v>
      </c>
      <c r="K640" s="1" t="s">
        <v>28</v>
      </c>
      <c r="L640" s="1">
        <v>75023</v>
      </c>
      <c r="M640" s="1" t="s">
        <v>29</v>
      </c>
      <c r="N640" s="1" t="s">
        <v>2130</v>
      </c>
      <c r="O640" s="1" t="s">
        <v>96</v>
      </c>
      <c r="P640" s="1" t="s">
        <v>754</v>
      </c>
      <c r="Q640" s="1" t="s">
        <v>2131</v>
      </c>
      <c r="R640" s="1">
        <v>418.8</v>
      </c>
      <c r="S640" s="1">
        <v>2</v>
      </c>
      <c r="T640" s="1">
        <v>0.4</v>
      </c>
      <c r="U640" s="1">
        <v>-97.71999999999997</v>
      </c>
    </row>
    <row r="641" spans="1:21" ht="15.75" x14ac:dyDescent="0.25">
      <c r="A641" s="1">
        <v>640</v>
      </c>
      <c r="B641" s="2" t="s">
        <v>2114</v>
      </c>
      <c r="C641" s="3">
        <v>45097</v>
      </c>
      <c r="D641" s="3">
        <v>45101</v>
      </c>
      <c r="E641" s="1" t="s">
        <v>22</v>
      </c>
      <c r="F641" s="1" t="s">
        <v>603</v>
      </c>
      <c r="G641" s="1" t="s">
        <v>604</v>
      </c>
      <c r="H641" s="1" t="s">
        <v>25</v>
      </c>
      <c r="I641" s="1" t="s">
        <v>26</v>
      </c>
      <c r="J641" s="1" t="s">
        <v>994</v>
      </c>
      <c r="K641" s="1" t="s">
        <v>28</v>
      </c>
      <c r="L641" s="1">
        <v>75023</v>
      </c>
      <c r="M641" s="1" t="s">
        <v>29</v>
      </c>
      <c r="N641" s="1" t="s">
        <v>2132</v>
      </c>
      <c r="O641" s="1" t="s">
        <v>96</v>
      </c>
      <c r="P641" s="1" t="s">
        <v>97</v>
      </c>
      <c r="Q641" s="1" t="s">
        <v>2133</v>
      </c>
      <c r="R641" s="1">
        <v>201.584</v>
      </c>
      <c r="S641" s="1">
        <v>2</v>
      </c>
      <c r="T641" s="1">
        <v>0.2</v>
      </c>
      <c r="U641" s="1">
        <v>20.158400000000015</v>
      </c>
    </row>
    <row r="642" spans="1:21" ht="15.75" x14ac:dyDescent="0.25">
      <c r="A642" s="1">
        <v>641</v>
      </c>
      <c r="B642" s="2" t="s">
        <v>2134</v>
      </c>
      <c r="C642" s="3">
        <v>45098</v>
      </c>
      <c r="D642" s="3">
        <v>45102</v>
      </c>
      <c r="E642" s="1" t="s">
        <v>22</v>
      </c>
      <c r="F642" s="1" t="s">
        <v>2135</v>
      </c>
      <c r="G642" s="1" t="s">
        <v>2136</v>
      </c>
      <c r="H642" s="1" t="s">
        <v>25</v>
      </c>
      <c r="I642" s="1" t="s">
        <v>26</v>
      </c>
      <c r="J642" s="1" t="s">
        <v>52</v>
      </c>
      <c r="K642" s="1" t="s">
        <v>53</v>
      </c>
      <c r="L642" s="1">
        <v>19120</v>
      </c>
      <c r="M642" s="1" t="s">
        <v>54</v>
      </c>
      <c r="N642" s="1" t="s">
        <v>2137</v>
      </c>
      <c r="O642" s="1" t="s">
        <v>65</v>
      </c>
      <c r="P642" s="1" t="s">
        <v>106</v>
      </c>
      <c r="Q642" s="1" t="s">
        <v>2138</v>
      </c>
      <c r="R642" s="1">
        <v>3.9840000000000004</v>
      </c>
      <c r="S642" s="1">
        <v>1</v>
      </c>
      <c r="T642" s="1">
        <v>0.2</v>
      </c>
      <c r="U642" s="1">
        <v>0.64739999999999964</v>
      </c>
    </row>
    <row r="643" spans="1:21" ht="15.75" x14ac:dyDescent="0.25">
      <c r="A643" s="1">
        <v>642</v>
      </c>
      <c r="B643" s="2" t="s">
        <v>2139</v>
      </c>
      <c r="C643" s="3">
        <v>45098</v>
      </c>
      <c r="D643" s="3">
        <v>45100</v>
      </c>
      <c r="E643" s="1" t="s">
        <v>87</v>
      </c>
      <c r="F643" s="1" t="s">
        <v>1666</v>
      </c>
      <c r="G643" s="1" t="s">
        <v>1667</v>
      </c>
      <c r="H643" s="1" t="s">
        <v>25</v>
      </c>
      <c r="I643" s="1" t="s">
        <v>26</v>
      </c>
      <c r="J643" s="1" t="s">
        <v>2140</v>
      </c>
      <c r="K643" s="1" t="s">
        <v>123</v>
      </c>
      <c r="L643" s="1">
        <v>22980</v>
      </c>
      <c r="M643" s="1" t="s">
        <v>63</v>
      </c>
      <c r="N643" s="1" t="s">
        <v>2141</v>
      </c>
      <c r="O643" s="1" t="s">
        <v>65</v>
      </c>
      <c r="P643" s="1" t="s">
        <v>106</v>
      </c>
      <c r="Q643" s="1" t="s">
        <v>2142</v>
      </c>
      <c r="R643" s="1">
        <v>104.01</v>
      </c>
      <c r="S643" s="1">
        <v>1</v>
      </c>
      <c r="T643" s="1">
        <v>0</v>
      </c>
      <c r="U643" s="1">
        <v>14.561400000000006</v>
      </c>
    </row>
    <row r="644" spans="1:21" ht="15.75" x14ac:dyDescent="0.25">
      <c r="A644" s="1">
        <v>643</v>
      </c>
      <c r="B644" s="2" t="s">
        <v>2143</v>
      </c>
      <c r="C644" s="3">
        <v>45098</v>
      </c>
      <c r="D644" s="3">
        <v>45101</v>
      </c>
      <c r="E644" s="1" t="s">
        <v>71</v>
      </c>
      <c r="F644" s="1" t="s">
        <v>2144</v>
      </c>
      <c r="G644" s="1" t="s">
        <v>2145</v>
      </c>
      <c r="H644" s="1" t="s">
        <v>25</v>
      </c>
      <c r="I644" s="1" t="s">
        <v>26</v>
      </c>
      <c r="J644" s="1" t="s">
        <v>348</v>
      </c>
      <c r="K644" s="1" t="s">
        <v>349</v>
      </c>
      <c r="L644" s="1">
        <v>10024</v>
      </c>
      <c r="M644" s="1" t="s">
        <v>54</v>
      </c>
      <c r="N644" s="1" t="s">
        <v>488</v>
      </c>
      <c r="O644" s="1" t="s">
        <v>31</v>
      </c>
      <c r="P644" s="1" t="s">
        <v>205</v>
      </c>
      <c r="Q644" s="1" t="s">
        <v>489</v>
      </c>
      <c r="R644" s="1">
        <v>59.699999999999996</v>
      </c>
      <c r="S644" s="1">
        <v>3</v>
      </c>
      <c r="T644" s="1">
        <v>0</v>
      </c>
      <c r="U644" s="1">
        <v>26.864999999999995</v>
      </c>
    </row>
    <row r="645" spans="1:21" ht="15.75" x14ac:dyDescent="0.25">
      <c r="A645" s="1">
        <v>644</v>
      </c>
      <c r="B645" s="2" t="s">
        <v>2134</v>
      </c>
      <c r="C645" s="3">
        <v>45098</v>
      </c>
      <c r="D645" s="3">
        <v>45102</v>
      </c>
      <c r="E645" s="1" t="s">
        <v>22</v>
      </c>
      <c r="F645" s="1" t="s">
        <v>2135</v>
      </c>
      <c r="G645" s="1" t="s">
        <v>2136</v>
      </c>
      <c r="H645" s="1" t="s">
        <v>25</v>
      </c>
      <c r="I645" s="1" t="s">
        <v>26</v>
      </c>
      <c r="J645" s="1" t="s">
        <v>52</v>
      </c>
      <c r="K645" s="1" t="s">
        <v>53</v>
      </c>
      <c r="L645" s="1">
        <v>19120</v>
      </c>
      <c r="M645" s="1" t="s">
        <v>54</v>
      </c>
      <c r="N645" s="1" t="s">
        <v>2146</v>
      </c>
      <c r="O645" s="1" t="s">
        <v>31</v>
      </c>
      <c r="P645" s="1" t="s">
        <v>205</v>
      </c>
      <c r="Q645" s="1" t="s">
        <v>2147</v>
      </c>
      <c r="R645" s="1">
        <v>44.416000000000004</v>
      </c>
      <c r="S645" s="1">
        <v>2</v>
      </c>
      <c r="T645" s="1">
        <v>0.2</v>
      </c>
      <c r="U645" s="1">
        <v>3.8864000000000001</v>
      </c>
    </row>
    <row r="646" spans="1:21" ht="15.75" x14ac:dyDescent="0.25">
      <c r="A646" s="1">
        <v>645</v>
      </c>
      <c r="B646" s="2" t="s">
        <v>2148</v>
      </c>
      <c r="C646" s="3">
        <v>45098</v>
      </c>
      <c r="D646" s="3">
        <v>45102</v>
      </c>
      <c r="E646" s="1" t="s">
        <v>22</v>
      </c>
      <c r="F646" s="1" t="s">
        <v>564</v>
      </c>
      <c r="G646" s="1" t="s">
        <v>565</v>
      </c>
      <c r="H646" s="1" t="s">
        <v>25</v>
      </c>
      <c r="I646" s="1" t="s">
        <v>26</v>
      </c>
      <c r="J646" s="1" t="s">
        <v>1912</v>
      </c>
      <c r="K646" s="1" t="s">
        <v>425</v>
      </c>
      <c r="L646" s="1">
        <v>8701</v>
      </c>
      <c r="M646" s="1" t="s">
        <v>54</v>
      </c>
      <c r="N646" s="1" t="s">
        <v>2149</v>
      </c>
      <c r="O646" s="1" t="s">
        <v>31</v>
      </c>
      <c r="P646" s="1" t="s">
        <v>56</v>
      </c>
      <c r="Q646" s="1" t="s">
        <v>2150</v>
      </c>
      <c r="R646" s="1">
        <v>3.76</v>
      </c>
      <c r="S646" s="1">
        <v>2</v>
      </c>
      <c r="T646" s="1">
        <v>0</v>
      </c>
      <c r="U646" s="1">
        <v>1.0903999999999998</v>
      </c>
    </row>
    <row r="647" spans="1:21" ht="15.75" x14ac:dyDescent="0.25">
      <c r="A647" s="1">
        <v>646</v>
      </c>
      <c r="B647" s="2" t="s">
        <v>2151</v>
      </c>
      <c r="C647" s="3">
        <v>45098</v>
      </c>
      <c r="D647" s="3">
        <v>45101</v>
      </c>
      <c r="E647" s="1" t="s">
        <v>71</v>
      </c>
      <c r="F647" s="1" t="s">
        <v>1639</v>
      </c>
      <c r="G647" s="1" t="s">
        <v>1640</v>
      </c>
      <c r="H647" s="1" t="s">
        <v>25</v>
      </c>
      <c r="I647" s="1" t="s">
        <v>26</v>
      </c>
      <c r="J647" s="1" t="s">
        <v>2152</v>
      </c>
      <c r="K647" s="1" t="s">
        <v>1517</v>
      </c>
      <c r="L647" s="1">
        <v>6450</v>
      </c>
      <c r="M647" s="1" t="s">
        <v>54</v>
      </c>
      <c r="N647" s="1" t="s">
        <v>2153</v>
      </c>
      <c r="O647" s="1" t="s">
        <v>31</v>
      </c>
      <c r="P647" s="1" t="s">
        <v>56</v>
      </c>
      <c r="Q647" s="1" t="s">
        <v>2154</v>
      </c>
      <c r="R647" s="1">
        <v>21.400000000000002</v>
      </c>
      <c r="S647" s="1">
        <v>5</v>
      </c>
      <c r="T647" s="1">
        <v>0</v>
      </c>
      <c r="U647" s="1">
        <v>6.2059999999999977</v>
      </c>
    </row>
    <row r="648" spans="1:21" ht="15.75" x14ac:dyDescent="0.25">
      <c r="A648" s="1">
        <v>647</v>
      </c>
      <c r="B648" s="2" t="s">
        <v>2134</v>
      </c>
      <c r="C648" s="3">
        <v>45098</v>
      </c>
      <c r="D648" s="3">
        <v>45102</v>
      </c>
      <c r="E648" s="1" t="s">
        <v>22</v>
      </c>
      <c r="F648" s="1" t="s">
        <v>2135</v>
      </c>
      <c r="G648" s="1" t="s">
        <v>2136</v>
      </c>
      <c r="H648" s="1" t="s">
        <v>25</v>
      </c>
      <c r="I648" s="1" t="s">
        <v>26</v>
      </c>
      <c r="J648" s="1" t="s">
        <v>52</v>
      </c>
      <c r="K648" s="1" t="s">
        <v>53</v>
      </c>
      <c r="L648" s="1">
        <v>19120</v>
      </c>
      <c r="M648" s="1" t="s">
        <v>54</v>
      </c>
      <c r="N648" s="1" t="s">
        <v>2155</v>
      </c>
      <c r="O648" s="1" t="s">
        <v>31</v>
      </c>
      <c r="P648" s="1" t="s">
        <v>41</v>
      </c>
      <c r="Q648" s="1" t="s">
        <v>2156</v>
      </c>
      <c r="R648" s="1">
        <v>9.006000000000002</v>
      </c>
      <c r="S648" s="1">
        <v>2</v>
      </c>
      <c r="T648" s="1">
        <v>0.7</v>
      </c>
      <c r="U648" s="1">
        <v>-7.2048000000000023</v>
      </c>
    </row>
    <row r="649" spans="1:21" ht="15.75" x14ac:dyDescent="0.25">
      <c r="A649" s="1">
        <v>648</v>
      </c>
      <c r="B649" s="2" t="s">
        <v>2157</v>
      </c>
      <c r="C649" s="3">
        <v>45098</v>
      </c>
      <c r="D649" s="3">
        <v>45098</v>
      </c>
      <c r="E649" s="1" t="s">
        <v>497</v>
      </c>
      <c r="F649" s="1" t="s">
        <v>1295</v>
      </c>
      <c r="G649" s="1" t="s">
        <v>1296</v>
      </c>
      <c r="H649" s="1" t="s">
        <v>25</v>
      </c>
      <c r="I649" s="1" t="s">
        <v>26</v>
      </c>
      <c r="J649" s="1" t="s">
        <v>2158</v>
      </c>
      <c r="K649" s="1" t="s">
        <v>674</v>
      </c>
      <c r="L649" s="1">
        <v>81001</v>
      </c>
      <c r="M649" s="1" t="s">
        <v>92</v>
      </c>
      <c r="N649" s="1" t="s">
        <v>2159</v>
      </c>
      <c r="O649" s="1" t="s">
        <v>31</v>
      </c>
      <c r="P649" s="1" t="s">
        <v>41</v>
      </c>
      <c r="Q649" s="1" t="s">
        <v>2160</v>
      </c>
      <c r="R649" s="1">
        <v>11.088000000000003</v>
      </c>
      <c r="S649" s="1">
        <v>7</v>
      </c>
      <c r="T649" s="1">
        <v>0.7</v>
      </c>
      <c r="U649" s="1">
        <v>-8.1311999999999998</v>
      </c>
    </row>
    <row r="650" spans="1:21" ht="15.75" x14ac:dyDescent="0.25">
      <c r="A650" s="1">
        <v>649</v>
      </c>
      <c r="B650" s="2" t="s">
        <v>2157</v>
      </c>
      <c r="C650" s="3">
        <v>45098</v>
      </c>
      <c r="D650" s="3">
        <v>45098</v>
      </c>
      <c r="E650" s="1" t="s">
        <v>497</v>
      </c>
      <c r="F650" s="1" t="s">
        <v>1295</v>
      </c>
      <c r="G650" s="1" t="s">
        <v>1296</v>
      </c>
      <c r="H650" s="1" t="s">
        <v>25</v>
      </c>
      <c r="I650" s="1" t="s">
        <v>26</v>
      </c>
      <c r="J650" s="1" t="s">
        <v>2158</v>
      </c>
      <c r="K650" s="1" t="s">
        <v>674</v>
      </c>
      <c r="L650" s="1">
        <v>81001</v>
      </c>
      <c r="M650" s="1" t="s">
        <v>92</v>
      </c>
      <c r="N650" s="1" t="s">
        <v>2161</v>
      </c>
      <c r="O650" s="1" t="s">
        <v>31</v>
      </c>
      <c r="P650" s="1" t="s">
        <v>41</v>
      </c>
      <c r="Q650" s="1" t="s">
        <v>2162</v>
      </c>
      <c r="R650" s="1">
        <v>25.164000000000001</v>
      </c>
      <c r="S650" s="1">
        <v>2</v>
      </c>
      <c r="T650" s="1">
        <v>0.7</v>
      </c>
      <c r="U650" s="1">
        <v>-16.775999999999996</v>
      </c>
    </row>
    <row r="651" spans="1:21" ht="15.75" x14ac:dyDescent="0.25">
      <c r="A651" s="1">
        <v>650</v>
      </c>
      <c r="B651" s="2" t="s">
        <v>2134</v>
      </c>
      <c r="C651" s="3">
        <v>45098</v>
      </c>
      <c r="D651" s="3">
        <v>45102</v>
      </c>
      <c r="E651" s="1" t="s">
        <v>22</v>
      </c>
      <c r="F651" s="1" t="s">
        <v>2135</v>
      </c>
      <c r="G651" s="1" t="s">
        <v>2136</v>
      </c>
      <c r="H651" s="1" t="s">
        <v>25</v>
      </c>
      <c r="I651" s="1" t="s">
        <v>26</v>
      </c>
      <c r="J651" s="1" t="s">
        <v>52</v>
      </c>
      <c r="K651" s="1" t="s">
        <v>53</v>
      </c>
      <c r="L651" s="1">
        <v>19120</v>
      </c>
      <c r="M651" s="1" t="s">
        <v>54</v>
      </c>
      <c r="N651" s="1" t="s">
        <v>260</v>
      </c>
      <c r="O651" s="1" t="s">
        <v>31</v>
      </c>
      <c r="P651" s="1" t="s">
        <v>166</v>
      </c>
      <c r="Q651" s="1" t="s">
        <v>169</v>
      </c>
      <c r="R651" s="1">
        <v>24.896000000000001</v>
      </c>
      <c r="S651" s="1">
        <v>4</v>
      </c>
      <c r="T651" s="1">
        <v>0.2</v>
      </c>
      <c r="U651" s="1">
        <v>8.4024000000000001</v>
      </c>
    </row>
    <row r="652" spans="1:21" ht="15.75" x14ac:dyDescent="0.25">
      <c r="A652" s="1">
        <v>651</v>
      </c>
      <c r="B652" s="2" t="s">
        <v>2143</v>
      </c>
      <c r="C652" s="3">
        <v>45098</v>
      </c>
      <c r="D652" s="3">
        <v>45101</v>
      </c>
      <c r="E652" s="1" t="s">
        <v>71</v>
      </c>
      <c r="F652" s="1" t="s">
        <v>2144</v>
      </c>
      <c r="G652" s="1" t="s">
        <v>2145</v>
      </c>
      <c r="H652" s="1" t="s">
        <v>25</v>
      </c>
      <c r="I652" s="1" t="s">
        <v>26</v>
      </c>
      <c r="J652" s="1" t="s">
        <v>348</v>
      </c>
      <c r="K652" s="1" t="s">
        <v>349</v>
      </c>
      <c r="L652" s="1">
        <v>10024</v>
      </c>
      <c r="M652" s="1" t="s">
        <v>54</v>
      </c>
      <c r="N652" s="1" t="s">
        <v>2163</v>
      </c>
      <c r="O652" s="1" t="s">
        <v>31</v>
      </c>
      <c r="P652" s="1" t="s">
        <v>32</v>
      </c>
      <c r="Q652" s="1" t="s">
        <v>2164</v>
      </c>
      <c r="R652" s="1">
        <v>19.649999999999999</v>
      </c>
      <c r="S652" s="1">
        <v>3</v>
      </c>
      <c r="T652" s="1">
        <v>0</v>
      </c>
      <c r="U652" s="1">
        <v>9.0389999999999997</v>
      </c>
    </row>
    <row r="653" spans="1:21" ht="15.75" x14ac:dyDescent="0.25">
      <c r="A653" s="1">
        <v>652</v>
      </c>
      <c r="B653" s="2" t="s">
        <v>2139</v>
      </c>
      <c r="C653" s="3">
        <v>45098</v>
      </c>
      <c r="D653" s="3">
        <v>45100</v>
      </c>
      <c r="E653" s="1" t="s">
        <v>87</v>
      </c>
      <c r="F653" s="1" t="s">
        <v>1666</v>
      </c>
      <c r="G653" s="1" t="s">
        <v>1667</v>
      </c>
      <c r="H653" s="1" t="s">
        <v>25</v>
      </c>
      <c r="I653" s="1" t="s">
        <v>26</v>
      </c>
      <c r="J653" s="1" t="s">
        <v>2140</v>
      </c>
      <c r="K653" s="1" t="s">
        <v>123</v>
      </c>
      <c r="L653" s="1">
        <v>22980</v>
      </c>
      <c r="M653" s="1" t="s">
        <v>63</v>
      </c>
      <c r="N653" s="1" t="s">
        <v>2165</v>
      </c>
      <c r="O653" s="1" t="s">
        <v>31</v>
      </c>
      <c r="P653" s="1" t="s">
        <v>47</v>
      </c>
      <c r="Q653" s="1" t="s">
        <v>2166</v>
      </c>
      <c r="R653" s="1">
        <v>36.839999999999996</v>
      </c>
      <c r="S653" s="1">
        <v>3</v>
      </c>
      <c r="T653" s="1">
        <v>0</v>
      </c>
      <c r="U653" s="1">
        <v>10.315199999999999</v>
      </c>
    </row>
    <row r="654" spans="1:21" ht="15.75" x14ac:dyDescent="0.25">
      <c r="A654" s="1">
        <v>653</v>
      </c>
      <c r="B654" s="2" t="s">
        <v>2134</v>
      </c>
      <c r="C654" s="3">
        <v>45098</v>
      </c>
      <c r="D654" s="3">
        <v>45102</v>
      </c>
      <c r="E654" s="1" t="s">
        <v>22</v>
      </c>
      <c r="F654" s="1" t="s">
        <v>2135</v>
      </c>
      <c r="G654" s="1" t="s">
        <v>2136</v>
      </c>
      <c r="H654" s="1" t="s">
        <v>25</v>
      </c>
      <c r="I654" s="1" t="s">
        <v>26</v>
      </c>
      <c r="J654" s="1" t="s">
        <v>52</v>
      </c>
      <c r="K654" s="1" t="s">
        <v>53</v>
      </c>
      <c r="L654" s="1">
        <v>19120</v>
      </c>
      <c r="M654" s="1" t="s">
        <v>54</v>
      </c>
      <c r="N654" s="1" t="s">
        <v>187</v>
      </c>
      <c r="O654" s="1" t="s">
        <v>96</v>
      </c>
      <c r="P654" s="1" t="s">
        <v>117</v>
      </c>
      <c r="Q654" s="1" t="s">
        <v>188</v>
      </c>
      <c r="R654" s="1">
        <v>95.968000000000004</v>
      </c>
      <c r="S654" s="1">
        <v>4</v>
      </c>
      <c r="T654" s="1">
        <v>0.2</v>
      </c>
      <c r="U654" s="1">
        <v>28.790400000000009</v>
      </c>
    </row>
    <row r="655" spans="1:21" ht="15.75" x14ac:dyDescent="0.25">
      <c r="A655" s="1">
        <v>654</v>
      </c>
      <c r="B655" s="2" t="s">
        <v>2134</v>
      </c>
      <c r="C655" s="3">
        <v>45098</v>
      </c>
      <c r="D655" s="3">
        <v>45102</v>
      </c>
      <c r="E655" s="1" t="s">
        <v>22</v>
      </c>
      <c r="F655" s="1" t="s">
        <v>2135</v>
      </c>
      <c r="G655" s="1" t="s">
        <v>2136</v>
      </c>
      <c r="H655" s="1" t="s">
        <v>25</v>
      </c>
      <c r="I655" s="1" t="s">
        <v>26</v>
      </c>
      <c r="J655" s="1" t="s">
        <v>52</v>
      </c>
      <c r="K655" s="1" t="s">
        <v>53</v>
      </c>
      <c r="L655" s="1">
        <v>19120</v>
      </c>
      <c r="M655" s="1" t="s">
        <v>54</v>
      </c>
      <c r="N655" s="1" t="s">
        <v>2167</v>
      </c>
      <c r="O655" s="1" t="s">
        <v>96</v>
      </c>
      <c r="P655" s="1" t="s">
        <v>754</v>
      </c>
      <c r="Q655" s="1" t="s">
        <v>2168</v>
      </c>
      <c r="R655" s="1">
        <v>206.99100000000004</v>
      </c>
      <c r="S655" s="1">
        <v>3</v>
      </c>
      <c r="T655" s="1">
        <v>0.7</v>
      </c>
      <c r="U655" s="1">
        <v>-172.49250000000001</v>
      </c>
    </row>
    <row r="656" spans="1:21" ht="15.75" x14ac:dyDescent="0.25">
      <c r="A656" s="1">
        <v>655</v>
      </c>
      <c r="B656" s="2" t="s">
        <v>2169</v>
      </c>
      <c r="C656" s="3">
        <v>45098</v>
      </c>
      <c r="D656" s="3">
        <v>45098</v>
      </c>
      <c r="E656" s="1" t="s">
        <v>497</v>
      </c>
      <c r="F656" s="1" t="s">
        <v>1872</v>
      </c>
      <c r="G656" s="1" t="s">
        <v>1873</v>
      </c>
      <c r="H656" s="1" t="s">
        <v>25</v>
      </c>
      <c r="I656" s="1" t="s">
        <v>26</v>
      </c>
      <c r="J656" s="1" t="s">
        <v>1014</v>
      </c>
      <c r="K656" s="1" t="s">
        <v>349</v>
      </c>
      <c r="L656" s="1">
        <v>11561</v>
      </c>
      <c r="M656" s="1" t="s">
        <v>54</v>
      </c>
      <c r="N656" s="1" t="s">
        <v>2170</v>
      </c>
      <c r="O656" s="1" t="s">
        <v>96</v>
      </c>
      <c r="P656" s="1" t="s">
        <v>97</v>
      </c>
      <c r="Q656" s="1" t="s">
        <v>2171</v>
      </c>
      <c r="R656" s="1">
        <v>1214.8499999999999</v>
      </c>
      <c r="S656" s="1">
        <v>3</v>
      </c>
      <c r="T656" s="1">
        <v>0</v>
      </c>
      <c r="U656" s="1">
        <v>352.30649999999997</v>
      </c>
    </row>
    <row r="657" spans="1:21" ht="15.75" x14ac:dyDescent="0.25">
      <c r="A657" s="1">
        <v>656</v>
      </c>
      <c r="B657" s="2" t="s">
        <v>2139</v>
      </c>
      <c r="C657" s="3">
        <v>45098</v>
      </c>
      <c r="D657" s="3">
        <v>45100</v>
      </c>
      <c r="E657" s="1" t="s">
        <v>87</v>
      </c>
      <c r="F657" s="1" t="s">
        <v>1666</v>
      </c>
      <c r="G657" s="1" t="s">
        <v>1667</v>
      </c>
      <c r="H657" s="1" t="s">
        <v>25</v>
      </c>
      <c r="I657" s="1" t="s">
        <v>26</v>
      </c>
      <c r="J657" s="1" t="s">
        <v>2140</v>
      </c>
      <c r="K657" s="1" t="s">
        <v>123</v>
      </c>
      <c r="L657" s="1">
        <v>22980</v>
      </c>
      <c r="M657" s="1" t="s">
        <v>63</v>
      </c>
      <c r="N657" s="1" t="s">
        <v>2048</v>
      </c>
      <c r="O657" s="1" t="s">
        <v>96</v>
      </c>
      <c r="P657" s="1" t="s">
        <v>97</v>
      </c>
      <c r="Q657" s="1" t="s">
        <v>2049</v>
      </c>
      <c r="R657" s="1">
        <v>284.82</v>
      </c>
      <c r="S657" s="1">
        <v>1</v>
      </c>
      <c r="T657" s="1">
        <v>0</v>
      </c>
      <c r="U657" s="1">
        <v>74.053200000000004</v>
      </c>
    </row>
    <row r="658" spans="1:21" ht="15.75" x14ac:dyDescent="0.25">
      <c r="A658" s="1">
        <v>657</v>
      </c>
      <c r="B658" s="2" t="s">
        <v>2143</v>
      </c>
      <c r="C658" s="3">
        <v>45098</v>
      </c>
      <c r="D658" s="3">
        <v>45101</v>
      </c>
      <c r="E658" s="1" t="s">
        <v>71</v>
      </c>
      <c r="F658" s="1" t="s">
        <v>2144</v>
      </c>
      <c r="G658" s="1" t="s">
        <v>2145</v>
      </c>
      <c r="H658" s="1" t="s">
        <v>25</v>
      </c>
      <c r="I658" s="1" t="s">
        <v>26</v>
      </c>
      <c r="J658" s="1" t="s">
        <v>348</v>
      </c>
      <c r="K658" s="1" t="s">
        <v>349</v>
      </c>
      <c r="L658" s="1">
        <v>10024</v>
      </c>
      <c r="M658" s="1" t="s">
        <v>54</v>
      </c>
      <c r="N658" s="1" t="s">
        <v>2172</v>
      </c>
      <c r="O658" s="1" t="s">
        <v>96</v>
      </c>
      <c r="P658" s="1" t="s">
        <v>97</v>
      </c>
      <c r="Q658" s="1" t="s">
        <v>2173</v>
      </c>
      <c r="R658" s="1">
        <v>617.97</v>
      </c>
      <c r="S658" s="1">
        <v>3</v>
      </c>
      <c r="T658" s="1">
        <v>0</v>
      </c>
      <c r="U658" s="1">
        <v>160.6722</v>
      </c>
    </row>
    <row r="659" spans="1:21" ht="15.75" x14ac:dyDescent="0.25">
      <c r="A659" s="1">
        <v>658</v>
      </c>
      <c r="B659" s="2" t="s">
        <v>2148</v>
      </c>
      <c r="C659" s="3">
        <v>45098</v>
      </c>
      <c r="D659" s="3">
        <v>45102</v>
      </c>
      <c r="E659" s="1" t="s">
        <v>22</v>
      </c>
      <c r="F659" s="1" t="s">
        <v>564</v>
      </c>
      <c r="G659" s="1" t="s">
        <v>565</v>
      </c>
      <c r="H659" s="1" t="s">
        <v>25</v>
      </c>
      <c r="I659" s="1" t="s">
        <v>26</v>
      </c>
      <c r="J659" s="1" t="s">
        <v>1912</v>
      </c>
      <c r="K659" s="1" t="s">
        <v>425</v>
      </c>
      <c r="L659" s="1">
        <v>8701</v>
      </c>
      <c r="M659" s="1" t="s">
        <v>54</v>
      </c>
      <c r="N659" s="1" t="s">
        <v>95</v>
      </c>
      <c r="O659" s="1" t="s">
        <v>96</v>
      </c>
      <c r="P659" s="1" t="s">
        <v>97</v>
      </c>
      <c r="Q659" s="1" t="s">
        <v>98</v>
      </c>
      <c r="R659" s="1">
        <v>1322.93</v>
      </c>
      <c r="S659" s="1">
        <v>7</v>
      </c>
      <c r="T659" s="1">
        <v>0</v>
      </c>
      <c r="U659" s="1">
        <v>357.19110000000001</v>
      </c>
    </row>
    <row r="660" spans="1:21" ht="15.75" x14ac:dyDescent="0.25">
      <c r="A660" s="1">
        <v>659</v>
      </c>
      <c r="B660" s="2" t="s">
        <v>2174</v>
      </c>
      <c r="C660" s="3">
        <v>45099</v>
      </c>
      <c r="D660" s="3">
        <v>45104</v>
      </c>
      <c r="E660" s="1" t="s">
        <v>22</v>
      </c>
      <c r="F660" s="1" t="s">
        <v>2175</v>
      </c>
      <c r="G660" s="1" t="s">
        <v>2176</v>
      </c>
      <c r="H660" s="1" t="s">
        <v>25</v>
      </c>
      <c r="I660" s="1" t="s">
        <v>26</v>
      </c>
      <c r="J660" s="1" t="s">
        <v>2177</v>
      </c>
      <c r="K660" s="1" t="s">
        <v>53</v>
      </c>
      <c r="L660" s="1">
        <v>19013</v>
      </c>
      <c r="M660" s="1" t="s">
        <v>54</v>
      </c>
      <c r="N660" s="1" t="s">
        <v>2178</v>
      </c>
      <c r="O660" s="1" t="s">
        <v>65</v>
      </c>
      <c r="P660" s="1" t="s">
        <v>66</v>
      </c>
      <c r="Q660" s="1" t="s">
        <v>2179</v>
      </c>
      <c r="R660" s="1">
        <v>853.92999999999984</v>
      </c>
      <c r="S660" s="1">
        <v>5</v>
      </c>
      <c r="T660" s="1">
        <v>0.3</v>
      </c>
      <c r="U660" s="1">
        <v>0</v>
      </c>
    </row>
    <row r="661" spans="1:21" ht="15.75" x14ac:dyDescent="0.25">
      <c r="A661" s="1">
        <v>660</v>
      </c>
      <c r="B661" s="2" t="s">
        <v>2174</v>
      </c>
      <c r="C661" s="3">
        <v>45099</v>
      </c>
      <c r="D661" s="3">
        <v>45104</v>
      </c>
      <c r="E661" s="1" t="s">
        <v>22</v>
      </c>
      <c r="F661" s="1" t="s">
        <v>2175</v>
      </c>
      <c r="G661" s="1" t="s">
        <v>2176</v>
      </c>
      <c r="H661" s="1" t="s">
        <v>25</v>
      </c>
      <c r="I661" s="1" t="s">
        <v>26</v>
      </c>
      <c r="J661" s="1" t="s">
        <v>2177</v>
      </c>
      <c r="K661" s="1" t="s">
        <v>53</v>
      </c>
      <c r="L661" s="1">
        <v>19013</v>
      </c>
      <c r="M661" s="1" t="s">
        <v>54</v>
      </c>
      <c r="N661" s="1" t="s">
        <v>2180</v>
      </c>
      <c r="O661" s="1" t="s">
        <v>65</v>
      </c>
      <c r="P661" s="1" t="s">
        <v>66</v>
      </c>
      <c r="Q661" s="1" t="s">
        <v>2181</v>
      </c>
      <c r="R661" s="1">
        <v>170.05799999999999</v>
      </c>
      <c r="S661" s="1">
        <v>3</v>
      </c>
      <c r="T661" s="1">
        <v>0.3</v>
      </c>
      <c r="U661" s="1">
        <v>-4.858799999999988</v>
      </c>
    </row>
    <row r="662" spans="1:21" ht="15.75" x14ac:dyDescent="0.25">
      <c r="A662" s="1">
        <v>661</v>
      </c>
      <c r="B662" s="2" t="s">
        <v>2182</v>
      </c>
      <c r="C662" s="3">
        <v>45099</v>
      </c>
      <c r="D662" s="3">
        <v>45099</v>
      </c>
      <c r="E662" s="1" t="s">
        <v>497</v>
      </c>
      <c r="F662" s="1" t="s">
        <v>2144</v>
      </c>
      <c r="G662" s="1" t="s">
        <v>2145</v>
      </c>
      <c r="H662" s="1" t="s">
        <v>25</v>
      </c>
      <c r="I662" s="1" t="s">
        <v>26</v>
      </c>
      <c r="J662" s="1" t="s">
        <v>2183</v>
      </c>
      <c r="K662" s="1" t="s">
        <v>211</v>
      </c>
      <c r="L662" s="1">
        <v>85023</v>
      </c>
      <c r="M662" s="1" t="s">
        <v>92</v>
      </c>
      <c r="N662" s="1" t="s">
        <v>2184</v>
      </c>
      <c r="O662" s="1" t="s">
        <v>31</v>
      </c>
      <c r="P662" s="1" t="s">
        <v>41</v>
      </c>
      <c r="Q662" s="1" t="s">
        <v>2185</v>
      </c>
      <c r="R662" s="1">
        <v>8.2260000000000009</v>
      </c>
      <c r="S662" s="1">
        <v>3</v>
      </c>
      <c r="T662" s="1">
        <v>0.7</v>
      </c>
      <c r="U662" s="1">
        <v>-6.0323999999999991</v>
      </c>
    </row>
    <row r="663" spans="1:21" ht="15.75" x14ac:dyDescent="0.25">
      <c r="A663" s="1">
        <v>662</v>
      </c>
      <c r="B663" s="2" t="s">
        <v>2186</v>
      </c>
      <c r="C663" s="3">
        <v>45099</v>
      </c>
      <c r="D663" s="3">
        <v>45101</v>
      </c>
      <c r="E663" s="1" t="s">
        <v>71</v>
      </c>
      <c r="F663" s="1" t="s">
        <v>2187</v>
      </c>
      <c r="G663" s="1" t="s">
        <v>2188</v>
      </c>
      <c r="H663" s="1" t="s">
        <v>25</v>
      </c>
      <c r="I663" s="1" t="s">
        <v>26</v>
      </c>
      <c r="J663" s="1" t="s">
        <v>2189</v>
      </c>
      <c r="K663" s="1" t="s">
        <v>787</v>
      </c>
      <c r="L663" s="1">
        <v>55407</v>
      </c>
      <c r="M663" s="1" t="s">
        <v>29</v>
      </c>
      <c r="N663" s="1" t="s">
        <v>2190</v>
      </c>
      <c r="O663" s="1" t="s">
        <v>31</v>
      </c>
      <c r="P663" s="1" t="s">
        <v>47</v>
      </c>
      <c r="Q663" s="1" t="s">
        <v>2191</v>
      </c>
      <c r="R663" s="1">
        <v>501.81000000000006</v>
      </c>
      <c r="S663" s="1">
        <v>3</v>
      </c>
      <c r="T663" s="1">
        <v>0</v>
      </c>
      <c r="U663" s="1">
        <v>0</v>
      </c>
    </row>
    <row r="664" spans="1:21" ht="15.75" x14ac:dyDescent="0.25">
      <c r="A664" s="1">
        <v>663</v>
      </c>
      <c r="B664" s="2" t="s">
        <v>2186</v>
      </c>
      <c r="C664" s="3">
        <v>45099</v>
      </c>
      <c r="D664" s="3">
        <v>45101</v>
      </c>
      <c r="E664" s="1" t="s">
        <v>71</v>
      </c>
      <c r="F664" s="1" t="s">
        <v>2187</v>
      </c>
      <c r="G664" s="1" t="s">
        <v>2188</v>
      </c>
      <c r="H664" s="1" t="s">
        <v>25</v>
      </c>
      <c r="I664" s="1" t="s">
        <v>26</v>
      </c>
      <c r="J664" s="1" t="s">
        <v>2189</v>
      </c>
      <c r="K664" s="1" t="s">
        <v>787</v>
      </c>
      <c r="L664" s="1">
        <v>55407</v>
      </c>
      <c r="M664" s="1" t="s">
        <v>29</v>
      </c>
      <c r="N664" s="1" t="s">
        <v>575</v>
      </c>
      <c r="O664" s="1" t="s">
        <v>31</v>
      </c>
      <c r="P664" s="1" t="s">
        <v>47</v>
      </c>
      <c r="Q664" s="1" t="s">
        <v>576</v>
      </c>
      <c r="R664" s="1">
        <v>161.94</v>
      </c>
      <c r="S664" s="1">
        <v>3</v>
      </c>
      <c r="T664" s="1">
        <v>0</v>
      </c>
      <c r="U664" s="1">
        <v>9.716399999999993</v>
      </c>
    </row>
    <row r="665" spans="1:21" ht="15.75" x14ac:dyDescent="0.25">
      <c r="A665" s="1">
        <v>664</v>
      </c>
      <c r="B665" s="2" t="s">
        <v>2192</v>
      </c>
      <c r="C665" s="3">
        <v>45099</v>
      </c>
      <c r="D665" s="3">
        <v>45102</v>
      </c>
      <c r="E665" s="1" t="s">
        <v>71</v>
      </c>
      <c r="F665" s="1" t="s">
        <v>2193</v>
      </c>
      <c r="G665" s="1" t="s">
        <v>2194</v>
      </c>
      <c r="H665" s="1" t="s">
        <v>25</v>
      </c>
      <c r="I665" s="1" t="s">
        <v>26</v>
      </c>
      <c r="J665" s="1" t="s">
        <v>1485</v>
      </c>
      <c r="K665" s="1" t="s">
        <v>674</v>
      </c>
      <c r="L665" s="1">
        <v>80027</v>
      </c>
      <c r="M665" s="1" t="s">
        <v>92</v>
      </c>
      <c r="N665" s="1" t="s">
        <v>2195</v>
      </c>
      <c r="O665" s="1" t="s">
        <v>96</v>
      </c>
      <c r="P665" s="1" t="s">
        <v>117</v>
      </c>
      <c r="Q665" s="1" t="s">
        <v>2196</v>
      </c>
      <c r="R665" s="1">
        <v>196.75200000000001</v>
      </c>
      <c r="S665" s="1">
        <v>6</v>
      </c>
      <c r="T665" s="1">
        <v>0.2</v>
      </c>
      <c r="U665" s="1">
        <v>56.566200000000009</v>
      </c>
    </row>
    <row r="666" spans="1:21" ht="15.75" x14ac:dyDescent="0.25">
      <c r="A666" s="1">
        <v>665</v>
      </c>
      <c r="B666" s="2" t="s">
        <v>2174</v>
      </c>
      <c r="C666" s="3">
        <v>45099</v>
      </c>
      <c r="D666" s="3">
        <v>45104</v>
      </c>
      <c r="E666" s="1" t="s">
        <v>22</v>
      </c>
      <c r="F666" s="1" t="s">
        <v>2175</v>
      </c>
      <c r="G666" s="1" t="s">
        <v>2176</v>
      </c>
      <c r="H666" s="1" t="s">
        <v>25</v>
      </c>
      <c r="I666" s="1" t="s">
        <v>26</v>
      </c>
      <c r="J666" s="1" t="s">
        <v>2177</v>
      </c>
      <c r="K666" s="1" t="s">
        <v>53</v>
      </c>
      <c r="L666" s="1">
        <v>19013</v>
      </c>
      <c r="M666" s="1" t="s">
        <v>54</v>
      </c>
      <c r="N666" s="1" t="s">
        <v>2197</v>
      </c>
      <c r="O666" s="1" t="s">
        <v>96</v>
      </c>
      <c r="P666" s="1" t="s">
        <v>97</v>
      </c>
      <c r="Q666" s="1" t="s">
        <v>2198</v>
      </c>
      <c r="R666" s="1">
        <v>82.782000000000011</v>
      </c>
      <c r="S666" s="1">
        <v>3</v>
      </c>
      <c r="T666" s="1">
        <v>0.4</v>
      </c>
      <c r="U666" s="1">
        <v>-15.176700000000004</v>
      </c>
    </row>
    <row r="667" spans="1:21" ht="15.75" x14ac:dyDescent="0.25">
      <c r="A667" s="1">
        <v>666</v>
      </c>
      <c r="B667" s="2" t="s">
        <v>2199</v>
      </c>
      <c r="C667" s="3">
        <v>45100</v>
      </c>
      <c r="D667" s="3">
        <v>45103</v>
      </c>
      <c r="E667" s="1" t="s">
        <v>71</v>
      </c>
      <c r="F667" s="1" t="s">
        <v>2200</v>
      </c>
      <c r="G667" s="1" t="s">
        <v>2201</v>
      </c>
      <c r="H667" s="1" t="s">
        <v>25</v>
      </c>
      <c r="I667" s="1" t="s">
        <v>26</v>
      </c>
      <c r="J667" s="1" t="s">
        <v>461</v>
      </c>
      <c r="K667" s="1" t="s">
        <v>611</v>
      </c>
      <c r="L667" s="1">
        <v>28027</v>
      </c>
      <c r="M667" s="1" t="s">
        <v>63</v>
      </c>
      <c r="N667" s="1" t="s">
        <v>2202</v>
      </c>
      <c r="O667" s="1" t="s">
        <v>31</v>
      </c>
      <c r="P667" s="1" t="s">
        <v>56</v>
      </c>
      <c r="Q667" s="1" t="s">
        <v>2203</v>
      </c>
      <c r="R667" s="1">
        <v>20.015999999999998</v>
      </c>
      <c r="S667" s="1">
        <v>9</v>
      </c>
      <c r="T667" s="1">
        <v>0.2</v>
      </c>
      <c r="U667" s="1">
        <v>1.7514000000000003</v>
      </c>
    </row>
    <row r="668" spans="1:21" ht="15.75" x14ac:dyDescent="0.25">
      <c r="A668" s="1">
        <v>667</v>
      </c>
      <c r="B668" s="2" t="s">
        <v>2199</v>
      </c>
      <c r="C668" s="3">
        <v>45100</v>
      </c>
      <c r="D668" s="3">
        <v>45103</v>
      </c>
      <c r="E668" s="1" t="s">
        <v>71</v>
      </c>
      <c r="F668" s="1" t="s">
        <v>2200</v>
      </c>
      <c r="G668" s="1" t="s">
        <v>2201</v>
      </c>
      <c r="H668" s="1" t="s">
        <v>25</v>
      </c>
      <c r="I668" s="1" t="s">
        <v>26</v>
      </c>
      <c r="J668" s="1" t="s">
        <v>461</v>
      </c>
      <c r="K668" s="1" t="s">
        <v>611</v>
      </c>
      <c r="L668" s="1">
        <v>28027</v>
      </c>
      <c r="M668" s="1" t="s">
        <v>63</v>
      </c>
      <c r="N668" s="1" t="s">
        <v>2204</v>
      </c>
      <c r="O668" s="1" t="s">
        <v>31</v>
      </c>
      <c r="P668" s="1" t="s">
        <v>475</v>
      </c>
      <c r="Q668" s="1" t="s">
        <v>2205</v>
      </c>
      <c r="R668" s="1">
        <v>3.1040000000000001</v>
      </c>
      <c r="S668" s="1">
        <v>1</v>
      </c>
      <c r="T668" s="1">
        <v>0.2</v>
      </c>
      <c r="U668" s="1">
        <v>0.34919999999999951</v>
      </c>
    </row>
    <row r="669" spans="1:21" ht="15.75" x14ac:dyDescent="0.25">
      <c r="A669" s="1">
        <v>668</v>
      </c>
      <c r="B669" s="2" t="s">
        <v>2206</v>
      </c>
      <c r="C669" s="3">
        <v>45100</v>
      </c>
      <c r="D669" s="3">
        <v>45105</v>
      </c>
      <c r="E669" s="1" t="s">
        <v>22</v>
      </c>
      <c r="F669" s="1" t="s">
        <v>2207</v>
      </c>
      <c r="G669" s="1" t="s">
        <v>2208</v>
      </c>
      <c r="H669" s="1" t="s">
        <v>25</v>
      </c>
      <c r="I669" s="1" t="s">
        <v>26</v>
      </c>
      <c r="J669" s="1" t="s">
        <v>52</v>
      </c>
      <c r="K669" s="1" t="s">
        <v>53</v>
      </c>
      <c r="L669" s="1">
        <v>19143</v>
      </c>
      <c r="M669" s="1" t="s">
        <v>54</v>
      </c>
      <c r="N669" s="1" t="s">
        <v>2209</v>
      </c>
      <c r="O669" s="1" t="s">
        <v>96</v>
      </c>
      <c r="P669" s="1" t="s">
        <v>117</v>
      </c>
      <c r="Q669" s="1" t="s">
        <v>2210</v>
      </c>
      <c r="R669" s="1">
        <v>86.376000000000005</v>
      </c>
      <c r="S669" s="1">
        <v>3</v>
      </c>
      <c r="T669" s="1">
        <v>0.2</v>
      </c>
      <c r="U669" s="1">
        <v>1.079699999999999</v>
      </c>
    </row>
    <row r="670" spans="1:21" ht="15.75" x14ac:dyDescent="0.25">
      <c r="A670" s="1">
        <v>669</v>
      </c>
      <c r="B670" s="2" t="s">
        <v>2211</v>
      </c>
      <c r="C670" s="3">
        <v>45101</v>
      </c>
      <c r="D670" s="3">
        <v>45105</v>
      </c>
      <c r="E670" s="1" t="s">
        <v>22</v>
      </c>
      <c r="F670" s="1" t="s">
        <v>2212</v>
      </c>
      <c r="G670" s="1" t="s">
        <v>2213</v>
      </c>
      <c r="H670" s="1" t="s">
        <v>25</v>
      </c>
      <c r="I670" s="1" t="s">
        <v>26</v>
      </c>
      <c r="J670" s="1" t="s">
        <v>900</v>
      </c>
      <c r="K670" s="1" t="s">
        <v>211</v>
      </c>
      <c r="L670" s="1">
        <v>85705</v>
      </c>
      <c r="M670" s="1" t="s">
        <v>92</v>
      </c>
      <c r="N670" s="1" t="s">
        <v>2214</v>
      </c>
      <c r="O670" s="1" t="s">
        <v>65</v>
      </c>
      <c r="P670" s="1" t="s">
        <v>106</v>
      </c>
      <c r="Q670" s="1" t="s">
        <v>2215</v>
      </c>
      <c r="R670" s="1">
        <v>4.2720000000000002</v>
      </c>
      <c r="S670" s="1">
        <v>2</v>
      </c>
      <c r="T670" s="1">
        <v>0.2</v>
      </c>
      <c r="U670" s="1">
        <v>0.96119999999999983</v>
      </c>
    </row>
    <row r="671" spans="1:21" ht="15.75" x14ac:dyDescent="0.25">
      <c r="A671" s="1">
        <v>670</v>
      </c>
      <c r="B671" s="2" t="s">
        <v>2216</v>
      </c>
      <c r="C671" s="3">
        <v>45102</v>
      </c>
      <c r="D671" s="3">
        <v>45105</v>
      </c>
      <c r="E671" s="1" t="s">
        <v>71</v>
      </c>
      <c r="F671" s="1" t="s">
        <v>2217</v>
      </c>
      <c r="G671" s="1" t="s">
        <v>2218</v>
      </c>
      <c r="H671" s="1" t="s">
        <v>74</v>
      </c>
      <c r="I671" s="1" t="s">
        <v>26</v>
      </c>
      <c r="J671" s="1" t="s">
        <v>90</v>
      </c>
      <c r="K671" s="1" t="s">
        <v>91</v>
      </c>
      <c r="L671" s="1">
        <v>90049</v>
      </c>
      <c r="M671" s="1" t="s">
        <v>92</v>
      </c>
      <c r="N671" s="1" t="s">
        <v>2219</v>
      </c>
      <c r="O671" s="1" t="s">
        <v>65</v>
      </c>
      <c r="P671" s="1" t="s">
        <v>339</v>
      </c>
      <c r="Q671" s="1" t="s">
        <v>2220</v>
      </c>
      <c r="R671" s="1">
        <v>447.84</v>
      </c>
      <c r="S671" s="1">
        <v>5</v>
      </c>
      <c r="T671" s="1">
        <v>0.2</v>
      </c>
      <c r="U671" s="1">
        <v>11.19599999999997</v>
      </c>
    </row>
    <row r="672" spans="1:21" ht="15.75" x14ac:dyDescent="0.25">
      <c r="A672" s="1">
        <v>671</v>
      </c>
      <c r="B672" s="2" t="s">
        <v>2221</v>
      </c>
      <c r="C672" s="3">
        <v>45102</v>
      </c>
      <c r="D672" s="3">
        <v>45104</v>
      </c>
      <c r="E672" s="1" t="s">
        <v>87</v>
      </c>
      <c r="F672" s="1" t="s">
        <v>2222</v>
      </c>
      <c r="G672" s="1" t="s">
        <v>2223</v>
      </c>
      <c r="H672" s="1" t="s">
        <v>74</v>
      </c>
      <c r="I672" s="1" t="s">
        <v>26</v>
      </c>
      <c r="J672" s="1" t="s">
        <v>2224</v>
      </c>
      <c r="K672" s="1" t="s">
        <v>203</v>
      </c>
      <c r="L672" s="1">
        <v>97301</v>
      </c>
      <c r="M672" s="1" t="s">
        <v>92</v>
      </c>
      <c r="N672" s="1" t="s">
        <v>2225</v>
      </c>
      <c r="O672" s="1" t="s">
        <v>31</v>
      </c>
      <c r="P672" s="1" t="s">
        <v>56</v>
      </c>
      <c r="Q672" s="1" t="s">
        <v>2226</v>
      </c>
      <c r="R672" s="1">
        <v>9.3280000000000012</v>
      </c>
      <c r="S672" s="1">
        <v>1</v>
      </c>
      <c r="T672" s="1">
        <v>0.2</v>
      </c>
      <c r="U672" s="1">
        <v>0.8162000000000007</v>
      </c>
    </row>
    <row r="673" spans="1:21" ht="15.75" x14ac:dyDescent="0.25">
      <c r="A673" s="1">
        <v>672</v>
      </c>
      <c r="B673" s="2" t="s">
        <v>2221</v>
      </c>
      <c r="C673" s="3">
        <v>45102</v>
      </c>
      <c r="D673" s="3">
        <v>45104</v>
      </c>
      <c r="E673" s="1" t="s">
        <v>87</v>
      </c>
      <c r="F673" s="1" t="s">
        <v>2222</v>
      </c>
      <c r="G673" s="1" t="s">
        <v>2223</v>
      </c>
      <c r="H673" s="1" t="s">
        <v>74</v>
      </c>
      <c r="I673" s="1" t="s">
        <v>26</v>
      </c>
      <c r="J673" s="1" t="s">
        <v>2224</v>
      </c>
      <c r="K673" s="1" t="s">
        <v>203</v>
      </c>
      <c r="L673" s="1">
        <v>97301</v>
      </c>
      <c r="M673" s="1" t="s">
        <v>92</v>
      </c>
      <c r="N673" s="1" t="s">
        <v>55</v>
      </c>
      <c r="O673" s="1" t="s">
        <v>31</v>
      </c>
      <c r="P673" s="1" t="s">
        <v>56</v>
      </c>
      <c r="Q673" s="1" t="s">
        <v>57</v>
      </c>
      <c r="R673" s="1">
        <v>71.632000000000005</v>
      </c>
      <c r="S673" s="1">
        <v>11</v>
      </c>
      <c r="T673" s="1">
        <v>0.2</v>
      </c>
      <c r="U673" s="1">
        <v>17.908000000000001</v>
      </c>
    </row>
    <row r="674" spans="1:21" ht="15.75" x14ac:dyDescent="0.25">
      <c r="A674" s="1">
        <v>673</v>
      </c>
      <c r="B674" s="2" t="s">
        <v>2221</v>
      </c>
      <c r="C674" s="3">
        <v>45102</v>
      </c>
      <c r="D674" s="3">
        <v>45104</v>
      </c>
      <c r="E674" s="1" t="s">
        <v>87</v>
      </c>
      <c r="F674" s="1" t="s">
        <v>2222</v>
      </c>
      <c r="G674" s="1" t="s">
        <v>2223</v>
      </c>
      <c r="H674" s="1" t="s">
        <v>74</v>
      </c>
      <c r="I674" s="1" t="s">
        <v>26</v>
      </c>
      <c r="J674" s="1" t="s">
        <v>2224</v>
      </c>
      <c r="K674" s="1" t="s">
        <v>203</v>
      </c>
      <c r="L674" s="1">
        <v>97301</v>
      </c>
      <c r="M674" s="1" t="s">
        <v>92</v>
      </c>
      <c r="N674" s="1" t="s">
        <v>2227</v>
      </c>
      <c r="O674" s="1" t="s">
        <v>96</v>
      </c>
      <c r="P674" s="1" t="s">
        <v>97</v>
      </c>
      <c r="Q674" s="1" t="s">
        <v>2228</v>
      </c>
      <c r="R674" s="1">
        <v>263.96000000000004</v>
      </c>
      <c r="S674" s="1">
        <v>5</v>
      </c>
      <c r="T674" s="1">
        <v>0.2</v>
      </c>
      <c r="U674" s="1">
        <v>19.796999999999997</v>
      </c>
    </row>
    <row r="675" spans="1:21" ht="15.75" x14ac:dyDescent="0.25">
      <c r="A675" s="1">
        <v>674</v>
      </c>
      <c r="B675" s="2" t="s">
        <v>2229</v>
      </c>
      <c r="C675" s="3">
        <v>45104</v>
      </c>
      <c r="D675" s="3">
        <v>45108</v>
      </c>
      <c r="E675" s="1" t="s">
        <v>22</v>
      </c>
      <c r="F675" s="1" t="s">
        <v>2230</v>
      </c>
      <c r="G675" s="1" t="s">
        <v>2231</v>
      </c>
      <c r="H675" s="1" t="s">
        <v>25</v>
      </c>
      <c r="I675" s="1" t="s">
        <v>26</v>
      </c>
      <c r="J675" s="1" t="s">
        <v>2232</v>
      </c>
      <c r="K675" s="1" t="s">
        <v>792</v>
      </c>
      <c r="L675" s="1">
        <v>38671</v>
      </c>
      <c r="M675" s="1" t="s">
        <v>63</v>
      </c>
      <c r="N675" s="1" t="s">
        <v>1174</v>
      </c>
      <c r="O675" s="1" t="s">
        <v>65</v>
      </c>
      <c r="P675" s="1" t="s">
        <v>339</v>
      </c>
      <c r="Q675" s="1" t="s">
        <v>1175</v>
      </c>
      <c r="R675" s="1">
        <v>85.98</v>
      </c>
      <c r="S675" s="1">
        <v>1</v>
      </c>
      <c r="T675" s="1">
        <v>0</v>
      </c>
      <c r="U675" s="1">
        <v>22.354800000000004</v>
      </c>
    </row>
    <row r="676" spans="1:21" ht="15.75" x14ac:dyDescent="0.25">
      <c r="A676" s="1">
        <v>675</v>
      </c>
      <c r="B676" s="2" t="s">
        <v>2229</v>
      </c>
      <c r="C676" s="3">
        <v>45104</v>
      </c>
      <c r="D676" s="3">
        <v>45108</v>
      </c>
      <c r="E676" s="1" t="s">
        <v>22</v>
      </c>
      <c r="F676" s="1" t="s">
        <v>2230</v>
      </c>
      <c r="G676" s="1" t="s">
        <v>2231</v>
      </c>
      <c r="H676" s="1" t="s">
        <v>25</v>
      </c>
      <c r="I676" s="1" t="s">
        <v>26</v>
      </c>
      <c r="J676" s="1" t="s">
        <v>2232</v>
      </c>
      <c r="K676" s="1" t="s">
        <v>792</v>
      </c>
      <c r="L676" s="1">
        <v>38671</v>
      </c>
      <c r="M676" s="1" t="s">
        <v>63</v>
      </c>
      <c r="N676" s="1" t="s">
        <v>328</v>
      </c>
      <c r="O676" s="1" t="s">
        <v>31</v>
      </c>
      <c r="P676" s="1" t="s">
        <v>47</v>
      </c>
      <c r="Q676" s="1" t="s">
        <v>329</v>
      </c>
      <c r="R676" s="1">
        <v>306.2</v>
      </c>
      <c r="S676" s="1">
        <v>5</v>
      </c>
      <c r="T676" s="1">
        <v>0</v>
      </c>
      <c r="U676" s="1">
        <v>0</v>
      </c>
    </row>
    <row r="677" spans="1:21" ht="15.75" x14ac:dyDescent="0.25">
      <c r="A677" s="1">
        <v>676</v>
      </c>
      <c r="B677" s="2" t="s">
        <v>2229</v>
      </c>
      <c r="C677" s="3">
        <v>45104</v>
      </c>
      <c r="D677" s="3">
        <v>45108</v>
      </c>
      <c r="E677" s="1" t="s">
        <v>22</v>
      </c>
      <c r="F677" s="1" t="s">
        <v>2230</v>
      </c>
      <c r="G677" s="1" t="s">
        <v>2231</v>
      </c>
      <c r="H677" s="1" t="s">
        <v>25</v>
      </c>
      <c r="I677" s="1" t="s">
        <v>26</v>
      </c>
      <c r="J677" s="1" t="s">
        <v>2232</v>
      </c>
      <c r="K677" s="1" t="s">
        <v>792</v>
      </c>
      <c r="L677" s="1">
        <v>38671</v>
      </c>
      <c r="M677" s="1" t="s">
        <v>63</v>
      </c>
      <c r="N677" s="1" t="s">
        <v>1590</v>
      </c>
      <c r="O677" s="1" t="s">
        <v>96</v>
      </c>
      <c r="P677" s="1" t="s">
        <v>117</v>
      </c>
      <c r="Q677" s="1" t="s">
        <v>1591</v>
      </c>
      <c r="R677" s="1">
        <v>223.96</v>
      </c>
      <c r="S677" s="1">
        <v>4</v>
      </c>
      <c r="T677" s="1">
        <v>0</v>
      </c>
      <c r="U677" s="1">
        <v>53.750400000000013</v>
      </c>
    </row>
    <row r="678" spans="1:21" ht="15.75" x14ac:dyDescent="0.25">
      <c r="A678" s="1">
        <v>677</v>
      </c>
      <c r="B678" s="2" t="s">
        <v>2233</v>
      </c>
      <c r="C678" s="3">
        <v>45105</v>
      </c>
      <c r="D678" s="3">
        <v>45109</v>
      </c>
      <c r="E678" s="1" t="s">
        <v>22</v>
      </c>
      <c r="F678" s="1" t="s">
        <v>2234</v>
      </c>
      <c r="G678" s="1" t="s">
        <v>2235</v>
      </c>
      <c r="H678" s="1" t="s">
        <v>25</v>
      </c>
      <c r="I678" s="1" t="s">
        <v>26</v>
      </c>
      <c r="J678" s="1" t="s">
        <v>52</v>
      </c>
      <c r="K678" s="1" t="s">
        <v>53</v>
      </c>
      <c r="L678" s="1">
        <v>19140</v>
      </c>
      <c r="M678" s="1" t="s">
        <v>54</v>
      </c>
      <c r="N678" s="1" t="s">
        <v>1463</v>
      </c>
      <c r="O678" s="1" t="s">
        <v>65</v>
      </c>
      <c r="P678" s="1" t="s">
        <v>66</v>
      </c>
      <c r="Q678" s="1" t="s">
        <v>1464</v>
      </c>
      <c r="R678" s="1">
        <v>1228.4649999999999</v>
      </c>
      <c r="S678" s="1">
        <v>5</v>
      </c>
      <c r="T678" s="1">
        <v>0.3</v>
      </c>
      <c r="U678" s="1">
        <v>0</v>
      </c>
    </row>
    <row r="679" spans="1:21" ht="15.75" x14ac:dyDescent="0.25">
      <c r="A679" s="1">
        <v>678</v>
      </c>
      <c r="B679" s="2" t="s">
        <v>2233</v>
      </c>
      <c r="C679" s="3">
        <v>45105</v>
      </c>
      <c r="D679" s="3">
        <v>45109</v>
      </c>
      <c r="E679" s="1" t="s">
        <v>22</v>
      </c>
      <c r="F679" s="1" t="s">
        <v>2234</v>
      </c>
      <c r="G679" s="1" t="s">
        <v>2235</v>
      </c>
      <c r="H679" s="1" t="s">
        <v>25</v>
      </c>
      <c r="I679" s="1" t="s">
        <v>26</v>
      </c>
      <c r="J679" s="1" t="s">
        <v>52</v>
      </c>
      <c r="K679" s="1" t="s">
        <v>53</v>
      </c>
      <c r="L679" s="1">
        <v>19140</v>
      </c>
      <c r="M679" s="1" t="s">
        <v>54</v>
      </c>
      <c r="N679" s="1" t="s">
        <v>2236</v>
      </c>
      <c r="O679" s="1" t="s">
        <v>31</v>
      </c>
      <c r="P679" s="1" t="s">
        <v>41</v>
      </c>
      <c r="Q679" s="1" t="s">
        <v>2237</v>
      </c>
      <c r="R679" s="1">
        <v>3.168000000000001</v>
      </c>
      <c r="S679" s="1">
        <v>3</v>
      </c>
      <c r="T679" s="1">
        <v>0.7</v>
      </c>
      <c r="U679" s="1">
        <v>-2.4287999999999998</v>
      </c>
    </row>
    <row r="680" spans="1:21" ht="15.75" x14ac:dyDescent="0.25">
      <c r="A680" s="1">
        <v>679</v>
      </c>
      <c r="B680" s="2" t="s">
        <v>2233</v>
      </c>
      <c r="C680" s="3">
        <v>45105</v>
      </c>
      <c r="D680" s="3">
        <v>45109</v>
      </c>
      <c r="E680" s="1" t="s">
        <v>22</v>
      </c>
      <c r="F680" s="1" t="s">
        <v>2234</v>
      </c>
      <c r="G680" s="1" t="s">
        <v>2235</v>
      </c>
      <c r="H680" s="1" t="s">
        <v>25</v>
      </c>
      <c r="I680" s="1" t="s">
        <v>26</v>
      </c>
      <c r="J680" s="1" t="s">
        <v>52</v>
      </c>
      <c r="K680" s="1" t="s">
        <v>53</v>
      </c>
      <c r="L680" s="1">
        <v>19140</v>
      </c>
      <c r="M680" s="1" t="s">
        <v>54</v>
      </c>
      <c r="N680" s="1" t="s">
        <v>400</v>
      </c>
      <c r="O680" s="1" t="s">
        <v>31</v>
      </c>
      <c r="P680" s="1" t="s">
        <v>41</v>
      </c>
      <c r="Q680" s="1" t="s">
        <v>401</v>
      </c>
      <c r="R680" s="1">
        <v>31.086000000000006</v>
      </c>
      <c r="S680" s="1">
        <v>3</v>
      </c>
      <c r="T680" s="1">
        <v>0.7</v>
      </c>
      <c r="U680" s="1">
        <v>-22.796399999999991</v>
      </c>
    </row>
    <row r="681" spans="1:21" ht="15.75" x14ac:dyDescent="0.25">
      <c r="A681" s="1">
        <v>680</v>
      </c>
      <c r="B681" s="2" t="s">
        <v>2238</v>
      </c>
      <c r="C681" s="3">
        <v>45105</v>
      </c>
      <c r="D681" s="3">
        <v>45111</v>
      </c>
      <c r="E681" s="1" t="s">
        <v>22</v>
      </c>
      <c r="F681" s="1" t="s">
        <v>2239</v>
      </c>
      <c r="G681" s="1" t="s">
        <v>2240</v>
      </c>
      <c r="H681" s="1" t="s">
        <v>74</v>
      </c>
      <c r="I681" s="1" t="s">
        <v>26</v>
      </c>
      <c r="J681" s="1" t="s">
        <v>355</v>
      </c>
      <c r="K681" s="1" t="s">
        <v>231</v>
      </c>
      <c r="L681" s="1">
        <v>48234</v>
      </c>
      <c r="M681" s="1" t="s">
        <v>29</v>
      </c>
      <c r="N681" s="1" t="s">
        <v>2241</v>
      </c>
      <c r="O681" s="1" t="s">
        <v>31</v>
      </c>
      <c r="P681" s="1" t="s">
        <v>82</v>
      </c>
      <c r="Q681" s="1" t="s">
        <v>383</v>
      </c>
      <c r="R681" s="1">
        <v>6.08</v>
      </c>
      <c r="S681" s="1">
        <v>1</v>
      </c>
      <c r="T681" s="1">
        <v>0</v>
      </c>
      <c r="U681" s="1">
        <v>3.04</v>
      </c>
    </row>
    <row r="682" spans="1:21" ht="15.75" x14ac:dyDescent="0.25">
      <c r="A682" s="1">
        <v>681</v>
      </c>
      <c r="B682" s="2" t="s">
        <v>2233</v>
      </c>
      <c r="C682" s="3">
        <v>45105</v>
      </c>
      <c r="D682" s="3">
        <v>45109</v>
      </c>
      <c r="E682" s="1" t="s">
        <v>22</v>
      </c>
      <c r="F682" s="1" t="s">
        <v>2234</v>
      </c>
      <c r="G682" s="1" t="s">
        <v>2235</v>
      </c>
      <c r="H682" s="1" t="s">
        <v>25</v>
      </c>
      <c r="I682" s="1" t="s">
        <v>26</v>
      </c>
      <c r="J682" s="1" t="s">
        <v>52</v>
      </c>
      <c r="K682" s="1" t="s">
        <v>53</v>
      </c>
      <c r="L682" s="1">
        <v>19140</v>
      </c>
      <c r="M682" s="1" t="s">
        <v>54</v>
      </c>
      <c r="N682" s="1" t="s">
        <v>2242</v>
      </c>
      <c r="O682" s="1" t="s">
        <v>31</v>
      </c>
      <c r="P682" s="1" t="s">
        <v>32</v>
      </c>
      <c r="Q682" s="1" t="s">
        <v>2243</v>
      </c>
      <c r="R682" s="1">
        <v>41.472000000000008</v>
      </c>
      <c r="S682" s="1">
        <v>8</v>
      </c>
      <c r="T682" s="1">
        <v>0.2</v>
      </c>
      <c r="U682" s="1">
        <v>14.5152</v>
      </c>
    </row>
    <row r="683" spans="1:21" ht="15.75" x14ac:dyDescent="0.25">
      <c r="A683" s="1">
        <v>682</v>
      </c>
      <c r="B683" s="2" t="s">
        <v>2233</v>
      </c>
      <c r="C683" s="3">
        <v>45105</v>
      </c>
      <c r="D683" s="3">
        <v>45109</v>
      </c>
      <c r="E683" s="1" t="s">
        <v>22</v>
      </c>
      <c r="F683" s="1" t="s">
        <v>2234</v>
      </c>
      <c r="G683" s="1" t="s">
        <v>2235</v>
      </c>
      <c r="H683" s="1" t="s">
        <v>25</v>
      </c>
      <c r="I683" s="1" t="s">
        <v>26</v>
      </c>
      <c r="J683" s="1" t="s">
        <v>52</v>
      </c>
      <c r="K683" s="1" t="s">
        <v>53</v>
      </c>
      <c r="L683" s="1">
        <v>19140</v>
      </c>
      <c r="M683" s="1" t="s">
        <v>54</v>
      </c>
      <c r="N683" s="1" t="s">
        <v>2244</v>
      </c>
      <c r="O683" s="1" t="s">
        <v>31</v>
      </c>
      <c r="P683" s="1" t="s">
        <v>32</v>
      </c>
      <c r="Q683" s="1" t="s">
        <v>2245</v>
      </c>
      <c r="R683" s="1">
        <v>335.52</v>
      </c>
      <c r="S683" s="1">
        <v>4</v>
      </c>
      <c r="T683" s="1">
        <v>0.2</v>
      </c>
      <c r="U683" s="1">
        <v>117.43199999999999</v>
      </c>
    </row>
    <row r="684" spans="1:21" ht="15.75" x14ac:dyDescent="0.25">
      <c r="A684" s="1">
        <v>683</v>
      </c>
      <c r="B684" s="2" t="s">
        <v>2246</v>
      </c>
      <c r="C684" s="3">
        <v>45106</v>
      </c>
      <c r="D684" s="3">
        <v>45113</v>
      </c>
      <c r="E684" s="1" t="s">
        <v>22</v>
      </c>
      <c r="F684" s="1" t="s">
        <v>2247</v>
      </c>
      <c r="G684" s="1" t="s">
        <v>2248</v>
      </c>
      <c r="H684" s="1" t="s">
        <v>25</v>
      </c>
      <c r="I684" s="1" t="s">
        <v>26</v>
      </c>
      <c r="J684" s="1" t="s">
        <v>2249</v>
      </c>
      <c r="K684" s="1" t="s">
        <v>155</v>
      </c>
      <c r="L684" s="1">
        <v>45231</v>
      </c>
      <c r="M684" s="1" t="s">
        <v>54</v>
      </c>
      <c r="N684" s="1" t="s">
        <v>2250</v>
      </c>
      <c r="O684" s="1" t="s">
        <v>31</v>
      </c>
      <c r="P684" s="1" t="s">
        <v>56</v>
      </c>
      <c r="Q684" s="1" t="s">
        <v>2251</v>
      </c>
      <c r="R684" s="1">
        <v>32.76</v>
      </c>
      <c r="S684" s="1">
        <v>7</v>
      </c>
      <c r="T684" s="1">
        <v>0.2</v>
      </c>
      <c r="U684" s="1">
        <v>3.6854999999999958</v>
      </c>
    </row>
    <row r="685" spans="1:21" ht="15.75" x14ac:dyDescent="0.25">
      <c r="A685" s="1">
        <v>684</v>
      </c>
      <c r="B685" s="2" t="s">
        <v>2252</v>
      </c>
      <c r="C685" s="3">
        <v>45106</v>
      </c>
      <c r="D685" s="3">
        <v>45110</v>
      </c>
      <c r="E685" s="1" t="s">
        <v>22</v>
      </c>
      <c r="F685" s="1" t="s">
        <v>1889</v>
      </c>
      <c r="G685" s="1" t="s">
        <v>1890</v>
      </c>
      <c r="H685" s="1" t="s">
        <v>25</v>
      </c>
      <c r="I685" s="1" t="s">
        <v>26</v>
      </c>
      <c r="J685" s="1" t="s">
        <v>348</v>
      </c>
      <c r="K685" s="1" t="s">
        <v>349</v>
      </c>
      <c r="L685" s="1">
        <v>10024</v>
      </c>
      <c r="M685" s="1" t="s">
        <v>54</v>
      </c>
      <c r="N685" s="1" t="s">
        <v>2253</v>
      </c>
      <c r="O685" s="1" t="s">
        <v>31</v>
      </c>
      <c r="P685" s="1" t="s">
        <v>41</v>
      </c>
      <c r="Q685" s="1" t="s">
        <v>2254</v>
      </c>
      <c r="R685" s="1">
        <v>13.919999999999998</v>
      </c>
      <c r="S685" s="1">
        <v>3</v>
      </c>
      <c r="T685" s="1">
        <v>0.2</v>
      </c>
      <c r="U685" s="1">
        <v>4.8720000000000008</v>
      </c>
    </row>
    <row r="686" spans="1:21" ht="15.75" x14ac:dyDescent="0.25">
      <c r="A686" s="1">
        <v>685</v>
      </c>
      <c r="B686" s="2" t="s">
        <v>2255</v>
      </c>
      <c r="C686" s="3">
        <v>45107</v>
      </c>
      <c r="D686" s="3">
        <v>45113</v>
      </c>
      <c r="E686" s="1" t="s">
        <v>22</v>
      </c>
      <c r="F686" s="1" t="s">
        <v>1495</v>
      </c>
      <c r="G686" s="1" t="s">
        <v>1496</v>
      </c>
      <c r="H686" s="1" t="s">
        <v>25</v>
      </c>
      <c r="I686" s="1" t="s">
        <v>26</v>
      </c>
      <c r="J686" s="1" t="s">
        <v>348</v>
      </c>
      <c r="K686" s="1" t="s">
        <v>349</v>
      </c>
      <c r="L686" s="1">
        <v>10011</v>
      </c>
      <c r="M686" s="1" t="s">
        <v>54</v>
      </c>
      <c r="N686" s="1" t="s">
        <v>2256</v>
      </c>
      <c r="O686" s="1" t="s">
        <v>31</v>
      </c>
      <c r="P686" s="1" t="s">
        <v>56</v>
      </c>
      <c r="Q686" s="1" t="s">
        <v>2257</v>
      </c>
      <c r="R686" s="1">
        <v>6.6000000000000005</v>
      </c>
      <c r="S686" s="1">
        <v>3</v>
      </c>
      <c r="T686" s="1">
        <v>0</v>
      </c>
      <c r="U686" s="1">
        <v>2.9040000000000008</v>
      </c>
    </row>
    <row r="687" spans="1:21" ht="15.75" x14ac:dyDescent="0.25">
      <c r="A687" s="1">
        <v>686</v>
      </c>
      <c r="B687" s="2" t="s">
        <v>2258</v>
      </c>
      <c r="C687" s="3">
        <v>45107</v>
      </c>
      <c r="D687" s="3">
        <v>45110</v>
      </c>
      <c r="E687" s="1" t="s">
        <v>87</v>
      </c>
      <c r="F687" s="1" t="s">
        <v>2259</v>
      </c>
      <c r="G687" s="1" t="s">
        <v>2260</v>
      </c>
      <c r="H687" s="1" t="s">
        <v>74</v>
      </c>
      <c r="I687" s="1" t="s">
        <v>26</v>
      </c>
      <c r="J687" s="1" t="s">
        <v>90</v>
      </c>
      <c r="K687" s="1" t="s">
        <v>91</v>
      </c>
      <c r="L687" s="1">
        <v>90004</v>
      </c>
      <c r="M687" s="1" t="s">
        <v>92</v>
      </c>
      <c r="N687" s="1" t="s">
        <v>625</v>
      </c>
      <c r="O687" s="1" t="s">
        <v>31</v>
      </c>
      <c r="P687" s="1" t="s">
        <v>56</v>
      </c>
      <c r="Q687" s="1" t="s">
        <v>626</v>
      </c>
      <c r="R687" s="1">
        <v>32.400000000000006</v>
      </c>
      <c r="S687" s="1">
        <v>5</v>
      </c>
      <c r="T687" s="1">
        <v>0</v>
      </c>
      <c r="U687" s="1">
        <v>10.367999999999999</v>
      </c>
    </row>
    <row r="688" spans="1:21" ht="15.75" x14ac:dyDescent="0.25">
      <c r="A688" s="1">
        <v>687</v>
      </c>
      <c r="B688" s="2" t="s">
        <v>2261</v>
      </c>
      <c r="C688" s="3">
        <v>45107</v>
      </c>
      <c r="D688" s="3">
        <v>45109</v>
      </c>
      <c r="E688" s="1" t="s">
        <v>71</v>
      </c>
      <c r="F688" s="1" t="s">
        <v>2262</v>
      </c>
      <c r="G688" s="1" t="s">
        <v>2263</v>
      </c>
      <c r="H688" s="1" t="s">
        <v>25</v>
      </c>
      <c r="I688" s="1" t="s">
        <v>26</v>
      </c>
      <c r="J688" s="1" t="s">
        <v>493</v>
      </c>
      <c r="K688" s="1" t="s">
        <v>39</v>
      </c>
      <c r="L688" s="1">
        <v>60653</v>
      </c>
      <c r="M688" s="1" t="s">
        <v>29</v>
      </c>
      <c r="N688" s="1" t="s">
        <v>2264</v>
      </c>
      <c r="O688" s="1" t="s">
        <v>31</v>
      </c>
      <c r="P688" s="1" t="s">
        <v>56</v>
      </c>
      <c r="Q688" s="1" t="s">
        <v>2265</v>
      </c>
      <c r="R688" s="1">
        <v>5.2480000000000002</v>
      </c>
      <c r="S688" s="1">
        <v>4</v>
      </c>
      <c r="T688" s="1">
        <v>0.2</v>
      </c>
      <c r="U688" s="1">
        <v>1.6399999999999995</v>
      </c>
    </row>
    <row r="689" spans="1:21" ht="15.75" x14ac:dyDescent="0.25">
      <c r="A689" s="1">
        <v>688</v>
      </c>
      <c r="B689" s="2" t="s">
        <v>2266</v>
      </c>
      <c r="C689" s="3">
        <v>45107</v>
      </c>
      <c r="D689" s="3">
        <v>45112</v>
      </c>
      <c r="E689" s="1" t="s">
        <v>22</v>
      </c>
      <c r="F689" s="1" t="s">
        <v>2267</v>
      </c>
      <c r="G689" s="1" t="s">
        <v>2268</v>
      </c>
      <c r="H689" s="1" t="s">
        <v>25</v>
      </c>
      <c r="I689" s="1" t="s">
        <v>26</v>
      </c>
      <c r="J689" s="1" t="s">
        <v>348</v>
      </c>
      <c r="K689" s="1" t="s">
        <v>349</v>
      </c>
      <c r="L689" s="1">
        <v>10024</v>
      </c>
      <c r="M689" s="1" t="s">
        <v>54</v>
      </c>
      <c r="N689" s="1" t="s">
        <v>2269</v>
      </c>
      <c r="O689" s="1" t="s">
        <v>31</v>
      </c>
      <c r="P689" s="1" t="s">
        <v>41</v>
      </c>
      <c r="Q689" s="1" t="s">
        <v>2270</v>
      </c>
      <c r="R689" s="1">
        <v>334.76800000000003</v>
      </c>
      <c r="S689" s="1">
        <v>7</v>
      </c>
      <c r="T689" s="1">
        <v>0.2</v>
      </c>
      <c r="U689" s="1">
        <v>108.79959999999997</v>
      </c>
    </row>
    <row r="690" spans="1:21" ht="15.75" x14ac:dyDescent="0.25">
      <c r="A690" s="1">
        <v>689</v>
      </c>
      <c r="B690" s="2" t="s">
        <v>2255</v>
      </c>
      <c r="C690" s="3">
        <v>45107</v>
      </c>
      <c r="D690" s="3">
        <v>45113</v>
      </c>
      <c r="E690" s="1" t="s">
        <v>22</v>
      </c>
      <c r="F690" s="1" t="s">
        <v>1495</v>
      </c>
      <c r="G690" s="1" t="s">
        <v>1496</v>
      </c>
      <c r="H690" s="1" t="s">
        <v>25</v>
      </c>
      <c r="I690" s="1" t="s">
        <v>26</v>
      </c>
      <c r="J690" s="1" t="s">
        <v>348</v>
      </c>
      <c r="K690" s="1" t="s">
        <v>349</v>
      </c>
      <c r="L690" s="1">
        <v>10011</v>
      </c>
      <c r="M690" s="1" t="s">
        <v>54</v>
      </c>
      <c r="N690" s="1" t="s">
        <v>2271</v>
      </c>
      <c r="O690" s="1" t="s">
        <v>31</v>
      </c>
      <c r="P690" s="1" t="s">
        <v>41</v>
      </c>
      <c r="Q690" s="1" t="s">
        <v>2272</v>
      </c>
      <c r="R690" s="1">
        <v>2.6880000000000002</v>
      </c>
      <c r="S690" s="1">
        <v>1</v>
      </c>
      <c r="T690" s="1">
        <v>0.2</v>
      </c>
      <c r="U690" s="1">
        <v>0.83999999999999975</v>
      </c>
    </row>
    <row r="691" spans="1:21" ht="15.75" x14ac:dyDescent="0.25">
      <c r="A691" s="1">
        <v>690</v>
      </c>
      <c r="B691" s="2" t="s">
        <v>2273</v>
      </c>
      <c r="C691" s="3">
        <v>45107</v>
      </c>
      <c r="D691" s="3">
        <v>45111</v>
      </c>
      <c r="E691" s="1" t="s">
        <v>22</v>
      </c>
      <c r="F691" s="1" t="s">
        <v>2274</v>
      </c>
      <c r="G691" s="1" t="s">
        <v>2275</v>
      </c>
      <c r="H691" s="1" t="s">
        <v>74</v>
      </c>
      <c r="I691" s="1" t="s">
        <v>26</v>
      </c>
      <c r="J691" s="1" t="s">
        <v>27</v>
      </c>
      <c r="K691" s="1" t="s">
        <v>28</v>
      </c>
      <c r="L691" s="1">
        <v>77095</v>
      </c>
      <c r="M691" s="1" t="s">
        <v>29</v>
      </c>
      <c r="N691" s="1" t="s">
        <v>1660</v>
      </c>
      <c r="O691" s="1" t="s">
        <v>31</v>
      </c>
      <c r="P691" s="1" t="s">
        <v>82</v>
      </c>
      <c r="Q691" s="1" t="s">
        <v>383</v>
      </c>
      <c r="R691" s="1">
        <v>21.312000000000005</v>
      </c>
      <c r="S691" s="1">
        <v>6</v>
      </c>
      <c r="T691" s="1">
        <v>0.2</v>
      </c>
      <c r="U691" s="1">
        <v>7.1928000000000001</v>
      </c>
    </row>
    <row r="692" spans="1:21" ht="15.75" x14ac:dyDescent="0.25">
      <c r="A692" s="1">
        <v>691</v>
      </c>
      <c r="B692" s="2" t="s">
        <v>2276</v>
      </c>
      <c r="C692" s="3">
        <v>45107</v>
      </c>
      <c r="D692" s="3">
        <v>45107</v>
      </c>
      <c r="E692" s="1" t="s">
        <v>497</v>
      </c>
      <c r="F692" s="1" t="s">
        <v>2277</v>
      </c>
      <c r="G692" s="1" t="s">
        <v>2278</v>
      </c>
      <c r="H692" s="1" t="s">
        <v>25</v>
      </c>
      <c r="I692" s="1" t="s">
        <v>26</v>
      </c>
      <c r="J692" s="1" t="s">
        <v>610</v>
      </c>
      <c r="K692" s="1" t="s">
        <v>611</v>
      </c>
      <c r="L692" s="1">
        <v>28403</v>
      </c>
      <c r="M692" s="1" t="s">
        <v>63</v>
      </c>
      <c r="N692" s="1" t="s">
        <v>2279</v>
      </c>
      <c r="O692" s="1" t="s">
        <v>31</v>
      </c>
      <c r="P692" s="1" t="s">
        <v>32</v>
      </c>
      <c r="Q692" s="1" t="s">
        <v>2280</v>
      </c>
      <c r="R692" s="1">
        <v>310.68799999999999</v>
      </c>
      <c r="S692" s="1">
        <v>7</v>
      </c>
      <c r="T692" s="1">
        <v>0.2</v>
      </c>
      <c r="U692" s="1">
        <v>108.74079999999998</v>
      </c>
    </row>
    <row r="693" spans="1:21" ht="15.75" x14ac:dyDescent="0.25">
      <c r="A693" s="1">
        <v>692</v>
      </c>
      <c r="B693" s="2" t="s">
        <v>2273</v>
      </c>
      <c r="C693" s="3">
        <v>45107</v>
      </c>
      <c r="D693" s="3">
        <v>45111</v>
      </c>
      <c r="E693" s="1" t="s">
        <v>22</v>
      </c>
      <c r="F693" s="1" t="s">
        <v>2274</v>
      </c>
      <c r="G693" s="1" t="s">
        <v>2275</v>
      </c>
      <c r="H693" s="1" t="s">
        <v>74</v>
      </c>
      <c r="I693" s="1" t="s">
        <v>26</v>
      </c>
      <c r="J693" s="1" t="s">
        <v>27</v>
      </c>
      <c r="K693" s="1" t="s">
        <v>28</v>
      </c>
      <c r="L693" s="1">
        <v>77095</v>
      </c>
      <c r="M693" s="1" t="s">
        <v>29</v>
      </c>
      <c r="N693" s="1" t="s">
        <v>93</v>
      </c>
      <c r="O693" s="1" t="s">
        <v>31</v>
      </c>
      <c r="P693" s="1" t="s">
        <v>32</v>
      </c>
      <c r="Q693" s="1" t="s">
        <v>94</v>
      </c>
      <c r="R693" s="1">
        <v>25.920000000000005</v>
      </c>
      <c r="S693" s="1">
        <v>5</v>
      </c>
      <c r="T693" s="1">
        <v>0.2</v>
      </c>
      <c r="U693" s="1">
        <v>9.0719999999999992</v>
      </c>
    </row>
    <row r="694" spans="1:21" ht="15.75" x14ac:dyDescent="0.25">
      <c r="A694" s="1">
        <v>693</v>
      </c>
      <c r="B694" s="2" t="s">
        <v>2281</v>
      </c>
      <c r="C694" s="3">
        <v>45108</v>
      </c>
      <c r="D694" s="3">
        <v>45112</v>
      </c>
      <c r="E694" s="1" t="s">
        <v>22</v>
      </c>
      <c r="F694" s="1" t="s">
        <v>1867</v>
      </c>
      <c r="G694" s="1" t="s">
        <v>1868</v>
      </c>
      <c r="H694" s="1" t="s">
        <v>74</v>
      </c>
      <c r="I694" s="1" t="s">
        <v>26</v>
      </c>
      <c r="J694" s="1" t="s">
        <v>2282</v>
      </c>
      <c r="K694" s="1" t="s">
        <v>273</v>
      </c>
      <c r="L694" s="1">
        <v>32725</v>
      </c>
      <c r="M694" s="1" t="s">
        <v>63</v>
      </c>
      <c r="N694" s="1" t="s">
        <v>2283</v>
      </c>
      <c r="O694" s="1" t="s">
        <v>31</v>
      </c>
      <c r="P694" s="1" t="s">
        <v>41</v>
      </c>
      <c r="Q694" s="1" t="s">
        <v>2284</v>
      </c>
      <c r="R694" s="1">
        <v>5.1840000000000011</v>
      </c>
      <c r="S694" s="1">
        <v>6</v>
      </c>
      <c r="T694" s="1">
        <v>0.7</v>
      </c>
      <c r="U694" s="1">
        <v>-3.6288</v>
      </c>
    </row>
    <row r="695" spans="1:21" ht="15.75" x14ac:dyDescent="0.25">
      <c r="A695" s="1">
        <v>694</v>
      </c>
      <c r="B695" s="2" t="s">
        <v>2285</v>
      </c>
      <c r="C695" s="3">
        <v>45108</v>
      </c>
      <c r="D695" s="3">
        <v>45113</v>
      </c>
      <c r="E695" s="1" t="s">
        <v>87</v>
      </c>
      <c r="F695" s="1" t="s">
        <v>1020</v>
      </c>
      <c r="G695" s="1" t="s">
        <v>1021</v>
      </c>
      <c r="H695" s="1" t="s">
        <v>74</v>
      </c>
      <c r="I695" s="1" t="s">
        <v>26</v>
      </c>
      <c r="J695" s="1" t="s">
        <v>387</v>
      </c>
      <c r="K695" s="1" t="s">
        <v>388</v>
      </c>
      <c r="L695" s="1">
        <v>98105</v>
      </c>
      <c r="M695" s="1" t="s">
        <v>92</v>
      </c>
      <c r="N695" s="1" t="s">
        <v>2286</v>
      </c>
      <c r="O695" s="1" t="s">
        <v>31</v>
      </c>
      <c r="P695" s="1" t="s">
        <v>41</v>
      </c>
      <c r="Q695" s="1" t="s">
        <v>2287</v>
      </c>
      <c r="R695" s="1">
        <v>19.920000000000002</v>
      </c>
      <c r="S695" s="1">
        <v>5</v>
      </c>
      <c r="T695" s="1">
        <v>0.2</v>
      </c>
      <c r="U695" s="1">
        <v>6.9719999999999995</v>
      </c>
    </row>
    <row r="696" spans="1:21" ht="15.75" x14ac:dyDescent="0.25">
      <c r="A696" s="1">
        <v>695</v>
      </c>
      <c r="B696" s="2" t="s">
        <v>2281</v>
      </c>
      <c r="C696" s="3">
        <v>45108</v>
      </c>
      <c r="D696" s="3">
        <v>45112</v>
      </c>
      <c r="E696" s="1" t="s">
        <v>22</v>
      </c>
      <c r="F696" s="1" t="s">
        <v>1867</v>
      </c>
      <c r="G696" s="1" t="s">
        <v>1868</v>
      </c>
      <c r="H696" s="1" t="s">
        <v>74</v>
      </c>
      <c r="I696" s="1" t="s">
        <v>26</v>
      </c>
      <c r="J696" s="1" t="s">
        <v>2282</v>
      </c>
      <c r="K696" s="1" t="s">
        <v>273</v>
      </c>
      <c r="L696" s="1">
        <v>32725</v>
      </c>
      <c r="M696" s="1" t="s">
        <v>63</v>
      </c>
      <c r="N696" s="1" t="s">
        <v>2288</v>
      </c>
      <c r="O696" s="1" t="s">
        <v>96</v>
      </c>
      <c r="P696" s="1" t="s">
        <v>97</v>
      </c>
      <c r="Q696" s="1" t="s">
        <v>2289</v>
      </c>
      <c r="R696" s="1">
        <v>575.91999999999996</v>
      </c>
      <c r="S696" s="1">
        <v>2</v>
      </c>
      <c r="T696" s="1">
        <v>0.2</v>
      </c>
      <c r="U696" s="1">
        <v>71.989999999999981</v>
      </c>
    </row>
    <row r="697" spans="1:21" ht="15.75" x14ac:dyDescent="0.25">
      <c r="A697" s="1">
        <v>696</v>
      </c>
      <c r="B697" s="2" t="s">
        <v>2290</v>
      </c>
      <c r="C697" s="3">
        <v>45109</v>
      </c>
      <c r="D697" s="3">
        <v>45113</v>
      </c>
      <c r="E697" s="1" t="s">
        <v>22</v>
      </c>
      <c r="F697" s="1" t="s">
        <v>2291</v>
      </c>
      <c r="G697" s="1" t="s">
        <v>2292</v>
      </c>
      <c r="H697" s="1" t="s">
        <v>25</v>
      </c>
      <c r="I697" s="1" t="s">
        <v>26</v>
      </c>
      <c r="J697" s="1" t="s">
        <v>2293</v>
      </c>
      <c r="K697" s="1" t="s">
        <v>425</v>
      </c>
      <c r="L697" s="1">
        <v>7060</v>
      </c>
      <c r="M697" s="1" t="s">
        <v>54</v>
      </c>
      <c r="N697" s="1" t="s">
        <v>1602</v>
      </c>
      <c r="O697" s="1" t="s">
        <v>31</v>
      </c>
      <c r="P697" s="1" t="s">
        <v>56</v>
      </c>
      <c r="Q697" s="1" t="s">
        <v>1603</v>
      </c>
      <c r="R697" s="1">
        <v>5.58</v>
      </c>
      <c r="S697" s="1">
        <v>1</v>
      </c>
      <c r="T697" s="1">
        <v>0</v>
      </c>
      <c r="U697" s="1">
        <v>2.1762000000000001</v>
      </c>
    </row>
    <row r="698" spans="1:21" ht="15.75" x14ac:dyDescent="0.25">
      <c r="A698" s="1">
        <v>697</v>
      </c>
      <c r="B698" s="2" t="s">
        <v>2290</v>
      </c>
      <c r="C698" s="3">
        <v>45109</v>
      </c>
      <c r="D698" s="3">
        <v>45113</v>
      </c>
      <c r="E698" s="1" t="s">
        <v>22</v>
      </c>
      <c r="F698" s="1" t="s">
        <v>2291</v>
      </c>
      <c r="G698" s="1" t="s">
        <v>2292</v>
      </c>
      <c r="H698" s="1" t="s">
        <v>25</v>
      </c>
      <c r="I698" s="1" t="s">
        <v>26</v>
      </c>
      <c r="J698" s="1" t="s">
        <v>2293</v>
      </c>
      <c r="K698" s="1" t="s">
        <v>425</v>
      </c>
      <c r="L698" s="1">
        <v>7060</v>
      </c>
      <c r="M698" s="1" t="s">
        <v>54</v>
      </c>
      <c r="N698" s="1" t="s">
        <v>2294</v>
      </c>
      <c r="O698" s="1" t="s">
        <v>96</v>
      </c>
      <c r="P698" s="1" t="s">
        <v>97</v>
      </c>
      <c r="Q698" s="1" t="s">
        <v>2295</v>
      </c>
      <c r="R698" s="1">
        <v>73.98</v>
      </c>
      <c r="S698" s="1">
        <v>2</v>
      </c>
      <c r="T698" s="1">
        <v>0</v>
      </c>
      <c r="U698" s="1">
        <v>19.974600000000002</v>
      </c>
    </row>
    <row r="699" spans="1:21" ht="15.75" x14ac:dyDescent="0.25">
      <c r="A699" s="1">
        <v>698</v>
      </c>
      <c r="B699" s="2" t="s">
        <v>2296</v>
      </c>
      <c r="C699" s="3">
        <v>45111</v>
      </c>
      <c r="D699" s="3">
        <v>45114</v>
      </c>
      <c r="E699" s="1" t="s">
        <v>71</v>
      </c>
      <c r="F699" s="1" t="s">
        <v>1099</v>
      </c>
      <c r="G699" s="1" t="s">
        <v>1100</v>
      </c>
      <c r="H699" s="1" t="s">
        <v>74</v>
      </c>
      <c r="I699" s="1" t="s">
        <v>26</v>
      </c>
      <c r="J699" s="1" t="s">
        <v>1991</v>
      </c>
      <c r="K699" s="1" t="s">
        <v>674</v>
      </c>
      <c r="L699" s="1">
        <v>80013</v>
      </c>
      <c r="M699" s="1" t="s">
        <v>92</v>
      </c>
      <c r="N699" s="1" t="s">
        <v>204</v>
      </c>
      <c r="O699" s="1" t="s">
        <v>31</v>
      </c>
      <c r="P699" s="1" t="s">
        <v>205</v>
      </c>
      <c r="Q699" s="1" t="s">
        <v>206</v>
      </c>
      <c r="R699" s="1">
        <v>32.432000000000002</v>
      </c>
      <c r="S699" s="1">
        <v>2</v>
      </c>
      <c r="T699" s="1">
        <v>0.2</v>
      </c>
      <c r="U699" s="1">
        <v>3.2432000000000016</v>
      </c>
    </row>
    <row r="700" spans="1:21" ht="15.75" x14ac:dyDescent="0.25">
      <c r="A700" s="1">
        <v>699</v>
      </c>
      <c r="B700" s="2" t="s">
        <v>2297</v>
      </c>
      <c r="C700" s="3">
        <v>45111</v>
      </c>
      <c r="D700" s="3">
        <v>45116</v>
      </c>
      <c r="E700" s="1" t="s">
        <v>22</v>
      </c>
      <c r="F700" s="1" t="s">
        <v>2298</v>
      </c>
      <c r="G700" s="1" t="s">
        <v>2299</v>
      </c>
      <c r="H700" s="1" t="s">
        <v>25</v>
      </c>
      <c r="I700" s="1" t="s">
        <v>26</v>
      </c>
      <c r="J700" s="1" t="s">
        <v>512</v>
      </c>
      <c r="K700" s="1" t="s">
        <v>123</v>
      </c>
      <c r="L700" s="1">
        <v>23223</v>
      </c>
      <c r="M700" s="1" t="s">
        <v>63</v>
      </c>
      <c r="N700" s="1" t="s">
        <v>1074</v>
      </c>
      <c r="O700" s="1" t="s">
        <v>31</v>
      </c>
      <c r="P700" s="1" t="s">
        <v>41</v>
      </c>
      <c r="Q700" s="1" t="s">
        <v>1075</v>
      </c>
      <c r="R700" s="1">
        <v>15.600000000000001</v>
      </c>
      <c r="S700" s="1">
        <v>5</v>
      </c>
      <c r="T700" s="1">
        <v>0</v>
      </c>
      <c r="U700" s="1">
        <v>7.6440000000000001</v>
      </c>
    </row>
    <row r="701" spans="1:21" ht="15.75" x14ac:dyDescent="0.25">
      <c r="A701" s="1">
        <v>700</v>
      </c>
      <c r="B701" s="2" t="s">
        <v>2296</v>
      </c>
      <c r="C701" s="3">
        <v>45111</v>
      </c>
      <c r="D701" s="3">
        <v>45114</v>
      </c>
      <c r="E701" s="1" t="s">
        <v>71</v>
      </c>
      <c r="F701" s="1" t="s">
        <v>1099</v>
      </c>
      <c r="G701" s="1" t="s">
        <v>1100</v>
      </c>
      <c r="H701" s="1" t="s">
        <v>74</v>
      </c>
      <c r="I701" s="1" t="s">
        <v>26</v>
      </c>
      <c r="J701" s="1" t="s">
        <v>1991</v>
      </c>
      <c r="K701" s="1" t="s">
        <v>674</v>
      </c>
      <c r="L701" s="1">
        <v>80013</v>
      </c>
      <c r="M701" s="1" t="s">
        <v>92</v>
      </c>
      <c r="N701" s="1" t="s">
        <v>1189</v>
      </c>
      <c r="O701" s="1" t="s">
        <v>31</v>
      </c>
      <c r="P701" s="1" t="s">
        <v>32</v>
      </c>
      <c r="Q701" s="1" t="s">
        <v>1190</v>
      </c>
      <c r="R701" s="1">
        <v>177.536</v>
      </c>
      <c r="S701" s="1">
        <v>4</v>
      </c>
      <c r="T701" s="1">
        <v>0.2</v>
      </c>
      <c r="U701" s="1">
        <v>62.137599999999992</v>
      </c>
    </row>
    <row r="702" spans="1:21" ht="15.75" x14ac:dyDescent="0.25">
      <c r="A702" s="1">
        <v>701</v>
      </c>
      <c r="B702" s="2" t="s">
        <v>2297</v>
      </c>
      <c r="C702" s="3">
        <v>45111</v>
      </c>
      <c r="D702" s="3">
        <v>45116</v>
      </c>
      <c r="E702" s="1" t="s">
        <v>22</v>
      </c>
      <c r="F702" s="1" t="s">
        <v>2298</v>
      </c>
      <c r="G702" s="1" t="s">
        <v>2299</v>
      </c>
      <c r="H702" s="1" t="s">
        <v>25</v>
      </c>
      <c r="I702" s="1" t="s">
        <v>26</v>
      </c>
      <c r="J702" s="1" t="s">
        <v>512</v>
      </c>
      <c r="K702" s="1" t="s">
        <v>123</v>
      </c>
      <c r="L702" s="1">
        <v>23223</v>
      </c>
      <c r="M702" s="1" t="s">
        <v>63</v>
      </c>
      <c r="N702" s="1" t="s">
        <v>2300</v>
      </c>
      <c r="O702" s="1" t="s">
        <v>31</v>
      </c>
      <c r="P702" s="1" t="s">
        <v>32</v>
      </c>
      <c r="Q702" s="1" t="s">
        <v>2301</v>
      </c>
      <c r="R702" s="1">
        <v>21.84</v>
      </c>
      <c r="S702" s="1">
        <v>3</v>
      </c>
      <c r="T702" s="1">
        <v>0</v>
      </c>
      <c r="U702" s="1">
        <v>10.92</v>
      </c>
    </row>
    <row r="703" spans="1:21" ht="15.75" x14ac:dyDescent="0.25">
      <c r="A703" s="1">
        <v>702</v>
      </c>
      <c r="B703" s="2" t="s">
        <v>2302</v>
      </c>
      <c r="C703" s="3">
        <v>45112</v>
      </c>
      <c r="D703" s="3">
        <v>45115</v>
      </c>
      <c r="E703" s="1" t="s">
        <v>71</v>
      </c>
      <c r="F703" s="1" t="s">
        <v>2303</v>
      </c>
      <c r="G703" s="1" t="s">
        <v>2304</v>
      </c>
      <c r="H703" s="1" t="s">
        <v>74</v>
      </c>
      <c r="I703" s="1" t="s">
        <v>26</v>
      </c>
      <c r="J703" s="1" t="s">
        <v>2305</v>
      </c>
      <c r="K703" s="1" t="s">
        <v>273</v>
      </c>
      <c r="L703" s="1">
        <v>32137</v>
      </c>
      <c r="M703" s="1" t="s">
        <v>63</v>
      </c>
      <c r="N703" s="1" t="s">
        <v>2306</v>
      </c>
      <c r="O703" s="1" t="s">
        <v>65</v>
      </c>
      <c r="P703" s="1" t="s">
        <v>106</v>
      </c>
      <c r="Q703" s="1" t="s">
        <v>2307</v>
      </c>
      <c r="R703" s="1">
        <v>19.52</v>
      </c>
      <c r="S703" s="1">
        <v>2</v>
      </c>
      <c r="T703" s="1">
        <v>0.2</v>
      </c>
      <c r="U703" s="1">
        <v>5.3680000000000012</v>
      </c>
    </row>
    <row r="704" spans="1:21" ht="15.75" x14ac:dyDescent="0.25">
      <c r="A704" s="1">
        <v>703</v>
      </c>
      <c r="B704" s="2" t="s">
        <v>2302</v>
      </c>
      <c r="C704" s="3">
        <v>45112</v>
      </c>
      <c r="D704" s="3">
        <v>45115</v>
      </c>
      <c r="E704" s="1" t="s">
        <v>71</v>
      </c>
      <c r="F704" s="1" t="s">
        <v>2303</v>
      </c>
      <c r="G704" s="1" t="s">
        <v>2304</v>
      </c>
      <c r="H704" s="1" t="s">
        <v>74</v>
      </c>
      <c r="I704" s="1" t="s">
        <v>26</v>
      </c>
      <c r="J704" s="1" t="s">
        <v>2305</v>
      </c>
      <c r="K704" s="1" t="s">
        <v>273</v>
      </c>
      <c r="L704" s="1">
        <v>32137</v>
      </c>
      <c r="M704" s="1" t="s">
        <v>63</v>
      </c>
      <c r="N704" s="1" t="s">
        <v>1082</v>
      </c>
      <c r="O704" s="1" t="s">
        <v>65</v>
      </c>
      <c r="P704" s="1" t="s">
        <v>106</v>
      </c>
      <c r="Q704" s="1" t="s">
        <v>1083</v>
      </c>
      <c r="R704" s="1">
        <v>213.21600000000001</v>
      </c>
      <c r="S704" s="1">
        <v>3</v>
      </c>
      <c r="T704" s="1">
        <v>0.2</v>
      </c>
      <c r="U704" s="1">
        <v>15.991199999999992</v>
      </c>
    </row>
    <row r="705" spans="1:21" ht="15.75" x14ac:dyDescent="0.25">
      <c r="A705" s="1">
        <v>704</v>
      </c>
      <c r="B705" s="2" t="s">
        <v>2308</v>
      </c>
      <c r="C705" s="3">
        <v>45112</v>
      </c>
      <c r="D705" s="3">
        <v>45119</v>
      </c>
      <c r="E705" s="1" t="s">
        <v>22</v>
      </c>
      <c r="F705" s="1" t="s">
        <v>201</v>
      </c>
      <c r="G705" s="1" t="s">
        <v>202</v>
      </c>
      <c r="H705" s="1" t="s">
        <v>74</v>
      </c>
      <c r="I705" s="1" t="s">
        <v>26</v>
      </c>
      <c r="J705" s="1" t="s">
        <v>865</v>
      </c>
      <c r="K705" s="1" t="s">
        <v>255</v>
      </c>
      <c r="L705" s="1">
        <v>37918</v>
      </c>
      <c r="M705" s="1" t="s">
        <v>63</v>
      </c>
      <c r="N705" s="1" t="s">
        <v>2035</v>
      </c>
      <c r="O705" s="1" t="s">
        <v>31</v>
      </c>
      <c r="P705" s="1" t="s">
        <v>56</v>
      </c>
      <c r="Q705" s="1" t="s">
        <v>2036</v>
      </c>
      <c r="R705" s="1">
        <v>4.3680000000000003</v>
      </c>
      <c r="S705" s="1">
        <v>3</v>
      </c>
      <c r="T705" s="1">
        <v>0.2</v>
      </c>
      <c r="U705" s="1">
        <v>0.3822000000000001</v>
      </c>
    </row>
    <row r="706" spans="1:21" ht="15.75" x14ac:dyDescent="0.25">
      <c r="A706" s="1">
        <v>705</v>
      </c>
      <c r="B706" s="2" t="s">
        <v>2309</v>
      </c>
      <c r="C706" s="3">
        <v>45112</v>
      </c>
      <c r="D706" s="3">
        <v>45118</v>
      </c>
      <c r="E706" s="1" t="s">
        <v>22</v>
      </c>
      <c r="F706" s="1" t="s">
        <v>2310</v>
      </c>
      <c r="G706" s="1" t="s">
        <v>2311</v>
      </c>
      <c r="H706" s="1" t="s">
        <v>37</v>
      </c>
      <c r="I706" s="1" t="s">
        <v>26</v>
      </c>
      <c r="J706" s="1" t="s">
        <v>90</v>
      </c>
      <c r="K706" s="1" t="s">
        <v>91</v>
      </c>
      <c r="L706" s="1">
        <v>90004</v>
      </c>
      <c r="M706" s="1" t="s">
        <v>92</v>
      </c>
      <c r="N706" s="1" t="s">
        <v>2312</v>
      </c>
      <c r="O706" s="1" t="s">
        <v>31</v>
      </c>
      <c r="P706" s="1" t="s">
        <v>41</v>
      </c>
      <c r="Q706" s="1" t="s">
        <v>2313</v>
      </c>
      <c r="R706" s="1">
        <v>180.96000000000004</v>
      </c>
      <c r="S706" s="1">
        <v>6</v>
      </c>
      <c r="T706" s="1">
        <v>0.2</v>
      </c>
      <c r="U706" s="1">
        <v>67.86</v>
      </c>
    </row>
    <row r="707" spans="1:21" ht="15.75" x14ac:dyDescent="0.25">
      <c r="A707" s="1">
        <v>706</v>
      </c>
      <c r="B707" s="2" t="s">
        <v>2302</v>
      </c>
      <c r="C707" s="3">
        <v>45112</v>
      </c>
      <c r="D707" s="3">
        <v>45115</v>
      </c>
      <c r="E707" s="1" t="s">
        <v>71</v>
      </c>
      <c r="F707" s="1" t="s">
        <v>2303</v>
      </c>
      <c r="G707" s="1" t="s">
        <v>2304</v>
      </c>
      <c r="H707" s="1" t="s">
        <v>74</v>
      </c>
      <c r="I707" s="1" t="s">
        <v>26</v>
      </c>
      <c r="J707" s="1" t="s">
        <v>2305</v>
      </c>
      <c r="K707" s="1" t="s">
        <v>273</v>
      </c>
      <c r="L707" s="1">
        <v>32137</v>
      </c>
      <c r="M707" s="1" t="s">
        <v>63</v>
      </c>
      <c r="N707" s="1" t="s">
        <v>2314</v>
      </c>
      <c r="O707" s="1" t="s">
        <v>31</v>
      </c>
      <c r="P707" s="1" t="s">
        <v>41</v>
      </c>
      <c r="Q707" s="1" t="s">
        <v>2315</v>
      </c>
      <c r="R707" s="1">
        <v>9.8100000000000023</v>
      </c>
      <c r="S707" s="1">
        <v>5</v>
      </c>
      <c r="T707" s="1">
        <v>0.7</v>
      </c>
      <c r="U707" s="1">
        <v>-6.8669999999999973</v>
      </c>
    </row>
    <row r="708" spans="1:21" ht="15.75" x14ac:dyDescent="0.25">
      <c r="A708" s="1">
        <v>707</v>
      </c>
      <c r="B708" s="2" t="s">
        <v>2316</v>
      </c>
      <c r="C708" s="3">
        <v>45112</v>
      </c>
      <c r="D708" s="3">
        <v>45115</v>
      </c>
      <c r="E708" s="1" t="s">
        <v>71</v>
      </c>
      <c r="F708" s="1" t="s">
        <v>2317</v>
      </c>
      <c r="G708" s="1" t="s">
        <v>2318</v>
      </c>
      <c r="H708" s="1" t="s">
        <v>25</v>
      </c>
      <c r="I708" s="1" t="s">
        <v>26</v>
      </c>
      <c r="J708" s="1" t="s">
        <v>791</v>
      </c>
      <c r="K708" s="1" t="s">
        <v>792</v>
      </c>
      <c r="L708" s="1">
        <v>39212</v>
      </c>
      <c r="M708" s="1" t="s">
        <v>63</v>
      </c>
      <c r="N708" s="1" t="s">
        <v>2319</v>
      </c>
      <c r="O708" s="1" t="s">
        <v>31</v>
      </c>
      <c r="P708" s="1" t="s">
        <v>44</v>
      </c>
      <c r="Q708" s="1" t="s">
        <v>2320</v>
      </c>
      <c r="R708" s="1">
        <v>14.62</v>
      </c>
      <c r="S708" s="1">
        <v>2</v>
      </c>
      <c r="T708" s="1">
        <v>0</v>
      </c>
      <c r="U708" s="1">
        <v>6.8713999999999995</v>
      </c>
    </row>
    <row r="709" spans="1:21" ht="15.75" x14ac:dyDescent="0.25">
      <c r="A709" s="1">
        <v>708</v>
      </c>
      <c r="B709" s="2" t="s">
        <v>2316</v>
      </c>
      <c r="C709" s="3">
        <v>45112</v>
      </c>
      <c r="D709" s="3">
        <v>45115</v>
      </c>
      <c r="E709" s="1" t="s">
        <v>71</v>
      </c>
      <c r="F709" s="1" t="s">
        <v>2317</v>
      </c>
      <c r="G709" s="1" t="s">
        <v>2318</v>
      </c>
      <c r="H709" s="1" t="s">
        <v>25</v>
      </c>
      <c r="I709" s="1" t="s">
        <v>26</v>
      </c>
      <c r="J709" s="1" t="s">
        <v>791</v>
      </c>
      <c r="K709" s="1" t="s">
        <v>792</v>
      </c>
      <c r="L709" s="1">
        <v>39212</v>
      </c>
      <c r="M709" s="1" t="s">
        <v>63</v>
      </c>
      <c r="N709" s="1" t="s">
        <v>2242</v>
      </c>
      <c r="O709" s="1" t="s">
        <v>31</v>
      </c>
      <c r="P709" s="1" t="s">
        <v>32</v>
      </c>
      <c r="Q709" s="1" t="s">
        <v>2243</v>
      </c>
      <c r="R709" s="1">
        <v>19.440000000000001</v>
      </c>
      <c r="S709" s="1">
        <v>3</v>
      </c>
      <c r="T709" s="1">
        <v>0</v>
      </c>
      <c r="U709" s="1">
        <v>9.3312000000000008</v>
      </c>
    </row>
    <row r="710" spans="1:21" ht="15.75" x14ac:dyDescent="0.25">
      <c r="A710" s="1">
        <v>709</v>
      </c>
      <c r="B710" s="2" t="s">
        <v>2321</v>
      </c>
      <c r="C710" s="3">
        <v>45112</v>
      </c>
      <c r="D710" s="3">
        <v>45112</v>
      </c>
      <c r="E710" s="1" t="s">
        <v>497</v>
      </c>
      <c r="F710" s="1" t="s">
        <v>2322</v>
      </c>
      <c r="G710" s="1" t="s">
        <v>2323</v>
      </c>
      <c r="H710" s="1" t="s">
        <v>25</v>
      </c>
      <c r="I710" s="1" t="s">
        <v>26</v>
      </c>
      <c r="J710" s="1" t="s">
        <v>27</v>
      </c>
      <c r="K710" s="1" t="s">
        <v>28</v>
      </c>
      <c r="L710" s="1">
        <v>77036</v>
      </c>
      <c r="M710" s="1" t="s">
        <v>29</v>
      </c>
      <c r="N710" s="1" t="s">
        <v>2324</v>
      </c>
      <c r="O710" s="1" t="s">
        <v>31</v>
      </c>
      <c r="P710" s="1" t="s">
        <v>47</v>
      </c>
      <c r="Q710" s="1" t="s">
        <v>2325</v>
      </c>
      <c r="R710" s="1">
        <v>281.42400000000004</v>
      </c>
      <c r="S710" s="1">
        <v>11</v>
      </c>
      <c r="T710" s="1">
        <v>0.2</v>
      </c>
      <c r="U710" s="1">
        <v>-35.178000000000004</v>
      </c>
    </row>
    <row r="711" spans="1:21" ht="15.75" x14ac:dyDescent="0.25">
      <c r="A711" s="1">
        <v>710</v>
      </c>
      <c r="B711" s="2" t="s">
        <v>2321</v>
      </c>
      <c r="C711" s="3">
        <v>45112</v>
      </c>
      <c r="D711" s="3">
        <v>45112</v>
      </c>
      <c r="E711" s="1" t="s">
        <v>497</v>
      </c>
      <c r="F711" s="1" t="s">
        <v>2322</v>
      </c>
      <c r="G711" s="1" t="s">
        <v>2323</v>
      </c>
      <c r="H711" s="1" t="s">
        <v>25</v>
      </c>
      <c r="I711" s="1" t="s">
        <v>26</v>
      </c>
      <c r="J711" s="1" t="s">
        <v>27</v>
      </c>
      <c r="K711" s="1" t="s">
        <v>28</v>
      </c>
      <c r="L711" s="1">
        <v>77036</v>
      </c>
      <c r="M711" s="1" t="s">
        <v>29</v>
      </c>
      <c r="N711" s="1" t="s">
        <v>2326</v>
      </c>
      <c r="O711" s="1" t="s">
        <v>31</v>
      </c>
      <c r="P711" s="1" t="s">
        <v>47</v>
      </c>
      <c r="Q711" s="1" t="s">
        <v>2327</v>
      </c>
      <c r="R711" s="1">
        <v>220.77600000000001</v>
      </c>
      <c r="S711" s="1">
        <v>3</v>
      </c>
      <c r="T711" s="1">
        <v>0.2</v>
      </c>
      <c r="U711" s="1">
        <v>-44.155200000000022</v>
      </c>
    </row>
    <row r="712" spans="1:21" ht="15.75" x14ac:dyDescent="0.25">
      <c r="A712" s="1">
        <v>711</v>
      </c>
      <c r="B712" s="2" t="s">
        <v>2316</v>
      </c>
      <c r="C712" s="3">
        <v>45112</v>
      </c>
      <c r="D712" s="3">
        <v>45115</v>
      </c>
      <c r="E712" s="1" t="s">
        <v>71</v>
      </c>
      <c r="F712" s="1" t="s">
        <v>2317</v>
      </c>
      <c r="G712" s="1" t="s">
        <v>2318</v>
      </c>
      <c r="H712" s="1" t="s">
        <v>25</v>
      </c>
      <c r="I712" s="1" t="s">
        <v>26</v>
      </c>
      <c r="J712" s="1" t="s">
        <v>791</v>
      </c>
      <c r="K712" s="1" t="s">
        <v>792</v>
      </c>
      <c r="L712" s="1">
        <v>39212</v>
      </c>
      <c r="M712" s="1" t="s">
        <v>63</v>
      </c>
      <c r="N712" s="1" t="s">
        <v>2328</v>
      </c>
      <c r="O712" s="1" t="s">
        <v>96</v>
      </c>
      <c r="P712" s="1" t="s">
        <v>117</v>
      </c>
      <c r="Q712" s="1" t="s">
        <v>2329</v>
      </c>
      <c r="R712" s="1">
        <v>479.97</v>
      </c>
      <c r="S712" s="1">
        <v>3</v>
      </c>
      <c r="T712" s="1">
        <v>0</v>
      </c>
      <c r="U712" s="1">
        <v>163.18979999999999</v>
      </c>
    </row>
    <row r="713" spans="1:21" ht="15.75" x14ac:dyDescent="0.25">
      <c r="A713" s="1">
        <v>712</v>
      </c>
      <c r="B713" s="2" t="s">
        <v>2330</v>
      </c>
      <c r="C713" s="3">
        <v>45113</v>
      </c>
      <c r="D713" s="3">
        <v>45119</v>
      </c>
      <c r="E713" s="1" t="s">
        <v>22</v>
      </c>
      <c r="F713" s="1" t="s">
        <v>2331</v>
      </c>
      <c r="G713" s="1" t="s">
        <v>2332</v>
      </c>
      <c r="H713" s="1" t="s">
        <v>37</v>
      </c>
      <c r="I713" s="1" t="s">
        <v>26</v>
      </c>
      <c r="J713" s="1" t="s">
        <v>2333</v>
      </c>
      <c r="K713" s="1" t="s">
        <v>91</v>
      </c>
      <c r="L713" s="1">
        <v>92020</v>
      </c>
      <c r="M713" s="1" t="s">
        <v>92</v>
      </c>
      <c r="N713" s="1" t="s">
        <v>2334</v>
      </c>
      <c r="O713" s="1" t="s">
        <v>65</v>
      </c>
      <c r="P713" s="1" t="s">
        <v>66</v>
      </c>
      <c r="Q713" s="1" t="s">
        <v>2335</v>
      </c>
      <c r="R713" s="1">
        <v>478.48</v>
      </c>
      <c r="S713" s="1">
        <v>2</v>
      </c>
      <c r="T713" s="1">
        <v>0.2</v>
      </c>
      <c r="U713" s="1">
        <v>47.848000000000013</v>
      </c>
    </row>
    <row r="714" spans="1:21" ht="15.75" x14ac:dyDescent="0.25">
      <c r="A714" s="1">
        <v>713</v>
      </c>
      <c r="B714" s="2" t="s">
        <v>2336</v>
      </c>
      <c r="C714" s="3">
        <v>45113</v>
      </c>
      <c r="D714" s="3">
        <v>45115</v>
      </c>
      <c r="E714" s="1" t="s">
        <v>71</v>
      </c>
      <c r="F714" s="1" t="s">
        <v>2337</v>
      </c>
      <c r="G714" s="1" t="s">
        <v>2338</v>
      </c>
      <c r="H714" s="1" t="s">
        <v>25</v>
      </c>
      <c r="I714" s="1" t="s">
        <v>26</v>
      </c>
      <c r="J714" s="1" t="s">
        <v>348</v>
      </c>
      <c r="K714" s="1" t="s">
        <v>349</v>
      </c>
      <c r="L714" s="1">
        <v>10011</v>
      </c>
      <c r="M714" s="1" t="s">
        <v>54</v>
      </c>
      <c r="N714" s="1" t="s">
        <v>2339</v>
      </c>
      <c r="O714" s="1" t="s">
        <v>96</v>
      </c>
      <c r="P714" s="1" t="s">
        <v>1498</v>
      </c>
      <c r="Q714" s="1" t="s">
        <v>2340</v>
      </c>
      <c r="R714" s="1">
        <v>559.99200000000008</v>
      </c>
      <c r="S714" s="1">
        <v>1</v>
      </c>
      <c r="T714" s="1">
        <v>0.2</v>
      </c>
      <c r="U714" s="1">
        <v>174.99749999999997</v>
      </c>
    </row>
    <row r="715" spans="1:21" ht="15.75" x14ac:dyDescent="0.25">
      <c r="A715" s="1">
        <v>714</v>
      </c>
      <c r="B715" s="2" t="s">
        <v>2341</v>
      </c>
      <c r="C715" s="3">
        <v>45114</v>
      </c>
      <c r="D715" s="3">
        <v>45118</v>
      </c>
      <c r="E715" s="1" t="s">
        <v>22</v>
      </c>
      <c r="F715" s="1" t="s">
        <v>1333</v>
      </c>
      <c r="G715" s="1" t="s">
        <v>1334</v>
      </c>
      <c r="H715" s="1" t="s">
        <v>25</v>
      </c>
      <c r="I715" s="1" t="s">
        <v>26</v>
      </c>
      <c r="J715" s="1" t="s">
        <v>52</v>
      </c>
      <c r="K715" s="1" t="s">
        <v>53</v>
      </c>
      <c r="L715" s="1">
        <v>19120</v>
      </c>
      <c r="M715" s="1" t="s">
        <v>54</v>
      </c>
      <c r="N715" s="1" t="s">
        <v>2342</v>
      </c>
      <c r="O715" s="1" t="s">
        <v>65</v>
      </c>
      <c r="P715" s="1" t="s">
        <v>66</v>
      </c>
      <c r="Q715" s="1" t="s">
        <v>2343</v>
      </c>
      <c r="R715" s="1">
        <v>172.18599999999998</v>
      </c>
      <c r="S715" s="1">
        <v>2</v>
      </c>
      <c r="T715" s="1">
        <v>0.3</v>
      </c>
      <c r="U715" s="1">
        <v>-46.736200000000011</v>
      </c>
    </row>
    <row r="716" spans="1:21" ht="15.75" x14ac:dyDescent="0.25">
      <c r="A716" s="1">
        <v>715</v>
      </c>
      <c r="B716" s="2" t="s">
        <v>2341</v>
      </c>
      <c r="C716" s="3">
        <v>45114</v>
      </c>
      <c r="D716" s="3">
        <v>45118</v>
      </c>
      <c r="E716" s="1" t="s">
        <v>22</v>
      </c>
      <c r="F716" s="1" t="s">
        <v>1333</v>
      </c>
      <c r="G716" s="1" t="s">
        <v>1334</v>
      </c>
      <c r="H716" s="1" t="s">
        <v>25</v>
      </c>
      <c r="I716" s="1" t="s">
        <v>26</v>
      </c>
      <c r="J716" s="1" t="s">
        <v>52</v>
      </c>
      <c r="K716" s="1" t="s">
        <v>53</v>
      </c>
      <c r="L716" s="1">
        <v>19120</v>
      </c>
      <c r="M716" s="1" t="s">
        <v>54</v>
      </c>
      <c r="N716" s="1" t="s">
        <v>2344</v>
      </c>
      <c r="O716" s="1" t="s">
        <v>65</v>
      </c>
      <c r="P716" s="1" t="s">
        <v>106</v>
      </c>
      <c r="Q716" s="1" t="s">
        <v>2345</v>
      </c>
      <c r="R716" s="1">
        <v>69.00800000000001</v>
      </c>
      <c r="S716" s="1">
        <v>2</v>
      </c>
      <c r="T716" s="1">
        <v>0.2</v>
      </c>
      <c r="U716" s="1">
        <v>12.0764</v>
      </c>
    </row>
    <row r="717" spans="1:21" ht="15.75" x14ac:dyDescent="0.25">
      <c r="A717" s="1">
        <v>716</v>
      </c>
      <c r="B717" s="2" t="s">
        <v>2346</v>
      </c>
      <c r="C717" s="3">
        <v>45115</v>
      </c>
      <c r="D717" s="3">
        <v>45117</v>
      </c>
      <c r="E717" s="1" t="s">
        <v>71</v>
      </c>
      <c r="F717" s="1" t="s">
        <v>2347</v>
      </c>
      <c r="G717" s="1" t="s">
        <v>2348</v>
      </c>
      <c r="H717" s="1" t="s">
        <v>25</v>
      </c>
      <c r="I717" s="1" t="s">
        <v>26</v>
      </c>
      <c r="J717" s="1" t="s">
        <v>2349</v>
      </c>
      <c r="K717" s="1" t="s">
        <v>349</v>
      </c>
      <c r="L717" s="1">
        <v>14215</v>
      </c>
      <c r="M717" s="1" t="s">
        <v>54</v>
      </c>
      <c r="N717" s="1" t="s">
        <v>2000</v>
      </c>
      <c r="O717" s="1" t="s">
        <v>65</v>
      </c>
      <c r="P717" s="1" t="s">
        <v>66</v>
      </c>
      <c r="Q717" s="1" t="s">
        <v>2001</v>
      </c>
      <c r="R717" s="1">
        <v>63.882000000000005</v>
      </c>
      <c r="S717" s="1">
        <v>1</v>
      </c>
      <c r="T717" s="1">
        <v>0.1</v>
      </c>
      <c r="U717" s="1">
        <v>10.647000000000004</v>
      </c>
    </row>
    <row r="718" spans="1:21" ht="15.75" x14ac:dyDescent="0.25">
      <c r="A718" s="1">
        <v>717</v>
      </c>
      <c r="B718" s="2" t="s">
        <v>2350</v>
      </c>
      <c r="C718" s="3">
        <v>45115</v>
      </c>
      <c r="D718" s="3">
        <v>45119</v>
      </c>
      <c r="E718" s="1" t="s">
        <v>22</v>
      </c>
      <c r="F718" s="1" t="s">
        <v>2351</v>
      </c>
      <c r="G718" s="1" t="s">
        <v>2352</v>
      </c>
      <c r="H718" s="1" t="s">
        <v>74</v>
      </c>
      <c r="I718" s="1" t="s">
        <v>26</v>
      </c>
      <c r="J718" s="1" t="s">
        <v>138</v>
      </c>
      <c r="K718" s="1" t="s">
        <v>91</v>
      </c>
      <c r="L718" s="1">
        <v>94122</v>
      </c>
      <c r="M718" s="1" t="s">
        <v>92</v>
      </c>
      <c r="N718" s="1" t="s">
        <v>446</v>
      </c>
      <c r="O718" s="1" t="s">
        <v>65</v>
      </c>
      <c r="P718" s="1" t="s">
        <v>339</v>
      </c>
      <c r="Q718" s="1" t="s">
        <v>447</v>
      </c>
      <c r="R718" s="1">
        <v>502.48800000000006</v>
      </c>
      <c r="S718" s="1">
        <v>3</v>
      </c>
      <c r="T718" s="1">
        <v>0.2</v>
      </c>
      <c r="U718" s="1">
        <v>-87.935400000000044</v>
      </c>
    </row>
    <row r="719" spans="1:21" ht="15.75" x14ac:dyDescent="0.25">
      <c r="A719" s="1">
        <v>718</v>
      </c>
      <c r="B719" s="2" t="s">
        <v>2350</v>
      </c>
      <c r="C719" s="3">
        <v>45115</v>
      </c>
      <c r="D719" s="3">
        <v>45119</v>
      </c>
      <c r="E719" s="1" t="s">
        <v>22</v>
      </c>
      <c r="F719" s="1" t="s">
        <v>2351</v>
      </c>
      <c r="G719" s="1" t="s">
        <v>2352</v>
      </c>
      <c r="H719" s="1" t="s">
        <v>74</v>
      </c>
      <c r="I719" s="1" t="s">
        <v>26</v>
      </c>
      <c r="J719" s="1" t="s">
        <v>138</v>
      </c>
      <c r="K719" s="1" t="s">
        <v>91</v>
      </c>
      <c r="L719" s="1">
        <v>94122</v>
      </c>
      <c r="M719" s="1" t="s">
        <v>92</v>
      </c>
      <c r="N719" s="1" t="s">
        <v>881</v>
      </c>
      <c r="O719" s="1" t="s">
        <v>31</v>
      </c>
      <c r="P719" s="1" t="s">
        <v>41</v>
      </c>
      <c r="Q719" s="1" t="s">
        <v>882</v>
      </c>
      <c r="R719" s="1">
        <v>196.70400000000001</v>
      </c>
      <c r="S719" s="1">
        <v>6</v>
      </c>
      <c r="T719" s="1">
        <v>0.2</v>
      </c>
      <c r="U719" s="1">
        <v>68.846399999999974</v>
      </c>
    </row>
    <row r="720" spans="1:21" ht="15.75" x14ac:dyDescent="0.25">
      <c r="A720" s="1">
        <v>719</v>
      </c>
      <c r="B720" s="2" t="s">
        <v>2353</v>
      </c>
      <c r="C720" s="3">
        <v>45116</v>
      </c>
      <c r="D720" s="3">
        <v>45121</v>
      </c>
      <c r="E720" s="1" t="s">
        <v>22</v>
      </c>
      <c r="F720" s="1" t="s">
        <v>2354</v>
      </c>
      <c r="G720" s="1" t="s">
        <v>2355</v>
      </c>
      <c r="H720" s="1" t="s">
        <v>37</v>
      </c>
      <c r="I720" s="1" t="s">
        <v>26</v>
      </c>
      <c r="J720" s="1" t="s">
        <v>138</v>
      </c>
      <c r="K720" s="1" t="s">
        <v>91</v>
      </c>
      <c r="L720" s="1">
        <v>94122</v>
      </c>
      <c r="M720" s="1" t="s">
        <v>92</v>
      </c>
      <c r="N720" s="1" t="s">
        <v>826</v>
      </c>
      <c r="O720" s="1" t="s">
        <v>65</v>
      </c>
      <c r="P720" s="1" t="s">
        <v>140</v>
      </c>
      <c r="Q720" s="1" t="s">
        <v>827</v>
      </c>
      <c r="R720" s="1">
        <v>119.83299999999998</v>
      </c>
      <c r="S720" s="1">
        <v>1</v>
      </c>
      <c r="T720" s="1">
        <v>0.15</v>
      </c>
      <c r="U720" s="1">
        <v>7.0489999999999995</v>
      </c>
    </row>
    <row r="721" spans="1:21" ht="15.75" x14ac:dyDescent="0.25">
      <c r="A721" s="1">
        <v>720</v>
      </c>
      <c r="B721" s="2" t="s">
        <v>2353</v>
      </c>
      <c r="C721" s="3">
        <v>45116</v>
      </c>
      <c r="D721" s="3">
        <v>45121</v>
      </c>
      <c r="E721" s="1" t="s">
        <v>22</v>
      </c>
      <c r="F721" s="1" t="s">
        <v>2354</v>
      </c>
      <c r="G721" s="1" t="s">
        <v>2355</v>
      </c>
      <c r="H721" s="1" t="s">
        <v>37</v>
      </c>
      <c r="I721" s="1" t="s">
        <v>26</v>
      </c>
      <c r="J721" s="1" t="s">
        <v>138</v>
      </c>
      <c r="K721" s="1" t="s">
        <v>91</v>
      </c>
      <c r="L721" s="1">
        <v>94122</v>
      </c>
      <c r="M721" s="1" t="s">
        <v>92</v>
      </c>
      <c r="N721" s="1" t="s">
        <v>2356</v>
      </c>
      <c r="O721" s="1" t="s">
        <v>31</v>
      </c>
      <c r="P721" s="1" t="s">
        <v>56</v>
      </c>
      <c r="Q721" s="1" t="s">
        <v>2203</v>
      </c>
      <c r="R721" s="1">
        <v>5.56</v>
      </c>
      <c r="S721" s="1">
        <v>2</v>
      </c>
      <c r="T721" s="1">
        <v>0</v>
      </c>
      <c r="U721" s="1">
        <v>2.2239999999999998</v>
      </c>
    </row>
    <row r="722" spans="1:21" ht="15.75" x14ac:dyDescent="0.25">
      <c r="A722" s="1">
        <v>721</v>
      </c>
      <c r="B722" s="2" t="s">
        <v>2353</v>
      </c>
      <c r="C722" s="3">
        <v>45116</v>
      </c>
      <c r="D722" s="3">
        <v>45121</v>
      </c>
      <c r="E722" s="1" t="s">
        <v>22</v>
      </c>
      <c r="F722" s="1" t="s">
        <v>2354</v>
      </c>
      <c r="G722" s="1" t="s">
        <v>2355</v>
      </c>
      <c r="H722" s="1" t="s">
        <v>37</v>
      </c>
      <c r="I722" s="1" t="s">
        <v>26</v>
      </c>
      <c r="J722" s="1" t="s">
        <v>138</v>
      </c>
      <c r="K722" s="1" t="s">
        <v>91</v>
      </c>
      <c r="L722" s="1">
        <v>94122</v>
      </c>
      <c r="M722" s="1" t="s">
        <v>92</v>
      </c>
      <c r="N722" s="1" t="s">
        <v>2357</v>
      </c>
      <c r="O722" s="1" t="s">
        <v>31</v>
      </c>
      <c r="P722" s="1" t="s">
        <v>41</v>
      </c>
      <c r="Q722" s="1" t="s">
        <v>2358</v>
      </c>
      <c r="R722" s="1">
        <v>14.303999999999998</v>
      </c>
      <c r="S722" s="1">
        <v>6</v>
      </c>
      <c r="T722" s="1">
        <v>0.2</v>
      </c>
      <c r="U722" s="1">
        <v>4.6487999999999987</v>
      </c>
    </row>
    <row r="723" spans="1:21" ht="15.75" x14ac:dyDescent="0.25">
      <c r="A723" s="1">
        <v>722</v>
      </c>
      <c r="B723" s="2" t="s">
        <v>2359</v>
      </c>
      <c r="C723" s="3">
        <v>45116</v>
      </c>
      <c r="D723" s="3">
        <v>45120</v>
      </c>
      <c r="E723" s="1" t="s">
        <v>22</v>
      </c>
      <c r="F723" s="1" t="s">
        <v>2360</v>
      </c>
      <c r="G723" s="1" t="s">
        <v>2361</v>
      </c>
      <c r="H723" s="1" t="s">
        <v>37</v>
      </c>
      <c r="I723" s="1" t="s">
        <v>26</v>
      </c>
      <c r="J723" s="1" t="s">
        <v>90</v>
      </c>
      <c r="K723" s="1" t="s">
        <v>91</v>
      </c>
      <c r="L723" s="1">
        <v>90049</v>
      </c>
      <c r="M723" s="1" t="s">
        <v>92</v>
      </c>
      <c r="N723" s="1" t="s">
        <v>448</v>
      </c>
      <c r="O723" s="1" t="s">
        <v>31</v>
      </c>
      <c r="P723" s="1" t="s">
        <v>41</v>
      </c>
      <c r="Q723" s="1" t="s">
        <v>449</v>
      </c>
      <c r="R723" s="1">
        <v>41.904000000000003</v>
      </c>
      <c r="S723" s="1">
        <v>6</v>
      </c>
      <c r="T723" s="1">
        <v>0.2</v>
      </c>
      <c r="U723" s="1">
        <v>14.142599999999996</v>
      </c>
    </row>
    <row r="724" spans="1:21" ht="15.75" x14ac:dyDescent="0.25">
      <c r="A724" s="1">
        <v>723</v>
      </c>
      <c r="B724" s="2" t="s">
        <v>2359</v>
      </c>
      <c r="C724" s="3">
        <v>45116</v>
      </c>
      <c r="D724" s="3">
        <v>45120</v>
      </c>
      <c r="E724" s="1" t="s">
        <v>22</v>
      </c>
      <c r="F724" s="1" t="s">
        <v>2360</v>
      </c>
      <c r="G724" s="1" t="s">
        <v>2361</v>
      </c>
      <c r="H724" s="1" t="s">
        <v>37</v>
      </c>
      <c r="I724" s="1" t="s">
        <v>26</v>
      </c>
      <c r="J724" s="1" t="s">
        <v>90</v>
      </c>
      <c r="K724" s="1" t="s">
        <v>91</v>
      </c>
      <c r="L724" s="1">
        <v>90049</v>
      </c>
      <c r="M724" s="1" t="s">
        <v>92</v>
      </c>
      <c r="N724" s="1" t="s">
        <v>2362</v>
      </c>
      <c r="O724" s="1" t="s">
        <v>31</v>
      </c>
      <c r="P724" s="1" t="s">
        <v>44</v>
      </c>
      <c r="Q724" s="1" t="s">
        <v>2363</v>
      </c>
      <c r="R724" s="1">
        <v>2.88</v>
      </c>
      <c r="S724" s="1">
        <v>1</v>
      </c>
      <c r="T724" s="1">
        <v>0</v>
      </c>
      <c r="U724" s="1">
        <v>1.4112</v>
      </c>
    </row>
    <row r="725" spans="1:21" ht="15.75" x14ac:dyDescent="0.25">
      <c r="A725" s="1">
        <v>724</v>
      </c>
      <c r="B725" s="2" t="s">
        <v>2364</v>
      </c>
      <c r="C725" s="3">
        <v>45116</v>
      </c>
      <c r="D725" s="3">
        <v>45122</v>
      </c>
      <c r="E725" s="1" t="s">
        <v>22</v>
      </c>
      <c r="F725" s="1" t="s">
        <v>2365</v>
      </c>
      <c r="G725" s="1" t="s">
        <v>2366</v>
      </c>
      <c r="H725" s="1" t="s">
        <v>74</v>
      </c>
      <c r="I725" s="1" t="s">
        <v>26</v>
      </c>
      <c r="J725" s="1" t="s">
        <v>487</v>
      </c>
      <c r="K725" s="1" t="s">
        <v>28</v>
      </c>
      <c r="L725" s="1">
        <v>75217</v>
      </c>
      <c r="M725" s="1" t="s">
        <v>29</v>
      </c>
      <c r="N725" s="1" t="s">
        <v>2367</v>
      </c>
      <c r="O725" s="1" t="s">
        <v>31</v>
      </c>
      <c r="P725" s="1" t="s">
        <v>32</v>
      </c>
      <c r="Q725" s="1" t="s">
        <v>2368</v>
      </c>
      <c r="R725" s="1">
        <v>14.352000000000002</v>
      </c>
      <c r="S725" s="1">
        <v>3</v>
      </c>
      <c r="T725" s="1">
        <v>0.2</v>
      </c>
      <c r="U725" s="1">
        <v>4.4849999999999994</v>
      </c>
    </row>
    <row r="726" spans="1:21" ht="15.75" x14ac:dyDescent="0.25">
      <c r="A726" s="1">
        <v>725</v>
      </c>
      <c r="B726" s="2" t="s">
        <v>2353</v>
      </c>
      <c r="C726" s="3">
        <v>45116</v>
      </c>
      <c r="D726" s="3">
        <v>45121</v>
      </c>
      <c r="E726" s="1" t="s">
        <v>22</v>
      </c>
      <c r="F726" s="1" t="s">
        <v>2354</v>
      </c>
      <c r="G726" s="1" t="s">
        <v>2355</v>
      </c>
      <c r="H726" s="1" t="s">
        <v>37</v>
      </c>
      <c r="I726" s="1" t="s">
        <v>26</v>
      </c>
      <c r="J726" s="1" t="s">
        <v>138</v>
      </c>
      <c r="K726" s="1" t="s">
        <v>91</v>
      </c>
      <c r="L726" s="1">
        <v>94122</v>
      </c>
      <c r="M726" s="1" t="s">
        <v>92</v>
      </c>
      <c r="N726" s="1" t="s">
        <v>810</v>
      </c>
      <c r="O726" s="1" t="s">
        <v>31</v>
      </c>
      <c r="P726" s="1" t="s">
        <v>32</v>
      </c>
      <c r="Q726" s="1" t="s">
        <v>811</v>
      </c>
      <c r="R726" s="1">
        <v>32.400000000000006</v>
      </c>
      <c r="S726" s="1">
        <v>5</v>
      </c>
      <c r="T726" s="1">
        <v>0</v>
      </c>
      <c r="U726" s="1">
        <v>15.552000000000001</v>
      </c>
    </row>
    <row r="727" spans="1:21" ht="15.75" x14ac:dyDescent="0.25">
      <c r="A727" s="1">
        <v>726</v>
      </c>
      <c r="B727" s="2" t="s">
        <v>2364</v>
      </c>
      <c r="C727" s="3">
        <v>45116</v>
      </c>
      <c r="D727" s="3">
        <v>45122</v>
      </c>
      <c r="E727" s="1" t="s">
        <v>22</v>
      </c>
      <c r="F727" s="1" t="s">
        <v>2365</v>
      </c>
      <c r="G727" s="1" t="s">
        <v>2366</v>
      </c>
      <c r="H727" s="1" t="s">
        <v>74</v>
      </c>
      <c r="I727" s="1" t="s">
        <v>26</v>
      </c>
      <c r="J727" s="1" t="s">
        <v>487</v>
      </c>
      <c r="K727" s="1" t="s">
        <v>28</v>
      </c>
      <c r="L727" s="1">
        <v>75217</v>
      </c>
      <c r="M727" s="1" t="s">
        <v>29</v>
      </c>
      <c r="N727" s="1" t="s">
        <v>326</v>
      </c>
      <c r="O727" s="1" t="s">
        <v>31</v>
      </c>
      <c r="P727" s="1" t="s">
        <v>32</v>
      </c>
      <c r="Q727" s="1" t="s">
        <v>327</v>
      </c>
      <c r="R727" s="1">
        <v>10.368000000000002</v>
      </c>
      <c r="S727" s="1">
        <v>2</v>
      </c>
      <c r="T727" s="1">
        <v>0.2</v>
      </c>
      <c r="U727" s="1">
        <v>3.6288</v>
      </c>
    </row>
    <row r="728" spans="1:21" ht="15.75" x14ac:dyDescent="0.25">
      <c r="A728" s="1">
        <v>727</v>
      </c>
      <c r="B728" s="2" t="s">
        <v>2359</v>
      </c>
      <c r="C728" s="3">
        <v>45116</v>
      </c>
      <c r="D728" s="3">
        <v>45120</v>
      </c>
      <c r="E728" s="1" t="s">
        <v>22</v>
      </c>
      <c r="F728" s="1" t="s">
        <v>2360</v>
      </c>
      <c r="G728" s="1" t="s">
        <v>2361</v>
      </c>
      <c r="H728" s="1" t="s">
        <v>37</v>
      </c>
      <c r="I728" s="1" t="s">
        <v>26</v>
      </c>
      <c r="J728" s="1" t="s">
        <v>90</v>
      </c>
      <c r="K728" s="1" t="s">
        <v>91</v>
      </c>
      <c r="L728" s="1">
        <v>90049</v>
      </c>
      <c r="M728" s="1" t="s">
        <v>92</v>
      </c>
      <c r="N728" s="1" t="s">
        <v>2369</v>
      </c>
      <c r="O728" s="1" t="s">
        <v>31</v>
      </c>
      <c r="P728" s="1" t="s">
        <v>47</v>
      </c>
      <c r="Q728" s="1" t="s">
        <v>2370</v>
      </c>
      <c r="R728" s="1">
        <v>23.92</v>
      </c>
      <c r="S728" s="1">
        <v>4</v>
      </c>
      <c r="T728" s="1">
        <v>0</v>
      </c>
      <c r="U728" s="1">
        <v>4.066399999999998</v>
      </c>
    </row>
    <row r="729" spans="1:21" ht="15.75" x14ac:dyDescent="0.25">
      <c r="A729" s="1">
        <v>728</v>
      </c>
      <c r="B729" s="2" t="s">
        <v>2371</v>
      </c>
      <c r="C729" s="3">
        <v>45118</v>
      </c>
      <c r="D729" s="3">
        <v>45122</v>
      </c>
      <c r="E729" s="1" t="s">
        <v>22</v>
      </c>
      <c r="F729" s="1" t="s">
        <v>1460</v>
      </c>
      <c r="G729" s="1" t="s">
        <v>1461</v>
      </c>
      <c r="H729" s="1" t="s">
        <v>74</v>
      </c>
      <c r="I729" s="1" t="s">
        <v>26</v>
      </c>
      <c r="J729" s="1" t="s">
        <v>2372</v>
      </c>
      <c r="K729" s="1" t="s">
        <v>425</v>
      </c>
      <c r="L729" s="1">
        <v>7601</v>
      </c>
      <c r="M729" s="1" t="s">
        <v>54</v>
      </c>
      <c r="N729" s="1" t="s">
        <v>721</v>
      </c>
      <c r="O729" s="1" t="s">
        <v>65</v>
      </c>
      <c r="P729" s="1" t="s">
        <v>66</v>
      </c>
      <c r="Q729" s="1" t="s">
        <v>722</v>
      </c>
      <c r="R729" s="1">
        <v>854.94</v>
      </c>
      <c r="S729" s="1">
        <v>3</v>
      </c>
      <c r="T729" s="1">
        <v>0</v>
      </c>
      <c r="U729" s="1">
        <v>213.73500000000001</v>
      </c>
    </row>
    <row r="730" spans="1:21" ht="15.75" x14ac:dyDescent="0.25">
      <c r="A730" s="1">
        <v>729</v>
      </c>
      <c r="B730" s="2" t="s">
        <v>2371</v>
      </c>
      <c r="C730" s="3">
        <v>45118</v>
      </c>
      <c r="D730" s="3">
        <v>45122</v>
      </c>
      <c r="E730" s="1" t="s">
        <v>22</v>
      </c>
      <c r="F730" s="1" t="s">
        <v>1460</v>
      </c>
      <c r="G730" s="1" t="s">
        <v>1461</v>
      </c>
      <c r="H730" s="1" t="s">
        <v>74</v>
      </c>
      <c r="I730" s="1" t="s">
        <v>26</v>
      </c>
      <c r="J730" s="1" t="s">
        <v>2372</v>
      </c>
      <c r="K730" s="1" t="s">
        <v>425</v>
      </c>
      <c r="L730" s="1">
        <v>7601</v>
      </c>
      <c r="M730" s="1" t="s">
        <v>54</v>
      </c>
      <c r="N730" s="1" t="s">
        <v>2373</v>
      </c>
      <c r="O730" s="1" t="s">
        <v>65</v>
      </c>
      <c r="P730" s="1" t="s">
        <v>106</v>
      </c>
      <c r="Q730" s="1" t="s">
        <v>2374</v>
      </c>
      <c r="R730" s="1">
        <v>124.10999999999999</v>
      </c>
      <c r="S730" s="1">
        <v>9</v>
      </c>
      <c r="T730" s="1">
        <v>0</v>
      </c>
      <c r="U730" s="1">
        <v>52.126200000000004</v>
      </c>
    </row>
    <row r="731" spans="1:21" ht="15.75" x14ac:dyDescent="0.25">
      <c r="A731" s="1">
        <v>730</v>
      </c>
      <c r="B731" s="2" t="s">
        <v>2375</v>
      </c>
      <c r="C731" s="3">
        <v>45118</v>
      </c>
      <c r="D731" s="3">
        <v>45122</v>
      </c>
      <c r="E731" s="1" t="s">
        <v>22</v>
      </c>
      <c r="F731" s="1" t="s">
        <v>2376</v>
      </c>
      <c r="G731" s="1" t="s">
        <v>2377</v>
      </c>
      <c r="H731" s="1" t="s">
        <v>25</v>
      </c>
      <c r="I731" s="1" t="s">
        <v>26</v>
      </c>
      <c r="J731" s="1" t="s">
        <v>348</v>
      </c>
      <c r="K731" s="1" t="s">
        <v>349</v>
      </c>
      <c r="L731" s="1">
        <v>10011</v>
      </c>
      <c r="M731" s="1" t="s">
        <v>54</v>
      </c>
      <c r="N731" s="1" t="s">
        <v>2378</v>
      </c>
      <c r="O731" s="1" t="s">
        <v>31</v>
      </c>
      <c r="P731" s="1" t="s">
        <v>41</v>
      </c>
      <c r="Q731" s="1" t="s">
        <v>2379</v>
      </c>
      <c r="R731" s="1">
        <v>18.28</v>
      </c>
      <c r="S731" s="1">
        <v>5</v>
      </c>
      <c r="T731" s="1">
        <v>0.2</v>
      </c>
      <c r="U731" s="1">
        <v>6.3979999999999997</v>
      </c>
    </row>
    <row r="732" spans="1:21" ht="15.75" x14ac:dyDescent="0.25">
      <c r="A732" s="1">
        <v>731</v>
      </c>
      <c r="B732" s="2" t="s">
        <v>2371</v>
      </c>
      <c r="C732" s="3">
        <v>45118</v>
      </c>
      <c r="D732" s="3">
        <v>45122</v>
      </c>
      <c r="E732" s="1" t="s">
        <v>22</v>
      </c>
      <c r="F732" s="1" t="s">
        <v>1460</v>
      </c>
      <c r="G732" s="1" t="s">
        <v>1461</v>
      </c>
      <c r="H732" s="1" t="s">
        <v>74</v>
      </c>
      <c r="I732" s="1" t="s">
        <v>26</v>
      </c>
      <c r="J732" s="1" t="s">
        <v>2372</v>
      </c>
      <c r="K732" s="1" t="s">
        <v>425</v>
      </c>
      <c r="L732" s="1">
        <v>7601</v>
      </c>
      <c r="M732" s="1" t="s">
        <v>54</v>
      </c>
      <c r="N732" s="1" t="s">
        <v>2380</v>
      </c>
      <c r="O732" s="1" t="s">
        <v>31</v>
      </c>
      <c r="P732" s="1" t="s">
        <v>44</v>
      </c>
      <c r="Q732" s="1" t="s">
        <v>2381</v>
      </c>
      <c r="R732" s="1">
        <v>14.399999999999999</v>
      </c>
      <c r="S732" s="1">
        <v>5</v>
      </c>
      <c r="T732" s="1">
        <v>0</v>
      </c>
      <c r="U732" s="1">
        <v>7.056</v>
      </c>
    </row>
    <row r="733" spans="1:21" ht="15.75" x14ac:dyDescent="0.25">
      <c r="A733" s="1">
        <v>732</v>
      </c>
      <c r="B733" s="2" t="s">
        <v>2371</v>
      </c>
      <c r="C733" s="3">
        <v>45118</v>
      </c>
      <c r="D733" s="3">
        <v>45122</v>
      </c>
      <c r="E733" s="1" t="s">
        <v>22</v>
      </c>
      <c r="F733" s="1" t="s">
        <v>1460</v>
      </c>
      <c r="G733" s="1" t="s">
        <v>1461</v>
      </c>
      <c r="H733" s="1" t="s">
        <v>74</v>
      </c>
      <c r="I733" s="1" t="s">
        <v>26</v>
      </c>
      <c r="J733" s="1" t="s">
        <v>2372</v>
      </c>
      <c r="K733" s="1" t="s">
        <v>425</v>
      </c>
      <c r="L733" s="1">
        <v>7601</v>
      </c>
      <c r="M733" s="1" t="s">
        <v>54</v>
      </c>
      <c r="N733" s="1" t="s">
        <v>1545</v>
      </c>
      <c r="O733" s="1" t="s">
        <v>31</v>
      </c>
      <c r="P733" s="1" t="s">
        <v>32</v>
      </c>
      <c r="Q733" s="1" t="s">
        <v>1546</v>
      </c>
      <c r="R733" s="1">
        <v>177.2</v>
      </c>
      <c r="S733" s="1">
        <v>5</v>
      </c>
      <c r="T733" s="1">
        <v>0</v>
      </c>
      <c r="U733" s="1">
        <v>83.283999999999992</v>
      </c>
    </row>
    <row r="734" spans="1:21" ht="15.75" x14ac:dyDescent="0.25">
      <c r="A734" s="1">
        <v>733</v>
      </c>
      <c r="B734" s="2" t="s">
        <v>2382</v>
      </c>
      <c r="C734" s="3">
        <v>45118</v>
      </c>
      <c r="D734" s="3">
        <v>45121</v>
      </c>
      <c r="E734" s="1" t="s">
        <v>71</v>
      </c>
      <c r="F734" s="1" t="s">
        <v>485</v>
      </c>
      <c r="G734" s="1" t="s">
        <v>486</v>
      </c>
      <c r="H734" s="1" t="s">
        <v>25</v>
      </c>
      <c r="I734" s="1" t="s">
        <v>26</v>
      </c>
      <c r="J734" s="1" t="s">
        <v>535</v>
      </c>
      <c r="K734" s="1" t="s">
        <v>28</v>
      </c>
      <c r="L734" s="1">
        <v>79907</v>
      </c>
      <c r="M734" s="1" t="s">
        <v>29</v>
      </c>
      <c r="N734" s="1" t="s">
        <v>2383</v>
      </c>
      <c r="O734" s="1" t="s">
        <v>31</v>
      </c>
      <c r="P734" s="1" t="s">
        <v>32</v>
      </c>
      <c r="Q734" s="1" t="s">
        <v>2384</v>
      </c>
      <c r="R734" s="1">
        <v>10.368000000000002</v>
      </c>
      <c r="S734" s="1">
        <v>2</v>
      </c>
      <c r="T734" s="1">
        <v>0.2</v>
      </c>
      <c r="U734" s="1">
        <v>3.6288</v>
      </c>
    </row>
    <row r="735" spans="1:21" ht="15.75" x14ac:dyDescent="0.25">
      <c r="A735" s="1">
        <v>734</v>
      </c>
      <c r="B735" s="2" t="s">
        <v>2375</v>
      </c>
      <c r="C735" s="3">
        <v>45118</v>
      </c>
      <c r="D735" s="3">
        <v>45122</v>
      </c>
      <c r="E735" s="1" t="s">
        <v>22</v>
      </c>
      <c r="F735" s="1" t="s">
        <v>2376</v>
      </c>
      <c r="G735" s="1" t="s">
        <v>2377</v>
      </c>
      <c r="H735" s="1" t="s">
        <v>25</v>
      </c>
      <c r="I735" s="1" t="s">
        <v>26</v>
      </c>
      <c r="J735" s="1" t="s">
        <v>348</v>
      </c>
      <c r="K735" s="1" t="s">
        <v>349</v>
      </c>
      <c r="L735" s="1">
        <v>10011</v>
      </c>
      <c r="M735" s="1" t="s">
        <v>54</v>
      </c>
      <c r="N735" s="1" t="s">
        <v>2385</v>
      </c>
      <c r="O735" s="1" t="s">
        <v>31</v>
      </c>
      <c r="P735" s="1" t="s">
        <v>32</v>
      </c>
      <c r="Q735" s="1" t="s">
        <v>2386</v>
      </c>
      <c r="R735" s="1">
        <v>49.12</v>
      </c>
      <c r="S735" s="1">
        <v>4</v>
      </c>
      <c r="T735" s="1">
        <v>0</v>
      </c>
      <c r="U735" s="1">
        <v>23.086399999999998</v>
      </c>
    </row>
    <row r="736" spans="1:21" ht="15.75" x14ac:dyDescent="0.25">
      <c r="A736" s="1">
        <v>735</v>
      </c>
      <c r="B736" s="2" t="s">
        <v>2382</v>
      </c>
      <c r="C736" s="3">
        <v>45118</v>
      </c>
      <c r="D736" s="3">
        <v>45121</v>
      </c>
      <c r="E736" s="1" t="s">
        <v>71</v>
      </c>
      <c r="F736" s="1" t="s">
        <v>485</v>
      </c>
      <c r="G736" s="1" t="s">
        <v>486</v>
      </c>
      <c r="H736" s="1" t="s">
        <v>25</v>
      </c>
      <c r="I736" s="1" t="s">
        <v>26</v>
      </c>
      <c r="J736" s="1" t="s">
        <v>535</v>
      </c>
      <c r="K736" s="1" t="s">
        <v>28</v>
      </c>
      <c r="L736" s="1">
        <v>79907</v>
      </c>
      <c r="M736" s="1" t="s">
        <v>29</v>
      </c>
      <c r="N736" s="1" t="s">
        <v>2387</v>
      </c>
      <c r="O736" s="1" t="s">
        <v>96</v>
      </c>
      <c r="P736" s="1" t="s">
        <v>97</v>
      </c>
      <c r="Q736" s="1" t="s">
        <v>2388</v>
      </c>
      <c r="R736" s="1">
        <v>575.96800000000007</v>
      </c>
      <c r="S736" s="1">
        <v>4</v>
      </c>
      <c r="T736" s="1">
        <v>0.2</v>
      </c>
      <c r="U736" s="1">
        <v>43.197600000000023</v>
      </c>
    </row>
    <row r="737" spans="1:21" ht="15.75" x14ac:dyDescent="0.25">
      <c r="A737" s="1">
        <v>736</v>
      </c>
      <c r="B737" s="2" t="s">
        <v>2371</v>
      </c>
      <c r="C737" s="3">
        <v>45118</v>
      </c>
      <c r="D737" s="3">
        <v>45122</v>
      </c>
      <c r="E737" s="1" t="s">
        <v>22</v>
      </c>
      <c r="F737" s="1" t="s">
        <v>1460</v>
      </c>
      <c r="G737" s="1" t="s">
        <v>1461</v>
      </c>
      <c r="H737" s="1" t="s">
        <v>74</v>
      </c>
      <c r="I737" s="1" t="s">
        <v>26</v>
      </c>
      <c r="J737" s="1" t="s">
        <v>2372</v>
      </c>
      <c r="K737" s="1" t="s">
        <v>425</v>
      </c>
      <c r="L737" s="1">
        <v>7601</v>
      </c>
      <c r="M737" s="1" t="s">
        <v>54</v>
      </c>
      <c r="N737" s="1" t="s">
        <v>2389</v>
      </c>
      <c r="O737" s="1" t="s">
        <v>96</v>
      </c>
      <c r="P737" s="1" t="s">
        <v>97</v>
      </c>
      <c r="Q737" s="1" t="s">
        <v>2390</v>
      </c>
      <c r="R737" s="1">
        <v>197.96999999999997</v>
      </c>
      <c r="S737" s="1">
        <v>3</v>
      </c>
      <c r="T737" s="1">
        <v>0</v>
      </c>
      <c r="U737" s="1">
        <v>57.41129999999999</v>
      </c>
    </row>
    <row r="738" spans="1:21" ht="15.75" x14ac:dyDescent="0.25">
      <c r="A738" s="1">
        <v>737</v>
      </c>
      <c r="B738" s="2" t="s">
        <v>2391</v>
      </c>
      <c r="C738" s="3">
        <v>45118</v>
      </c>
      <c r="D738" s="3">
        <v>45121</v>
      </c>
      <c r="E738" s="1" t="s">
        <v>71</v>
      </c>
      <c r="F738" s="1" t="s">
        <v>2392</v>
      </c>
      <c r="G738" s="1" t="s">
        <v>2393</v>
      </c>
      <c r="H738" s="1" t="s">
        <v>25</v>
      </c>
      <c r="I738" s="1" t="s">
        <v>26</v>
      </c>
      <c r="J738" s="1" t="s">
        <v>2394</v>
      </c>
      <c r="K738" s="1" t="s">
        <v>349</v>
      </c>
      <c r="L738" s="1">
        <v>14304</v>
      </c>
      <c r="M738" s="1" t="s">
        <v>54</v>
      </c>
      <c r="N738" s="1" t="s">
        <v>2395</v>
      </c>
      <c r="O738" s="1" t="s">
        <v>96</v>
      </c>
      <c r="P738" s="1" t="s">
        <v>97</v>
      </c>
      <c r="Q738" s="1" t="s">
        <v>2396</v>
      </c>
      <c r="R738" s="1">
        <v>164.85000000000002</v>
      </c>
      <c r="S738" s="1">
        <v>3</v>
      </c>
      <c r="T738" s="1">
        <v>0</v>
      </c>
      <c r="U738" s="1">
        <v>47.806499999999993</v>
      </c>
    </row>
    <row r="739" spans="1:21" ht="15.75" x14ac:dyDescent="0.25">
      <c r="A739" s="1">
        <v>738</v>
      </c>
      <c r="B739" s="2" t="s">
        <v>2397</v>
      </c>
      <c r="C739" s="3">
        <v>45119</v>
      </c>
      <c r="D739" s="3">
        <v>45125</v>
      </c>
      <c r="E739" s="1" t="s">
        <v>22</v>
      </c>
      <c r="F739" s="1" t="s">
        <v>628</v>
      </c>
      <c r="G739" s="1" t="s">
        <v>629</v>
      </c>
      <c r="H739" s="1" t="s">
        <v>25</v>
      </c>
      <c r="I739" s="1" t="s">
        <v>26</v>
      </c>
      <c r="J739" s="1" t="s">
        <v>387</v>
      </c>
      <c r="K739" s="1" t="s">
        <v>388</v>
      </c>
      <c r="L739" s="1">
        <v>98115</v>
      </c>
      <c r="M739" s="1" t="s">
        <v>92</v>
      </c>
      <c r="N739" s="1" t="s">
        <v>2398</v>
      </c>
      <c r="O739" s="1" t="s">
        <v>65</v>
      </c>
      <c r="P739" s="1" t="s">
        <v>66</v>
      </c>
      <c r="Q739" s="1" t="s">
        <v>2399</v>
      </c>
      <c r="R739" s="1">
        <v>123.136</v>
      </c>
      <c r="S739" s="1">
        <v>4</v>
      </c>
      <c r="T739" s="1">
        <v>0.2</v>
      </c>
      <c r="U739" s="1">
        <v>13.852799999999981</v>
      </c>
    </row>
    <row r="740" spans="1:21" ht="15.75" x14ac:dyDescent="0.25">
      <c r="A740" s="1">
        <v>739</v>
      </c>
      <c r="B740" s="2" t="s">
        <v>2400</v>
      </c>
      <c r="C740" s="3">
        <v>45119</v>
      </c>
      <c r="D740" s="3">
        <v>45123</v>
      </c>
      <c r="E740" s="1" t="s">
        <v>22</v>
      </c>
      <c r="F740" s="1" t="s">
        <v>2401</v>
      </c>
      <c r="G740" s="1" t="s">
        <v>2402</v>
      </c>
      <c r="H740" s="1" t="s">
        <v>37</v>
      </c>
      <c r="I740" s="1" t="s">
        <v>26</v>
      </c>
      <c r="J740" s="1" t="s">
        <v>2403</v>
      </c>
      <c r="K740" s="1" t="s">
        <v>28</v>
      </c>
      <c r="L740" s="1">
        <v>77573</v>
      </c>
      <c r="M740" s="1" t="s">
        <v>29</v>
      </c>
      <c r="N740" s="1" t="s">
        <v>2404</v>
      </c>
      <c r="O740" s="1" t="s">
        <v>65</v>
      </c>
      <c r="P740" s="1" t="s">
        <v>66</v>
      </c>
      <c r="Q740" s="1" t="s">
        <v>2405</v>
      </c>
      <c r="R740" s="1">
        <v>512.35799999999995</v>
      </c>
      <c r="S740" s="1">
        <v>3</v>
      </c>
      <c r="T740" s="1">
        <v>0.3</v>
      </c>
      <c r="U740" s="1">
        <v>-14.638799999999947</v>
      </c>
    </row>
    <row r="741" spans="1:21" ht="15.75" x14ac:dyDescent="0.25">
      <c r="A741" s="1">
        <v>740</v>
      </c>
      <c r="B741" s="2" t="s">
        <v>2406</v>
      </c>
      <c r="C741" s="3">
        <v>45119</v>
      </c>
      <c r="D741" s="3">
        <v>45124</v>
      </c>
      <c r="E741" s="1" t="s">
        <v>22</v>
      </c>
      <c r="F741" s="1" t="s">
        <v>2407</v>
      </c>
      <c r="G741" s="1" t="s">
        <v>2408</v>
      </c>
      <c r="H741" s="1" t="s">
        <v>74</v>
      </c>
      <c r="I741" s="1" t="s">
        <v>26</v>
      </c>
      <c r="J741" s="1" t="s">
        <v>138</v>
      </c>
      <c r="K741" s="1" t="s">
        <v>91</v>
      </c>
      <c r="L741" s="1">
        <v>94122</v>
      </c>
      <c r="M741" s="1" t="s">
        <v>92</v>
      </c>
      <c r="N741" s="1" t="s">
        <v>2409</v>
      </c>
      <c r="O741" s="1" t="s">
        <v>65</v>
      </c>
      <c r="P741" s="1" t="s">
        <v>339</v>
      </c>
      <c r="Q741" s="1" t="s">
        <v>2410</v>
      </c>
      <c r="R741" s="1">
        <v>698.35200000000009</v>
      </c>
      <c r="S741" s="1">
        <v>3</v>
      </c>
      <c r="T741" s="1">
        <v>0.2</v>
      </c>
      <c r="U741" s="1">
        <v>-17.458800000000053</v>
      </c>
    </row>
    <row r="742" spans="1:21" ht="15.75" x14ac:dyDescent="0.25">
      <c r="A742" s="1">
        <v>741</v>
      </c>
      <c r="B742" s="2" t="s">
        <v>2400</v>
      </c>
      <c r="C742" s="3">
        <v>45119</v>
      </c>
      <c r="D742" s="3">
        <v>45123</v>
      </c>
      <c r="E742" s="1" t="s">
        <v>22</v>
      </c>
      <c r="F742" s="1" t="s">
        <v>2401</v>
      </c>
      <c r="G742" s="1" t="s">
        <v>2402</v>
      </c>
      <c r="H742" s="1" t="s">
        <v>37</v>
      </c>
      <c r="I742" s="1" t="s">
        <v>26</v>
      </c>
      <c r="J742" s="1" t="s">
        <v>2403</v>
      </c>
      <c r="K742" s="1" t="s">
        <v>28</v>
      </c>
      <c r="L742" s="1">
        <v>77573</v>
      </c>
      <c r="M742" s="1" t="s">
        <v>29</v>
      </c>
      <c r="N742" s="1" t="s">
        <v>2411</v>
      </c>
      <c r="O742" s="1" t="s">
        <v>31</v>
      </c>
      <c r="P742" s="1" t="s">
        <v>56</v>
      </c>
      <c r="Q742" s="1" t="s">
        <v>2412</v>
      </c>
      <c r="R742" s="1">
        <v>22.288</v>
      </c>
      <c r="S742" s="1">
        <v>7</v>
      </c>
      <c r="T742" s="1">
        <v>0.2</v>
      </c>
      <c r="U742" s="1">
        <v>3.9003999999999985</v>
      </c>
    </row>
    <row r="743" spans="1:21" ht="15.75" x14ac:dyDescent="0.25">
      <c r="A743" s="1">
        <v>742</v>
      </c>
      <c r="B743" s="2" t="s">
        <v>2397</v>
      </c>
      <c r="C743" s="3">
        <v>45119</v>
      </c>
      <c r="D743" s="3">
        <v>45125</v>
      </c>
      <c r="E743" s="1" t="s">
        <v>22</v>
      </c>
      <c r="F743" s="1" t="s">
        <v>628</v>
      </c>
      <c r="G743" s="1" t="s">
        <v>629</v>
      </c>
      <c r="H743" s="1" t="s">
        <v>25</v>
      </c>
      <c r="I743" s="1" t="s">
        <v>26</v>
      </c>
      <c r="J743" s="1" t="s">
        <v>387</v>
      </c>
      <c r="K743" s="1" t="s">
        <v>388</v>
      </c>
      <c r="L743" s="1">
        <v>98115</v>
      </c>
      <c r="M743" s="1" t="s">
        <v>92</v>
      </c>
      <c r="N743" s="1" t="s">
        <v>2236</v>
      </c>
      <c r="O743" s="1" t="s">
        <v>31</v>
      </c>
      <c r="P743" s="1" t="s">
        <v>41</v>
      </c>
      <c r="Q743" s="1" t="s">
        <v>2237</v>
      </c>
      <c r="R743" s="1">
        <v>11.264000000000001</v>
      </c>
      <c r="S743" s="1">
        <v>4</v>
      </c>
      <c r="T743" s="1">
        <v>0.2</v>
      </c>
      <c r="U743" s="1">
        <v>3.8015999999999992</v>
      </c>
    </row>
    <row r="744" spans="1:21" ht="15.75" x14ac:dyDescent="0.25">
      <c r="A744" s="1">
        <v>743</v>
      </c>
      <c r="B744" s="2" t="s">
        <v>2406</v>
      </c>
      <c r="C744" s="3">
        <v>45119</v>
      </c>
      <c r="D744" s="3">
        <v>45124</v>
      </c>
      <c r="E744" s="1" t="s">
        <v>22</v>
      </c>
      <c r="F744" s="1" t="s">
        <v>2407</v>
      </c>
      <c r="G744" s="1" t="s">
        <v>2408</v>
      </c>
      <c r="H744" s="1" t="s">
        <v>74</v>
      </c>
      <c r="I744" s="1" t="s">
        <v>26</v>
      </c>
      <c r="J744" s="1" t="s">
        <v>138</v>
      </c>
      <c r="K744" s="1" t="s">
        <v>91</v>
      </c>
      <c r="L744" s="1">
        <v>94122</v>
      </c>
      <c r="M744" s="1" t="s">
        <v>92</v>
      </c>
      <c r="N744" s="1" t="s">
        <v>2413</v>
      </c>
      <c r="O744" s="1" t="s">
        <v>31</v>
      </c>
      <c r="P744" s="1" t="s">
        <v>41</v>
      </c>
      <c r="Q744" s="1" t="s">
        <v>2414</v>
      </c>
      <c r="R744" s="1">
        <v>7.7120000000000006</v>
      </c>
      <c r="S744" s="1">
        <v>2</v>
      </c>
      <c r="T744" s="1">
        <v>0.2</v>
      </c>
      <c r="U744" s="1">
        <v>2.7956000000000003</v>
      </c>
    </row>
    <row r="745" spans="1:21" ht="15.75" x14ac:dyDescent="0.25">
      <c r="A745" s="1">
        <v>744</v>
      </c>
      <c r="B745" s="2" t="s">
        <v>2400</v>
      </c>
      <c r="C745" s="3">
        <v>45119</v>
      </c>
      <c r="D745" s="3">
        <v>45123</v>
      </c>
      <c r="E745" s="1" t="s">
        <v>22</v>
      </c>
      <c r="F745" s="1" t="s">
        <v>2401</v>
      </c>
      <c r="G745" s="1" t="s">
        <v>2402</v>
      </c>
      <c r="H745" s="1" t="s">
        <v>37</v>
      </c>
      <c r="I745" s="1" t="s">
        <v>26</v>
      </c>
      <c r="J745" s="1" t="s">
        <v>2403</v>
      </c>
      <c r="K745" s="1" t="s">
        <v>28</v>
      </c>
      <c r="L745" s="1">
        <v>77573</v>
      </c>
      <c r="M745" s="1" t="s">
        <v>29</v>
      </c>
      <c r="N745" s="1" t="s">
        <v>699</v>
      </c>
      <c r="O745" s="1" t="s">
        <v>31</v>
      </c>
      <c r="P745" s="1" t="s">
        <v>82</v>
      </c>
      <c r="Q745" s="1" t="s">
        <v>700</v>
      </c>
      <c r="R745" s="1">
        <v>3.4880000000000004</v>
      </c>
      <c r="S745" s="1">
        <v>2</v>
      </c>
      <c r="T745" s="1">
        <v>0.2</v>
      </c>
      <c r="U745" s="1">
        <v>0.56679999999999997</v>
      </c>
    </row>
    <row r="746" spans="1:21" ht="15.75" x14ac:dyDescent="0.25">
      <c r="A746" s="1">
        <v>745</v>
      </c>
      <c r="B746" s="2" t="s">
        <v>2415</v>
      </c>
      <c r="C746" s="3">
        <v>45119</v>
      </c>
      <c r="D746" s="3">
        <v>45122</v>
      </c>
      <c r="E746" s="1" t="s">
        <v>87</v>
      </c>
      <c r="F746" s="1" t="s">
        <v>2416</v>
      </c>
      <c r="G746" s="1" t="s">
        <v>2417</v>
      </c>
      <c r="H746" s="1" t="s">
        <v>25</v>
      </c>
      <c r="I746" s="1" t="s">
        <v>26</v>
      </c>
      <c r="J746" s="1" t="s">
        <v>493</v>
      </c>
      <c r="K746" s="1" t="s">
        <v>39</v>
      </c>
      <c r="L746" s="1">
        <v>60610</v>
      </c>
      <c r="M746" s="1" t="s">
        <v>29</v>
      </c>
      <c r="N746" s="1" t="s">
        <v>1694</v>
      </c>
      <c r="O746" s="1" t="s">
        <v>31</v>
      </c>
      <c r="P746" s="1" t="s">
        <v>32</v>
      </c>
      <c r="Q746" s="1" t="s">
        <v>1695</v>
      </c>
      <c r="R746" s="1">
        <v>35.856000000000002</v>
      </c>
      <c r="S746" s="1">
        <v>9</v>
      </c>
      <c r="T746" s="1">
        <v>0.2</v>
      </c>
      <c r="U746" s="1">
        <v>12.997800000000003</v>
      </c>
    </row>
    <row r="747" spans="1:21" ht="15.75" x14ac:dyDescent="0.25">
      <c r="A747" s="1">
        <v>746</v>
      </c>
      <c r="B747" s="2" t="s">
        <v>2400</v>
      </c>
      <c r="C747" s="3">
        <v>45119</v>
      </c>
      <c r="D747" s="3">
        <v>45123</v>
      </c>
      <c r="E747" s="1" t="s">
        <v>22</v>
      </c>
      <c r="F747" s="1" t="s">
        <v>2401</v>
      </c>
      <c r="G747" s="1" t="s">
        <v>2402</v>
      </c>
      <c r="H747" s="1" t="s">
        <v>37</v>
      </c>
      <c r="I747" s="1" t="s">
        <v>26</v>
      </c>
      <c r="J747" s="1" t="s">
        <v>2403</v>
      </c>
      <c r="K747" s="1" t="s">
        <v>28</v>
      </c>
      <c r="L747" s="1">
        <v>77573</v>
      </c>
      <c r="M747" s="1" t="s">
        <v>29</v>
      </c>
      <c r="N747" s="1" t="s">
        <v>305</v>
      </c>
      <c r="O747" s="1" t="s">
        <v>31</v>
      </c>
      <c r="P747" s="1" t="s">
        <v>32</v>
      </c>
      <c r="Q747" s="1" t="s">
        <v>306</v>
      </c>
      <c r="R747" s="1">
        <v>16.032</v>
      </c>
      <c r="S747" s="1">
        <v>3</v>
      </c>
      <c r="T747" s="1">
        <v>0.2</v>
      </c>
      <c r="U747" s="1">
        <v>5.6111999999999993</v>
      </c>
    </row>
    <row r="748" spans="1:21" ht="15.75" x14ac:dyDescent="0.25">
      <c r="A748" s="1">
        <v>747</v>
      </c>
      <c r="B748" s="2" t="s">
        <v>2418</v>
      </c>
      <c r="C748" s="3">
        <v>45119</v>
      </c>
      <c r="D748" s="3">
        <v>45123</v>
      </c>
      <c r="E748" s="1" t="s">
        <v>22</v>
      </c>
      <c r="F748" s="1" t="s">
        <v>1311</v>
      </c>
      <c r="G748" s="1" t="s">
        <v>1312</v>
      </c>
      <c r="H748" s="1" t="s">
        <v>37</v>
      </c>
      <c r="I748" s="1" t="s">
        <v>26</v>
      </c>
      <c r="J748" s="1" t="s">
        <v>90</v>
      </c>
      <c r="K748" s="1" t="s">
        <v>91</v>
      </c>
      <c r="L748" s="1">
        <v>90036</v>
      </c>
      <c r="M748" s="1" t="s">
        <v>92</v>
      </c>
      <c r="N748" s="1" t="s">
        <v>1585</v>
      </c>
      <c r="O748" s="1" t="s">
        <v>31</v>
      </c>
      <c r="P748" s="1" t="s">
        <v>47</v>
      </c>
      <c r="Q748" s="1" t="s">
        <v>1586</v>
      </c>
      <c r="R748" s="1">
        <v>249.75</v>
      </c>
      <c r="S748" s="1">
        <v>9</v>
      </c>
      <c r="T748" s="1">
        <v>0</v>
      </c>
      <c r="U748" s="1">
        <v>44.954999999999977</v>
      </c>
    </row>
    <row r="749" spans="1:21" ht="15.75" x14ac:dyDescent="0.25">
      <c r="A749" s="1">
        <v>748</v>
      </c>
      <c r="B749" s="2" t="s">
        <v>2415</v>
      </c>
      <c r="C749" s="3">
        <v>45119</v>
      </c>
      <c r="D749" s="3">
        <v>45122</v>
      </c>
      <c r="E749" s="1" t="s">
        <v>87</v>
      </c>
      <c r="F749" s="1" t="s">
        <v>2416</v>
      </c>
      <c r="G749" s="1" t="s">
        <v>2417</v>
      </c>
      <c r="H749" s="1" t="s">
        <v>25</v>
      </c>
      <c r="I749" s="1" t="s">
        <v>26</v>
      </c>
      <c r="J749" s="1" t="s">
        <v>493</v>
      </c>
      <c r="K749" s="1" t="s">
        <v>39</v>
      </c>
      <c r="L749" s="1">
        <v>60610</v>
      </c>
      <c r="M749" s="1" t="s">
        <v>29</v>
      </c>
      <c r="N749" s="1" t="s">
        <v>2419</v>
      </c>
      <c r="O749" s="1" t="s">
        <v>96</v>
      </c>
      <c r="P749" s="1" t="s">
        <v>117</v>
      </c>
      <c r="Q749" s="1" t="s">
        <v>2420</v>
      </c>
      <c r="R749" s="1">
        <v>23.840000000000003</v>
      </c>
      <c r="S749" s="1">
        <v>4</v>
      </c>
      <c r="T749" s="1">
        <v>0.2</v>
      </c>
      <c r="U749" s="1">
        <v>3.2779999999999987</v>
      </c>
    </row>
    <row r="750" spans="1:21" ht="15.75" x14ac:dyDescent="0.25">
      <c r="A750" s="1">
        <v>749</v>
      </c>
      <c r="B750" s="2" t="s">
        <v>2418</v>
      </c>
      <c r="C750" s="3">
        <v>45119</v>
      </c>
      <c r="D750" s="3">
        <v>45123</v>
      </c>
      <c r="E750" s="1" t="s">
        <v>22</v>
      </c>
      <c r="F750" s="1" t="s">
        <v>1311</v>
      </c>
      <c r="G750" s="1" t="s">
        <v>1312</v>
      </c>
      <c r="H750" s="1" t="s">
        <v>37</v>
      </c>
      <c r="I750" s="1" t="s">
        <v>26</v>
      </c>
      <c r="J750" s="1" t="s">
        <v>90</v>
      </c>
      <c r="K750" s="1" t="s">
        <v>91</v>
      </c>
      <c r="L750" s="1">
        <v>90036</v>
      </c>
      <c r="M750" s="1" t="s">
        <v>92</v>
      </c>
      <c r="N750" s="1" t="s">
        <v>2421</v>
      </c>
      <c r="O750" s="1" t="s">
        <v>96</v>
      </c>
      <c r="P750" s="1" t="s">
        <v>97</v>
      </c>
      <c r="Q750" s="1" t="s">
        <v>2422</v>
      </c>
      <c r="R750" s="1">
        <v>255.93600000000004</v>
      </c>
      <c r="S750" s="1">
        <v>8</v>
      </c>
      <c r="T750" s="1">
        <v>0.2</v>
      </c>
      <c r="U750" s="1">
        <v>28.792799999999971</v>
      </c>
    </row>
    <row r="751" spans="1:21" ht="15.75" x14ac:dyDescent="0.25">
      <c r="A751" s="1">
        <v>750</v>
      </c>
      <c r="B751" s="2" t="s">
        <v>2423</v>
      </c>
      <c r="C751" s="3">
        <v>45120</v>
      </c>
      <c r="D751" s="3">
        <v>45124</v>
      </c>
      <c r="E751" s="1" t="s">
        <v>22</v>
      </c>
      <c r="F751" s="1" t="s">
        <v>2222</v>
      </c>
      <c r="G751" s="1" t="s">
        <v>2223</v>
      </c>
      <c r="H751" s="1" t="s">
        <v>74</v>
      </c>
      <c r="I751" s="1" t="s">
        <v>26</v>
      </c>
      <c r="J751" s="1" t="s">
        <v>90</v>
      </c>
      <c r="K751" s="1" t="s">
        <v>91</v>
      </c>
      <c r="L751" s="1">
        <v>90049</v>
      </c>
      <c r="M751" s="1" t="s">
        <v>92</v>
      </c>
      <c r="N751" s="1" t="s">
        <v>2424</v>
      </c>
      <c r="O751" s="1" t="s">
        <v>65</v>
      </c>
      <c r="P751" s="1" t="s">
        <v>339</v>
      </c>
      <c r="Q751" s="1" t="s">
        <v>2425</v>
      </c>
      <c r="R751" s="1">
        <v>351.21600000000001</v>
      </c>
      <c r="S751" s="1">
        <v>3</v>
      </c>
      <c r="T751" s="1">
        <v>0.2</v>
      </c>
      <c r="U751" s="1">
        <v>4.3901999999999788</v>
      </c>
    </row>
    <row r="752" spans="1:21" ht="15.75" x14ac:dyDescent="0.25">
      <c r="A752" s="1">
        <v>751</v>
      </c>
      <c r="B752" s="2" t="s">
        <v>2426</v>
      </c>
      <c r="C752" s="3">
        <v>45121</v>
      </c>
      <c r="D752" s="3">
        <v>45125</v>
      </c>
      <c r="E752" s="1" t="s">
        <v>22</v>
      </c>
      <c r="F752" s="1" t="s">
        <v>470</v>
      </c>
      <c r="G752" s="1" t="s">
        <v>471</v>
      </c>
      <c r="H752" s="1" t="s">
        <v>25</v>
      </c>
      <c r="I752" s="1" t="s">
        <v>26</v>
      </c>
      <c r="J752" s="1" t="s">
        <v>52</v>
      </c>
      <c r="K752" s="1" t="s">
        <v>53</v>
      </c>
      <c r="L752" s="1">
        <v>19140</v>
      </c>
      <c r="M752" s="1" t="s">
        <v>54</v>
      </c>
      <c r="N752" s="1" t="s">
        <v>2427</v>
      </c>
      <c r="O752" s="1" t="s">
        <v>65</v>
      </c>
      <c r="P752" s="1" t="s">
        <v>106</v>
      </c>
      <c r="Q752" s="1" t="s">
        <v>2428</v>
      </c>
      <c r="R752" s="1">
        <v>31.983999999999998</v>
      </c>
      <c r="S752" s="1">
        <v>2</v>
      </c>
      <c r="T752" s="1">
        <v>0.2</v>
      </c>
      <c r="U752" s="1">
        <v>1.1993999999999998</v>
      </c>
    </row>
    <row r="753" spans="1:21" ht="15.75" x14ac:dyDescent="0.25">
      <c r="A753" s="1">
        <v>752</v>
      </c>
      <c r="B753" s="2" t="s">
        <v>2429</v>
      </c>
      <c r="C753" s="3">
        <v>45121</v>
      </c>
      <c r="D753" s="3">
        <v>45127</v>
      </c>
      <c r="E753" s="1" t="s">
        <v>22</v>
      </c>
      <c r="F753" s="1" t="s">
        <v>2430</v>
      </c>
      <c r="G753" s="1" t="s">
        <v>2431</v>
      </c>
      <c r="H753" s="1" t="s">
        <v>37</v>
      </c>
      <c r="I753" s="1" t="s">
        <v>26</v>
      </c>
      <c r="J753" s="1" t="s">
        <v>154</v>
      </c>
      <c r="K753" s="1" t="s">
        <v>132</v>
      </c>
      <c r="L753" s="1">
        <v>19711</v>
      </c>
      <c r="M753" s="1" t="s">
        <v>54</v>
      </c>
      <c r="N753" s="1" t="s">
        <v>2432</v>
      </c>
      <c r="O753" s="1" t="s">
        <v>31</v>
      </c>
      <c r="P753" s="1" t="s">
        <v>205</v>
      </c>
      <c r="Q753" s="1" t="s">
        <v>2433</v>
      </c>
      <c r="R753" s="1">
        <v>39.479999999999997</v>
      </c>
      <c r="S753" s="1">
        <v>1</v>
      </c>
      <c r="T753" s="1">
        <v>0</v>
      </c>
      <c r="U753" s="1">
        <v>11.054400000000001</v>
      </c>
    </row>
    <row r="754" spans="1:21" ht="15.75" x14ac:dyDescent="0.25">
      <c r="A754" s="1">
        <v>753</v>
      </c>
      <c r="B754" s="2" t="s">
        <v>2426</v>
      </c>
      <c r="C754" s="3">
        <v>45121</v>
      </c>
      <c r="D754" s="3">
        <v>45125</v>
      </c>
      <c r="E754" s="1" t="s">
        <v>22</v>
      </c>
      <c r="F754" s="1" t="s">
        <v>470</v>
      </c>
      <c r="G754" s="1" t="s">
        <v>471</v>
      </c>
      <c r="H754" s="1" t="s">
        <v>25</v>
      </c>
      <c r="I754" s="1" t="s">
        <v>26</v>
      </c>
      <c r="J754" s="1" t="s">
        <v>52</v>
      </c>
      <c r="K754" s="1" t="s">
        <v>53</v>
      </c>
      <c r="L754" s="1">
        <v>19140</v>
      </c>
      <c r="M754" s="1" t="s">
        <v>54</v>
      </c>
      <c r="N754" s="1" t="s">
        <v>675</v>
      </c>
      <c r="O754" s="1" t="s">
        <v>31</v>
      </c>
      <c r="P754" s="1" t="s">
        <v>56</v>
      </c>
      <c r="Q754" s="1" t="s">
        <v>676</v>
      </c>
      <c r="R754" s="1">
        <v>41.584000000000003</v>
      </c>
      <c r="S754" s="1">
        <v>2</v>
      </c>
      <c r="T754" s="1">
        <v>0.2</v>
      </c>
      <c r="U754" s="1">
        <v>4.6781999999999968</v>
      </c>
    </row>
    <row r="755" spans="1:21" ht="15.75" x14ac:dyDescent="0.25">
      <c r="A755" s="1">
        <v>754</v>
      </c>
      <c r="B755" s="2" t="s">
        <v>2434</v>
      </c>
      <c r="C755" s="3">
        <v>45121</v>
      </c>
      <c r="D755" s="3">
        <v>45124</v>
      </c>
      <c r="E755" s="1" t="s">
        <v>87</v>
      </c>
      <c r="F755" s="1" t="s">
        <v>2435</v>
      </c>
      <c r="G755" s="1" t="s">
        <v>2436</v>
      </c>
      <c r="H755" s="1" t="s">
        <v>74</v>
      </c>
      <c r="I755" s="1" t="s">
        <v>26</v>
      </c>
      <c r="J755" s="1" t="s">
        <v>348</v>
      </c>
      <c r="K755" s="1" t="s">
        <v>349</v>
      </c>
      <c r="L755" s="1">
        <v>10009</v>
      </c>
      <c r="M755" s="1" t="s">
        <v>54</v>
      </c>
      <c r="N755" s="1" t="s">
        <v>2437</v>
      </c>
      <c r="O755" s="1" t="s">
        <v>31</v>
      </c>
      <c r="P755" s="1" t="s">
        <v>56</v>
      </c>
      <c r="Q755" s="1" t="s">
        <v>2438</v>
      </c>
      <c r="R755" s="1">
        <v>17.940000000000001</v>
      </c>
      <c r="S755" s="1">
        <v>3</v>
      </c>
      <c r="T755" s="1">
        <v>0</v>
      </c>
      <c r="U755" s="1">
        <v>4.4850000000000003</v>
      </c>
    </row>
    <row r="756" spans="1:21" ht="15.75" x14ac:dyDescent="0.25">
      <c r="A756" s="1">
        <v>755</v>
      </c>
      <c r="B756" s="2" t="s">
        <v>2439</v>
      </c>
      <c r="C756" s="3">
        <v>45121</v>
      </c>
      <c r="D756" s="3">
        <v>45127</v>
      </c>
      <c r="E756" s="1" t="s">
        <v>22</v>
      </c>
      <c r="F756" s="1" t="s">
        <v>2440</v>
      </c>
      <c r="G756" s="1" t="s">
        <v>2441</v>
      </c>
      <c r="H756" s="1" t="s">
        <v>37</v>
      </c>
      <c r="I756" s="1" t="s">
        <v>26</v>
      </c>
      <c r="J756" s="1" t="s">
        <v>1991</v>
      </c>
      <c r="K756" s="1" t="s">
        <v>39</v>
      </c>
      <c r="L756" s="1">
        <v>60505</v>
      </c>
      <c r="M756" s="1" t="s">
        <v>29</v>
      </c>
      <c r="N756" s="1" t="s">
        <v>2442</v>
      </c>
      <c r="O756" s="1" t="s">
        <v>31</v>
      </c>
      <c r="P756" s="1" t="s">
        <v>41</v>
      </c>
      <c r="Q756" s="1" t="s">
        <v>2443</v>
      </c>
      <c r="R756" s="1">
        <v>29.931999999999992</v>
      </c>
      <c r="S756" s="1">
        <v>7</v>
      </c>
      <c r="T756" s="1">
        <v>0.8</v>
      </c>
      <c r="U756" s="1">
        <v>-46.394600000000011</v>
      </c>
    </row>
    <row r="757" spans="1:21" ht="15.75" x14ac:dyDescent="0.25">
      <c r="A757" s="1">
        <v>756</v>
      </c>
      <c r="B757" s="2" t="s">
        <v>2444</v>
      </c>
      <c r="C757" s="3">
        <v>45121</v>
      </c>
      <c r="D757" s="3">
        <v>45128</v>
      </c>
      <c r="E757" s="1" t="s">
        <v>22</v>
      </c>
      <c r="F757" s="1" t="s">
        <v>2445</v>
      </c>
      <c r="G757" s="1" t="s">
        <v>2446</v>
      </c>
      <c r="H757" s="1" t="s">
        <v>25</v>
      </c>
      <c r="I757" s="1" t="s">
        <v>26</v>
      </c>
      <c r="J757" s="1" t="s">
        <v>2183</v>
      </c>
      <c r="K757" s="1" t="s">
        <v>211</v>
      </c>
      <c r="L757" s="1">
        <v>85023</v>
      </c>
      <c r="M757" s="1" t="s">
        <v>92</v>
      </c>
      <c r="N757" s="1" t="s">
        <v>263</v>
      </c>
      <c r="O757" s="1" t="s">
        <v>31</v>
      </c>
      <c r="P757" s="1" t="s">
        <v>47</v>
      </c>
      <c r="Q757" s="1" t="s">
        <v>264</v>
      </c>
      <c r="R757" s="1">
        <v>55.92</v>
      </c>
      <c r="S757" s="1">
        <v>5</v>
      </c>
      <c r="T757" s="1">
        <v>0.2</v>
      </c>
      <c r="U757" s="1">
        <v>6.2910000000000004</v>
      </c>
    </row>
    <row r="758" spans="1:21" ht="15.75" x14ac:dyDescent="0.25">
      <c r="A758" s="1">
        <v>757</v>
      </c>
      <c r="B758" s="2" t="s">
        <v>2439</v>
      </c>
      <c r="C758" s="3">
        <v>45121</v>
      </c>
      <c r="D758" s="3">
        <v>45127</v>
      </c>
      <c r="E758" s="1" t="s">
        <v>22</v>
      </c>
      <c r="F758" s="1" t="s">
        <v>2440</v>
      </c>
      <c r="G758" s="1" t="s">
        <v>2441</v>
      </c>
      <c r="H758" s="1" t="s">
        <v>37</v>
      </c>
      <c r="I758" s="1" t="s">
        <v>26</v>
      </c>
      <c r="J758" s="1" t="s">
        <v>1991</v>
      </c>
      <c r="K758" s="1" t="s">
        <v>39</v>
      </c>
      <c r="L758" s="1">
        <v>60505</v>
      </c>
      <c r="M758" s="1" t="s">
        <v>29</v>
      </c>
      <c r="N758" s="1" t="s">
        <v>1858</v>
      </c>
      <c r="O758" s="1" t="s">
        <v>96</v>
      </c>
      <c r="P758" s="1" t="s">
        <v>97</v>
      </c>
      <c r="Q758" s="1" t="s">
        <v>1859</v>
      </c>
      <c r="R758" s="1">
        <v>38.272000000000006</v>
      </c>
      <c r="S758" s="1">
        <v>4</v>
      </c>
      <c r="T758" s="1">
        <v>0.2</v>
      </c>
      <c r="U758" s="1">
        <v>3.8272000000000013</v>
      </c>
    </row>
    <row r="759" spans="1:21" ht="15.75" x14ac:dyDescent="0.25">
      <c r="A759" s="1">
        <v>758</v>
      </c>
      <c r="B759" s="2" t="s">
        <v>2426</v>
      </c>
      <c r="C759" s="3">
        <v>45121</v>
      </c>
      <c r="D759" s="3">
        <v>45125</v>
      </c>
      <c r="E759" s="1" t="s">
        <v>22</v>
      </c>
      <c r="F759" s="1" t="s">
        <v>470</v>
      </c>
      <c r="G759" s="1" t="s">
        <v>471</v>
      </c>
      <c r="H759" s="1" t="s">
        <v>25</v>
      </c>
      <c r="I759" s="1" t="s">
        <v>26</v>
      </c>
      <c r="J759" s="1" t="s">
        <v>52</v>
      </c>
      <c r="K759" s="1" t="s">
        <v>53</v>
      </c>
      <c r="L759" s="1">
        <v>19140</v>
      </c>
      <c r="M759" s="1" t="s">
        <v>54</v>
      </c>
      <c r="N759" s="1" t="s">
        <v>2447</v>
      </c>
      <c r="O759" s="1" t="s">
        <v>96</v>
      </c>
      <c r="P759" s="1" t="s">
        <v>97</v>
      </c>
      <c r="Q759" s="1" t="s">
        <v>2448</v>
      </c>
      <c r="R759" s="1">
        <v>13.493999999999998</v>
      </c>
      <c r="S759" s="1">
        <v>1</v>
      </c>
      <c r="T759" s="1">
        <v>0.4</v>
      </c>
      <c r="U759" s="1">
        <v>-2.2490000000000023</v>
      </c>
    </row>
    <row r="760" spans="1:21" ht="15.75" x14ac:dyDescent="0.25">
      <c r="A760" s="1">
        <v>759</v>
      </c>
      <c r="B760" s="2" t="s">
        <v>2426</v>
      </c>
      <c r="C760" s="3">
        <v>45121</v>
      </c>
      <c r="D760" s="3">
        <v>45125</v>
      </c>
      <c r="E760" s="1" t="s">
        <v>22</v>
      </c>
      <c r="F760" s="1" t="s">
        <v>470</v>
      </c>
      <c r="G760" s="1" t="s">
        <v>471</v>
      </c>
      <c r="H760" s="1" t="s">
        <v>25</v>
      </c>
      <c r="I760" s="1" t="s">
        <v>26</v>
      </c>
      <c r="J760" s="1" t="s">
        <v>52</v>
      </c>
      <c r="K760" s="1" t="s">
        <v>53</v>
      </c>
      <c r="L760" s="1">
        <v>19140</v>
      </c>
      <c r="M760" s="1" t="s">
        <v>54</v>
      </c>
      <c r="N760" s="1" t="s">
        <v>2449</v>
      </c>
      <c r="O760" s="1" t="s">
        <v>96</v>
      </c>
      <c r="P760" s="1" t="s">
        <v>97</v>
      </c>
      <c r="Q760" s="1" t="s">
        <v>2450</v>
      </c>
      <c r="R760" s="1">
        <v>23.987999999999996</v>
      </c>
      <c r="S760" s="1">
        <v>2</v>
      </c>
      <c r="T760" s="1">
        <v>0.4</v>
      </c>
      <c r="U760" s="1">
        <v>-13.993000000000004</v>
      </c>
    </row>
    <row r="761" spans="1:21" ht="15.75" x14ac:dyDescent="0.25">
      <c r="A761" s="1">
        <v>760</v>
      </c>
      <c r="B761" s="2" t="s">
        <v>2451</v>
      </c>
      <c r="C761" s="3">
        <v>45122</v>
      </c>
      <c r="D761" s="3">
        <v>45126</v>
      </c>
      <c r="E761" s="1" t="s">
        <v>22</v>
      </c>
      <c r="F761" s="1" t="s">
        <v>1617</v>
      </c>
      <c r="G761" s="1" t="s">
        <v>1618</v>
      </c>
      <c r="H761" s="1" t="s">
        <v>74</v>
      </c>
      <c r="I761" s="1" t="s">
        <v>26</v>
      </c>
      <c r="J761" s="1" t="s">
        <v>2452</v>
      </c>
      <c r="K761" s="1" t="s">
        <v>311</v>
      </c>
      <c r="L761" s="1">
        <v>57103</v>
      </c>
      <c r="M761" s="1" t="s">
        <v>29</v>
      </c>
      <c r="N761" s="1" t="s">
        <v>2453</v>
      </c>
      <c r="O761" s="1" t="s">
        <v>31</v>
      </c>
      <c r="P761" s="1" t="s">
        <v>82</v>
      </c>
      <c r="Q761" s="1" t="s">
        <v>2454</v>
      </c>
      <c r="R761" s="1">
        <v>6.5400000000000009</v>
      </c>
      <c r="S761" s="1">
        <v>3</v>
      </c>
      <c r="T761" s="1">
        <v>0</v>
      </c>
      <c r="U761" s="1">
        <v>2.6814000000000004</v>
      </c>
    </row>
    <row r="762" spans="1:21" ht="15.75" x14ac:dyDescent="0.25">
      <c r="A762" s="1">
        <v>761</v>
      </c>
      <c r="B762" s="2" t="s">
        <v>2451</v>
      </c>
      <c r="C762" s="3">
        <v>45122</v>
      </c>
      <c r="D762" s="3">
        <v>45126</v>
      </c>
      <c r="E762" s="1" t="s">
        <v>22</v>
      </c>
      <c r="F762" s="1" t="s">
        <v>1617</v>
      </c>
      <c r="G762" s="1" t="s">
        <v>1618</v>
      </c>
      <c r="H762" s="1" t="s">
        <v>74</v>
      </c>
      <c r="I762" s="1" t="s">
        <v>26</v>
      </c>
      <c r="J762" s="1" t="s">
        <v>2452</v>
      </c>
      <c r="K762" s="1" t="s">
        <v>311</v>
      </c>
      <c r="L762" s="1">
        <v>57103</v>
      </c>
      <c r="M762" s="1" t="s">
        <v>29</v>
      </c>
      <c r="N762" s="1" t="s">
        <v>2455</v>
      </c>
      <c r="O762" s="1" t="s">
        <v>96</v>
      </c>
      <c r="P762" s="1" t="s">
        <v>117</v>
      </c>
      <c r="Q762" s="1" t="s">
        <v>2456</v>
      </c>
      <c r="R762" s="1">
        <v>2.9699999999999998</v>
      </c>
      <c r="S762" s="1">
        <v>3</v>
      </c>
      <c r="T762" s="1">
        <v>0</v>
      </c>
      <c r="U762" s="1">
        <v>1.3068000000000004</v>
      </c>
    </row>
    <row r="763" spans="1:21" ht="15.75" x14ac:dyDescent="0.25">
      <c r="A763" s="1">
        <v>762</v>
      </c>
      <c r="B763" s="2" t="s">
        <v>2457</v>
      </c>
      <c r="C763" s="3">
        <v>45125</v>
      </c>
      <c r="D763" s="3">
        <v>45125</v>
      </c>
      <c r="E763" s="1" t="s">
        <v>497</v>
      </c>
      <c r="F763" s="1" t="s">
        <v>2458</v>
      </c>
      <c r="G763" s="1" t="s">
        <v>2459</v>
      </c>
      <c r="H763" s="1" t="s">
        <v>37</v>
      </c>
      <c r="I763" s="1" t="s">
        <v>26</v>
      </c>
      <c r="J763" s="1" t="s">
        <v>900</v>
      </c>
      <c r="K763" s="1" t="s">
        <v>211</v>
      </c>
      <c r="L763" s="1">
        <v>85705</v>
      </c>
      <c r="M763" s="1" t="s">
        <v>92</v>
      </c>
      <c r="N763" s="1" t="s">
        <v>2460</v>
      </c>
      <c r="O763" s="1" t="s">
        <v>65</v>
      </c>
      <c r="P763" s="1" t="s">
        <v>66</v>
      </c>
      <c r="Q763" s="1" t="s">
        <v>2461</v>
      </c>
      <c r="R763" s="1">
        <v>259.13600000000002</v>
      </c>
      <c r="S763" s="1">
        <v>4</v>
      </c>
      <c r="T763" s="1">
        <v>0.2</v>
      </c>
      <c r="U763" s="1">
        <v>-25.913599999999988</v>
      </c>
    </row>
    <row r="764" spans="1:21" ht="15.75" x14ac:dyDescent="0.25">
      <c r="A764" s="1">
        <v>763</v>
      </c>
      <c r="B764" s="2" t="s">
        <v>2462</v>
      </c>
      <c r="C764" s="3">
        <v>45125</v>
      </c>
      <c r="D764" s="3">
        <v>45130</v>
      </c>
      <c r="E764" s="1" t="s">
        <v>22</v>
      </c>
      <c r="F764" s="1" t="s">
        <v>2463</v>
      </c>
      <c r="G764" s="1" t="s">
        <v>2464</v>
      </c>
      <c r="H764" s="1" t="s">
        <v>25</v>
      </c>
      <c r="I764" s="1" t="s">
        <v>26</v>
      </c>
      <c r="J764" s="1" t="s">
        <v>2465</v>
      </c>
      <c r="K764" s="1" t="s">
        <v>349</v>
      </c>
      <c r="L764" s="1">
        <v>10801</v>
      </c>
      <c r="M764" s="1" t="s">
        <v>54</v>
      </c>
      <c r="N764" s="1" t="s">
        <v>2466</v>
      </c>
      <c r="O764" s="1" t="s">
        <v>31</v>
      </c>
      <c r="P764" s="1" t="s">
        <v>41</v>
      </c>
      <c r="Q764" s="1" t="s">
        <v>2467</v>
      </c>
      <c r="R764" s="1">
        <v>13.904</v>
      </c>
      <c r="S764" s="1">
        <v>2</v>
      </c>
      <c r="T764" s="1">
        <v>0.2</v>
      </c>
      <c r="U764" s="1">
        <v>4.5187999999999997</v>
      </c>
    </row>
    <row r="765" spans="1:21" ht="15.75" x14ac:dyDescent="0.25">
      <c r="A765" s="1">
        <v>764</v>
      </c>
      <c r="B765" s="2" t="s">
        <v>2468</v>
      </c>
      <c r="C765" s="3">
        <v>45126</v>
      </c>
      <c r="D765" s="3">
        <v>45131</v>
      </c>
      <c r="E765" s="1" t="s">
        <v>22</v>
      </c>
      <c r="F765" s="1" t="s">
        <v>2469</v>
      </c>
      <c r="G765" s="1" t="s">
        <v>2470</v>
      </c>
      <c r="H765" s="1" t="s">
        <v>74</v>
      </c>
      <c r="I765" s="1" t="s">
        <v>26</v>
      </c>
      <c r="J765" s="1" t="s">
        <v>1999</v>
      </c>
      <c r="K765" s="1" t="s">
        <v>1517</v>
      </c>
      <c r="L765" s="1">
        <v>6010</v>
      </c>
      <c r="M765" s="1" t="s">
        <v>54</v>
      </c>
      <c r="N765" s="1" t="s">
        <v>2471</v>
      </c>
      <c r="O765" s="1" t="s">
        <v>65</v>
      </c>
      <c r="P765" s="1" t="s">
        <v>339</v>
      </c>
      <c r="Q765" s="1" t="s">
        <v>2472</v>
      </c>
      <c r="R765" s="1">
        <v>70.559999999999988</v>
      </c>
      <c r="S765" s="1">
        <v>1</v>
      </c>
      <c r="T765" s="1">
        <v>0.3</v>
      </c>
      <c r="U765" s="1">
        <v>-4.032</v>
      </c>
    </row>
    <row r="766" spans="1:21" ht="15.75" x14ac:dyDescent="0.25">
      <c r="A766" s="1">
        <v>765</v>
      </c>
      <c r="B766" s="2" t="s">
        <v>2473</v>
      </c>
      <c r="C766" s="3">
        <v>45126</v>
      </c>
      <c r="D766" s="3">
        <v>45131</v>
      </c>
      <c r="E766" s="1" t="s">
        <v>22</v>
      </c>
      <c r="F766" s="1" t="s">
        <v>2474</v>
      </c>
      <c r="G766" s="1" t="s">
        <v>2475</v>
      </c>
      <c r="H766" s="1" t="s">
        <v>37</v>
      </c>
      <c r="I766" s="1" t="s">
        <v>26</v>
      </c>
      <c r="J766" s="1" t="s">
        <v>1266</v>
      </c>
      <c r="K766" s="1" t="s">
        <v>1267</v>
      </c>
      <c r="L766" s="1">
        <v>59405</v>
      </c>
      <c r="M766" s="1" t="s">
        <v>92</v>
      </c>
      <c r="N766" s="1" t="s">
        <v>2476</v>
      </c>
      <c r="O766" s="1" t="s">
        <v>31</v>
      </c>
      <c r="P766" s="1" t="s">
        <v>41</v>
      </c>
      <c r="Q766" s="1" t="s">
        <v>2477</v>
      </c>
      <c r="R766" s="1">
        <v>6.0960000000000001</v>
      </c>
      <c r="S766" s="1">
        <v>2</v>
      </c>
      <c r="T766" s="1">
        <v>0.2</v>
      </c>
      <c r="U766" s="1">
        <v>2.2098</v>
      </c>
    </row>
    <row r="767" spans="1:21" ht="15.75" x14ac:dyDescent="0.25">
      <c r="A767" s="1">
        <v>766</v>
      </c>
      <c r="B767" s="2" t="s">
        <v>2468</v>
      </c>
      <c r="C767" s="3">
        <v>45126</v>
      </c>
      <c r="D767" s="3">
        <v>45131</v>
      </c>
      <c r="E767" s="1" t="s">
        <v>22</v>
      </c>
      <c r="F767" s="1" t="s">
        <v>2469</v>
      </c>
      <c r="G767" s="1" t="s">
        <v>2470</v>
      </c>
      <c r="H767" s="1" t="s">
        <v>74</v>
      </c>
      <c r="I767" s="1" t="s">
        <v>26</v>
      </c>
      <c r="J767" s="1" t="s">
        <v>1999</v>
      </c>
      <c r="K767" s="1" t="s">
        <v>1517</v>
      </c>
      <c r="L767" s="1">
        <v>6010</v>
      </c>
      <c r="M767" s="1" t="s">
        <v>54</v>
      </c>
      <c r="N767" s="1" t="s">
        <v>2478</v>
      </c>
      <c r="O767" s="1" t="s">
        <v>31</v>
      </c>
      <c r="P767" s="1" t="s">
        <v>41</v>
      </c>
      <c r="Q767" s="1" t="s">
        <v>2479</v>
      </c>
      <c r="R767" s="1">
        <v>3.81</v>
      </c>
      <c r="S767" s="1">
        <v>1</v>
      </c>
      <c r="T767" s="1">
        <v>0</v>
      </c>
      <c r="U767" s="1">
        <v>1.8288</v>
      </c>
    </row>
    <row r="768" spans="1:21" ht="15.75" x14ac:dyDescent="0.25">
      <c r="A768" s="1">
        <v>767</v>
      </c>
      <c r="B768" s="2" t="s">
        <v>2468</v>
      </c>
      <c r="C768" s="3">
        <v>45126</v>
      </c>
      <c r="D768" s="3">
        <v>45131</v>
      </c>
      <c r="E768" s="1" t="s">
        <v>22</v>
      </c>
      <c r="F768" s="1" t="s">
        <v>2469</v>
      </c>
      <c r="G768" s="1" t="s">
        <v>2470</v>
      </c>
      <c r="H768" s="1" t="s">
        <v>74</v>
      </c>
      <c r="I768" s="1" t="s">
        <v>26</v>
      </c>
      <c r="J768" s="1" t="s">
        <v>1999</v>
      </c>
      <c r="K768" s="1" t="s">
        <v>1517</v>
      </c>
      <c r="L768" s="1">
        <v>6010</v>
      </c>
      <c r="M768" s="1" t="s">
        <v>54</v>
      </c>
      <c r="N768" s="1" t="s">
        <v>2480</v>
      </c>
      <c r="O768" s="1" t="s">
        <v>31</v>
      </c>
      <c r="P768" s="1" t="s">
        <v>41</v>
      </c>
      <c r="Q768" s="1" t="s">
        <v>2481</v>
      </c>
      <c r="R768" s="1">
        <v>20.88</v>
      </c>
      <c r="S768" s="1">
        <v>2</v>
      </c>
      <c r="T768" s="1">
        <v>0</v>
      </c>
      <c r="U768" s="1">
        <v>9.6047999999999991</v>
      </c>
    </row>
    <row r="769" spans="1:21" ht="15.75" x14ac:dyDescent="0.25">
      <c r="A769" s="1">
        <v>768</v>
      </c>
      <c r="B769" s="2" t="s">
        <v>2468</v>
      </c>
      <c r="C769" s="3">
        <v>45126</v>
      </c>
      <c r="D769" s="3">
        <v>45131</v>
      </c>
      <c r="E769" s="1" t="s">
        <v>22</v>
      </c>
      <c r="F769" s="1" t="s">
        <v>2469</v>
      </c>
      <c r="G769" s="1" t="s">
        <v>2470</v>
      </c>
      <c r="H769" s="1" t="s">
        <v>74</v>
      </c>
      <c r="I769" s="1" t="s">
        <v>26</v>
      </c>
      <c r="J769" s="1" t="s">
        <v>1999</v>
      </c>
      <c r="K769" s="1" t="s">
        <v>1517</v>
      </c>
      <c r="L769" s="1">
        <v>6010</v>
      </c>
      <c r="M769" s="1" t="s">
        <v>54</v>
      </c>
      <c r="N769" s="1" t="s">
        <v>2387</v>
      </c>
      <c r="O769" s="1" t="s">
        <v>96</v>
      </c>
      <c r="P769" s="1" t="s">
        <v>97</v>
      </c>
      <c r="Q769" s="1" t="s">
        <v>2388</v>
      </c>
      <c r="R769" s="1">
        <v>359.98</v>
      </c>
      <c r="S769" s="1">
        <v>2</v>
      </c>
      <c r="T769" s="1">
        <v>0</v>
      </c>
      <c r="U769" s="1">
        <v>93.594800000000021</v>
      </c>
    </row>
    <row r="770" spans="1:21" ht="15.75" x14ac:dyDescent="0.25">
      <c r="A770" s="1">
        <v>769</v>
      </c>
      <c r="B770" s="2" t="s">
        <v>2482</v>
      </c>
      <c r="C770" s="3">
        <v>45127</v>
      </c>
      <c r="D770" s="3">
        <v>45131</v>
      </c>
      <c r="E770" s="1" t="s">
        <v>22</v>
      </c>
      <c r="F770" s="1" t="s">
        <v>2483</v>
      </c>
      <c r="G770" s="1" t="s">
        <v>2484</v>
      </c>
      <c r="H770" s="1" t="s">
        <v>37</v>
      </c>
      <c r="I770" s="1" t="s">
        <v>26</v>
      </c>
      <c r="J770" s="1" t="s">
        <v>487</v>
      </c>
      <c r="K770" s="1" t="s">
        <v>28</v>
      </c>
      <c r="L770" s="1">
        <v>75217</v>
      </c>
      <c r="M770" s="1" t="s">
        <v>29</v>
      </c>
      <c r="N770" s="1" t="s">
        <v>2485</v>
      </c>
      <c r="O770" s="1" t="s">
        <v>65</v>
      </c>
      <c r="P770" s="1" t="s">
        <v>66</v>
      </c>
      <c r="Q770" s="1" t="s">
        <v>2486</v>
      </c>
      <c r="R770" s="1">
        <v>981.37199999999996</v>
      </c>
      <c r="S770" s="1">
        <v>2</v>
      </c>
      <c r="T770" s="1">
        <v>0.3</v>
      </c>
      <c r="U770" s="1">
        <v>-140.19599999999997</v>
      </c>
    </row>
    <row r="771" spans="1:21" ht="15.75" x14ac:dyDescent="0.25">
      <c r="A771" s="1">
        <v>770</v>
      </c>
      <c r="B771" s="2" t="s">
        <v>2487</v>
      </c>
      <c r="C771" s="3">
        <v>45127</v>
      </c>
      <c r="D771" s="3">
        <v>45129</v>
      </c>
      <c r="E771" s="1" t="s">
        <v>71</v>
      </c>
      <c r="F771" s="1" t="s">
        <v>2488</v>
      </c>
      <c r="G771" s="1" t="s">
        <v>2489</v>
      </c>
      <c r="H771" s="1" t="s">
        <v>25</v>
      </c>
      <c r="I771" s="1" t="s">
        <v>26</v>
      </c>
      <c r="J771" s="1" t="s">
        <v>337</v>
      </c>
      <c r="K771" s="1" t="s">
        <v>91</v>
      </c>
      <c r="L771" s="1">
        <v>92105</v>
      </c>
      <c r="M771" s="1" t="s">
        <v>92</v>
      </c>
      <c r="N771" s="1" t="s">
        <v>2490</v>
      </c>
      <c r="O771" s="1" t="s">
        <v>65</v>
      </c>
      <c r="P771" s="1" t="s">
        <v>106</v>
      </c>
      <c r="Q771" s="1" t="s">
        <v>2491</v>
      </c>
      <c r="R771" s="1">
        <v>43.019999999999996</v>
      </c>
      <c r="S771" s="1">
        <v>3</v>
      </c>
      <c r="T771" s="1">
        <v>0</v>
      </c>
      <c r="U771" s="1">
        <v>15.4872</v>
      </c>
    </row>
    <row r="772" spans="1:21" ht="15.75" x14ac:dyDescent="0.25">
      <c r="A772" s="1">
        <v>771</v>
      </c>
      <c r="B772" s="2" t="s">
        <v>2482</v>
      </c>
      <c r="C772" s="3">
        <v>45127</v>
      </c>
      <c r="D772" s="3">
        <v>45131</v>
      </c>
      <c r="E772" s="1" t="s">
        <v>22</v>
      </c>
      <c r="F772" s="1" t="s">
        <v>2483</v>
      </c>
      <c r="G772" s="1" t="s">
        <v>2484</v>
      </c>
      <c r="H772" s="1" t="s">
        <v>37</v>
      </c>
      <c r="I772" s="1" t="s">
        <v>26</v>
      </c>
      <c r="J772" s="1" t="s">
        <v>487</v>
      </c>
      <c r="K772" s="1" t="s">
        <v>28</v>
      </c>
      <c r="L772" s="1">
        <v>75217</v>
      </c>
      <c r="M772" s="1" t="s">
        <v>29</v>
      </c>
      <c r="N772" s="1" t="s">
        <v>2492</v>
      </c>
      <c r="O772" s="1" t="s">
        <v>65</v>
      </c>
      <c r="P772" s="1" t="s">
        <v>106</v>
      </c>
      <c r="Q772" s="1" t="s">
        <v>2493</v>
      </c>
      <c r="R772" s="1">
        <v>16.739999999999998</v>
      </c>
      <c r="S772" s="1">
        <v>5</v>
      </c>
      <c r="T772" s="1">
        <v>0.6</v>
      </c>
      <c r="U772" s="1">
        <v>-14.228999999999997</v>
      </c>
    </row>
    <row r="773" spans="1:21" ht="15.75" x14ac:dyDescent="0.25">
      <c r="A773" s="1">
        <v>772</v>
      </c>
      <c r="B773" s="2" t="s">
        <v>2494</v>
      </c>
      <c r="C773" s="3">
        <v>45127</v>
      </c>
      <c r="D773" s="3">
        <v>45130</v>
      </c>
      <c r="E773" s="1" t="s">
        <v>71</v>
      </c>
      <c r="F773" s="1" t="s">
        <v>965</v>
      </c>
      <c r="G773" s="1" t="s">
        <v>966</v>
      </c>
      <c r="H773" s="1" t="s">
        <v>74</v>
      </c>
      <c r="I773" s="1" t="s">
        <v>26</v>
      </c>
      <c r="J773" s="1" t="s">
        <v>2495</v>
      </c>
      <c r="K773" s="1" t="s">
        <v>91</v>
      </c>
      <c r="L773" s="1">
        <v>92503</v>
      </c>
      <c r="M773" s="1" t="s">
        <v>92</v>
      </c>
      <c r="N773" s="1" t="s">
        <v>2496</v>
      </c>
      <c r="O773" s="1" t="s">
        <v>31</v>
      </c>
      <c r="P773" s="1" t="s">
        <v>56</v>
      </c>
      <c r="Q773" s="1" t="s">
        <v>2497</v>
      </c>
      <c r="R773" s="1">
        <v>13.12</v>
      </c>
      <c r="S773" s="1">
        <v>4</v>
      </c>
      <c r="T773" s="1">
        <v>0</v>
      </c>
      <c r="U773" s="1">
        <v>3.8047999999999984</v>
      </c>
    </row>
    <row r="774" spans="1:21" ht="15.75" x14ac:dyDescent="0.25">
      <c r="A774" s="1">
        <v>773</v>
      </c>
      <c r="B774" s="2" t="s">
        <v>2498</v>
      </c>
      <c r="C774" s="3">
        <v>45127</v>
      </c>
      <c r="D774" s="3">
        <v>45127</v>
      </c>
      <c r="E774" s="1" t="s">
        <v>497</v>
      </c>
      <c r="F774" s="1" t="s">
        <v>2499</v>
      </c>
      <c r="G774" s="1" t="s">
        <v>2500</v>
      </c>
      <c r="H774" s="1" t="s">
        <v>25</v>
      </c>
      <c r="I774" s="1" t="s">
        <v>26</v>
      </c>
      <c r="J774" s="1" t="s">
        <v>122</v>
      </c>
      <c r="K774" s="1" t="s">
        <v>155</v>
      </c>
      <c r="L774" s="1">
        <v>45503</v>
      </c>
      <c r="M774" s="1" t="s">
        <v>54</v>
      </c>
      <c r="N774" s="1" t="s">
        <v>1749</v>
      </c>
      <c r="O774" s="1" t="s">
        <v>31</v>
      </c>
      <c r="P774" s="1" t="s">
        <v>41</v>
      </c>
      <c r="Q774" s="1" t="s">
        <v>1750</v>
      </c>
      <c r="R774" s="1">
        <v>27.360000000000003</v>
      </c>
      <c r="S774" s="1">
        <v>3</v>
      </c>
      <c r="T774" s="1">
        <v>0.7</v>
      </c>
      <c r="U774" s="1">
        <v>-21.887999999999991</v>
      </c>
    </row>
    <row r="775" spans="1:21" ht="15.75" x14ac:dyDescent="0.25">
      <c r="A775" s="1">
        <v>774</v>
      </c>
      <c r="B775" s="2" t="s">
        <v>2487</v>
      </c>
      <c r="C775" s="3">
        <v>45127</v>
      </c>
      <c r="D775" s="3">
        <v>45129</v>
      </c>
      <c r="E775" s="1" t="s">
        <v>71</v>
      </c>
      <c r="F775" s="1" t="s">
        <v>2488</v>
      </c>
      <c r="G775" s="1" t="s">
        <v>2489</v>
      </c>
      <c r="H775" s="1" t="s">
        <v>25</v>
      </c>
      <c r="I775" s="1" t="s">
        <v>26</v>
      </c>
      <c r="J775" s="1" t="s">
        <v>337</v>
      </c>
      <c r="K775" s="1" t="s">
        <v>91</v>
      </c>
      <c r="L775" s="1">
        <v>92105</v>
      </c>
      <c r="M775" s="1" t="s">
        <v>92</v>
      </c>
      <c r="N775" s="1" t="s">
        <v>2501</v>
      </c>
      <c r="O775" s="1" t="s">
        <v>31</v>
      </c>
      <c r="P775" s="1" t="s">
        <v>41</v>
      </c>
      <c r="Q775" s="1" t="s">
        <v>2502</v>
      </c>
      <c r="R775" s="1">
        <v>8.7040000000000006</v>
      </c>
      <c r="S775" s="1">
        <v>2</v>
      </c>
      <c r="T775" s="1">
        <v>0.2</v>
      </c>
      <c r="U775" s="1">
        <v>3.1551999999999998</v>
      </c>
    </row>
    <row r="776" spans="1:21" ht="15.75" x14ac:dyDescent="0.25">
      <c r="A776" s="1">
        <v>775</v>
      </c>
      <c r="B776" s="2" t="s">
        <v>2503</v>
      </c>
      <c r="C776" s="3">
        <v>45127</v>
      </c>
      <c r="D776" s="3">
        <v>45129</v>
      </c>
      <c r="E776" s="1" t="s">
        <v>71</v>
      </c>
      <c r="F776" s="1" t="s">
        <v>2504</v>
      </c>
      <c r="G776" s="1" t="s">
        <v>2505</v>
      </c>
      <c r="H776" s="1" t="s">
        <v>25</v>
      </c>
      <c r="I776" s="1" t="s">
        <v>26</v>
      </c>
      <c r="J776" s="1" t="s">
        <v>138</v>
      </c>
      <c r="K776" s="1" t="s">
        <v>91</v>
      </c>
      <c r="L776" s="1">
        <v>94122</v>
      </c>
      <c r="M776" s="1" t="s">
        <v>92</v>
      </c>
      <c r="N776" s="1" t="s">
        <v>2506</v>
      </c>
      <c r="O776" s="1" t="s">
        <v>31</v>
      </c>
      <c r="P776" s="1" t="s">
        <v>41</v>
      </c>
      <c r="Q776" s="1" t="s">
        <v>2507</v>
      </c>
      <c r="R776" s="1">
        <v>89.712000000000018</v>
      </c>
      <c r="S776" s="1">
        <v>6</v>
      </c>
      <c r="T776" s="1">
        <v>0.2</v>
      </c>
      <c r="U776" s="1">
        <v>30.277799999999992</v>
      </c>
    </row>
    <row r="777" spans="1:21" ht="15.75" x14ac:dyDescent="0.25">
      <c r="A777" s="1">
        <v>776</v>
      </c>
      <c r="B777" s="2" t="s">
        <v>2487</v>
      </c>
      <c r="C777" s="3">
        <v>45127</v>
      </c>
      <c r="D777" s="3">
        <v>45129</v>
      </c>
      <c r="E777" s="1" t="s">
        <v>71</v>
      </c>
      <c r="F777" s="1" t="s">
        <v>2488</v>
      </c>
      <c r="G777" s="1" t="s">
        <v>2489</v>
      </c>
      <c r="H777" s="1" t="s">
        <v>25</v>
      </c>
      <c r="I777" s="1" t="s">
        <v>26</v>
      </c>
      <c r="J777" s="1" t="s">
        <v>337</v>
      </c>
      <c r="K777" s="1" t="s">
        <v>91</v>
      </c>
      <c r="L777" s="1">
        <v>92105</v>
      </c>
      <c r="M777" s="1" t="s">
        <v>92</v>
      </c>
      <c r="N777" s="1" t="s">
        <v>2508</v>
      </c>
      <c r="O777" s="1" t="s">
        <v>31</v>
      </c>
      <c r="P777" s="1" t="s">
        <v>32</v>
      </c>
      <c r="Q777" s="1" t="s">
        <v>2509</v>
      </c>
      <c r="R777" s="1">
        <v>104.85</v>
      </c>
      <c r="S777" s="1">
        <v>1</v>
      </c>
      <c r="T777" s="1">
        <v>0</v>
      </c>
      <c r="U777" s="1">
        <v>50.327999999999996</v>
      </c>
    </row>
    <row r="778" spans="1:21" ht="15.75" x14ac:dyDescent="0.25">
      <c r="A778" s="1">
        <v>777</v>
      </c>
      <c r="B778" s="2" t="s">
        <v>2487</v>
      </c>
      <c r="C778" s="3">
        <v>45127</v>
      </c>
      <c r="D778" s="3">
        <v>45129</v>
      </c>
      <c r="E778" s="1" t="s">
        <v>71</v>
      </c>
      <c r="F778" s="1" t="s">
        <v>2488</v>
      </c>
      <c r="G778" s="1" t="s">
        <v>2489</v>
      </c>
      <c r="H778" s="1" t="s">
        <v>25</v>
      </c>
      <c r="I778" s="1" t="s">
        <v>26</v>
      </c>
      <c r="J778" s="1" t="s">
        <v>337</v>
      </c>
      <c r="K778" s="1" t="s">
        <v>91</v>
      </c>
      <c r="L778" s="1">
        <v>92105</v>
      </c>
      <c r="M778" s="1" t="s">
        <v>92</v>
      </c>
      <c r="N778" s="1" t="s">
        <v>2510</v>
      </c>
      <c r="O778" s="1" t="s">
        <v>31</v>
      </c>
      <c r="P778" s="1" t="s">
        <v>32</v>
      </c>
      <c r="Q778" s="1" t="s">
        <v>2511</v>
      </c>
      <c r="R778" s="1">
        <v>19.920000000000002</v>
      </c>
      <c r="S778" s="1">
        <v>4</v>
      </c>
      <c r="T778" s="1">
        <v>0</v>
      </c>
      <c r="U778" s="1">
        <v>9.7608000000000015</v>
      </c>
    </row>
    <row r="779" spans="1:21" ht="15.75" x14ac:dyDescent="0.25">
      <c r="A779" s="1">
        <v>778</v>
      </c>
      <c r="B779" s="2" t="s">
        <v>2494</v>
      </c>
      <c r="C779" s="3">
        <v>45127</v>
      </c>
      <c r="D779" s="3">
        <v>45130</v>
      </c>
      <c r="E779" s="1" t="s">
        <v>71</v>
      </c>
      <c r="F779" s="1" t="s">
        <v>965</v>
      </c>
      <c r="G779" s="1" t="s">
        <v>966</v>
      </c>
      <c r="H779" s="1" t="s">
        <v>74</v>
      </c>
      <c r="I779" s="1" t="s">
        <v>26</v>
      </c>
      <c r="J779" s="1" t="s">
        <v>2495</v>
      </c>
      <c r="K779" s="1" t="s">
        <v>91</v>
      </c>
      <c r="L779" s="1">
        <v>92503</v>
      </c>
      <c r="M779" s="1" t="s">
        <v>92</v>
      </c>
      <c r="N779" s="1" t="s">
        <v>2512</v>
      </c>
      <c r="O779" s="1" t="s">
        <v>31</v>
      </c>
      <c r="P779" s="1" t="s">
        <v>32</v>
      </c>
      <c r="Q779" s="1" t="s">
        <v>2513</v>
      </c>
      <c r="R779" s="1">
        <v>11.96</v>
      </c>
      <c r="S779" s="1">
        <v>2</v>
      </c>
      <c r="T779" s="1">
        <v>0</v>
      </c>
      <c r="U779" s="1">
        <v>5.8604000000000003</v>
      </c>
    </row>
    <row r="780" spans="1:21" ht="15.75" x14ac:dyDescent="0.25">
      <c r="A780" s="1">
        <v>779</v>
      </c>
      <c r="B780" s="2" t="s">
        <v>2503</v>
      </c>
      <c r="C780" s="3">
        <v>45127</v>
      </c>
      <c r="D780" s="3">
        <v>45129</v>
      </c>
      <c r="E780" s="1" t="s">
        <v>71</v>
      </c>
      <c r="F780" s="1" t="s">
        <v>2504</v>
      </c>
      <c r="G780" s="1" t="s">
        <v>2505</v>
      </c>
      <c r="H780" s="1" t="s">
        <v>25</v>
      </c>
      <c r="I780" s="1" t="s">
        <v>26</v>
      </c>
      <c r="J780" s="1" t="s">
        <v>138</v>
      </c>
      <c r="K780" s="1" t="s">
        <v>91</v>
      </c>
      <c r="L780" s="1">
        <v>94122</v>
      </c>
      <c r="M780" s="1" t="s">
        <v>92</v>
      </c>
      <c r="N780" s="1" t="s">
        <v>2514</v>
      </c>
      <c r="O780" s="1" t="s">
        <v>31</v>
      </c>
      <c r="P780" s="1" t="s">
        <v>32</v>
      </c>
      <c r="Q780" s="1" t="s">
        <v>2515</v>
      </c>
      <c r="R780" s="1">
        <v>22.830000000000002</v>
      </c>
      <c r="S780" s="1">
        <v>3</v>
      </c>
      <c r="T780" s="1">
        <v>0</v>
      </c>
      <c r="U780" s="1">
        <v>10.7301</v>
      </c>
    </row>
    <row r="781" spans="1:21" ht="15.75" x14ac:dyDescent="0.25">
      <c r="A781" s="1">
        <v>780</v>
      </c>
      <c r="B781" s="2" t="s">
        <v>2494</v>
      </c>
      <c r="C781" s="3">
        <v>45127</v>
      </c>
      <c r="D781" s="3">
        <v>45130</v>
      </c>
      <c r="E781" s="1" t="s">
        <v>71</v>
      </c>
      <c r="F781" s="1" t="s">
        <v>965</v>
      </c>
      <c r="G781" s="1" t="s">
        <v>966</v>
      </c>
      <c r="H781" s="1" t="s">
        <v>74</v>
      </c>
      <c r="I781" s="1" t="s">
        <v>26</v>
      </c>
      <c r="J781" s="1" t="s">
        <v>2495</v>
      </c>
      <c r="K781" s="1" t="s">
        <v>91</v>
      </c>
      <c r="L781" s="1">
        <v>92503</v>
      </c>
      <c r="M781" s="1" t="s">
        <v>92</v>
      </c>
      <c r="N781" s="1" t="s">
        <v>768</v>
      </c>
      <c r="O781" s="1" t="s">
        <v>31</v>
      </c>
      <c r="P781" s="1" t="s">
        <v>47</v>
      </c>
      <c r="Q781" s="1" t="s">
        <v>769</v>
      </c>
      <c r="R781" s="1">
        <v>535.41</v>
      </c>
      <c r="S781" s="1">
        <v>3</v>
      </c>
      <c r="T781" s="1">
        <v>0</v>
      </c>
      <c r="U781" s="1">
        <v>160.62299999999993</v>
      </c>
    </row>
    <row r="782" spans="1:21" ht="15.75" x14ac:dyDescent="0.25">
      <c r="A782" s="1">
        <v>781</v>
      </c>
      <c r="B782" s="2" t="s">
        <v>2498</v>
      </c>
      <c r="C782" s="3">
        <v>45127</v>
      </c>
      <c r="D782" s="3">
        <v>45127</v>
      </c>
      <c r="E782" s="1" t="s">
        <v>497</v>
      </c>
      <c r="F782" s="1" t="s">
        <v>2499</v>
      </c>
      <c r="G782" s="1" t="s">
        <v>2500</v>
      </c>
      <c r="H782" s="1" t="s">
        <v>25</v>
      </c>
      <c r="I782" s="1" t="s">
        <v>26</v>
      </c>
      <c r="J782" s="1" t="s">
        <v>122</v>
      </c>
      <c r="K782" s="1" t="s">
        <v>155</v>
      </c>
      <c r="L782" s="1">
        <v>45503</v>
      </c>
      <c r="M782" s="1" t="s">
        <v>54</v>
      </c>
      <c r="N782" s="1" t="s">
        <v>456</v>
      </c>
      <c r="O782" s="1" t="s">
        <v>31</v>
      </c>
      <c r="P782" s="1" t="s">
        <v>47</v>
      </c>
      <c r="Q782" s="1" t="s">
        <v>457</v>
      </c>
      <c r="R782" s="1">
        <v>25.983999999999998</v>
      </c>
      <c r="S782" s="1">
        <v>1</v>
      </c>
      <c r="T782" s="1">
        <v>0.2</v>
      </c>
      <c r="U782" s="1">
        <v>-5.1968000000000005</v>
      </c>
    </row>
    <row r="783" spans="1:21" ht="15.75" x14ac:dyDescent="0.25">
      <c r="A783" s="1">
        <v>782</v>
      </c>
      <c r="B783" s="2" t="s">
        <v>2482</v>
      </c>
      <c r="C783" s="3">
        <v>45127</v>
      </c>
      <c r="D783" s="3">
        <v>45131</v>
      </c>
      <c r="E783" s="1" t="s">
        <v>22</v>
      </c>
      <c r="F783" s="1" t="s">
        <v>2483</v>
      </c>
      <c r="G783" s="1" t="s">
        <v>2484</v>
      </c>
      <c r="H783" s="1" t="s">
        <v>37</v>
      </c>
      <c r="I783" s="1" t="s">
        <v>26</v>
      </c>
      <c r="J783" s="1" t="s">
        <v>487</v>
      </c>
      <c r="K783" s="1" t="s">
        <v>28</v>
      </c>
      <c r="L783" s="1">
        <v>75217</v>
      </c>
      <c r="M783" s="1" t="s">
        <v>29</v>
      </c>
      <c r="N783" s="1" t="s">
        <v>2516</v>
      </c>
      <c r="O783" s="1" t="s">
        <v>31</v>
      </c>
      <c r="P783" s="1" t="s">
        <v>47</v>
      </c>
      <c r="Q783" s="1" t="s">
        <v>2517</v>
      </c>
      <c r="R783" s="1">
        <v>342.86400000000003</v>
      </c>
      <c r="S783" s="1">
        <v>3</v>
      </c>
      <c r="T783" s="1">
        <v>0.2</v>
      </c>
      <c r="U783" s="1">
        <v>38.572199999999953</v>
      </c>
    </row>
    <row r="784" spans="1:21" ht="15.75" x14ac:dyDescent="0.25">
      <c r="A784" s="1">
        <v>783</v>
      </c>
      <c r="B784" s="2" t="s">
        <v>2494</v>
      </c>
      <c r="C784" s="3">
        <v>45127</v>
      </c>
      <c r="D784" s="3">
        <v>45130</v>
      </c>
      <c r="E784" s="1" t="s">
        <v>71</v>
      </c>
      <c r="F784" s="1" t="s">
        <v>965</v>
      </c>
      <c r="G784" s="1" t="s">
        <v>966</v>
      </c>
      <c r="H784" s="1" t="s">
        <v>74</v>
      </c>
      <c r="I784" s="1" t="s">
        <v>26</v>
      </c>
      <c r="J784" s="1" t="s">
        <v>2495</v>
      </c>
      <c r="K784" s="1" t="s">
        <v>91</v>
      </c>
      <c r="L784" s="1">
        <v>92503</v>
      </c>
      <c r="M784" s="1" t="s">
        <v>92</v>
      </c>
      <c r="N784" s="1" t="s">
        <v>2518</v>
      </c>
      <c r="O784" s="1" t="s">
        <v>96</v>
      </c>
      <c r="P784" s="1" t="s">
        <v>117</v>
      </c>
      <c r="Q784" s="1" t="s">
        <v>2519</v>
      </c>
      <c r="R784" s="1">
        <v>41.94</v>
      </c>
      <c r="S784" s="1">
        <v>2</v>
      </c>
      <c r="T784" s="1">
        <v>0</v>
      </c>
      <c r="U784" s="1">
        <v>15.098399999999998</v>
      </c>
    </row>
    <row r="785" spans="1:21" ht="15.75" x14ac:dyDescent="0.25">
      <c r="A785" s="1">
        <v>784</v>
      </c>
      <c r="B785" s="2" t="s">
        <v>2520</v>
      </c>
      <c r="C785" s="3">
        <v>45128</v>
      </c>
      <c r="D785" s="3">
        <v>45132</v>
      </c>
      <c r="E785" s="1" t="s">
        <v>22</v>
      </c>
      <c r="F785" s="1" t="s">
        <v>2521</v>
      </c>
      <c r="G785" s="1" t="s">
        <v>2522</v>
      </c>
      <c r="H785" s="1" t="s">
        <v>74</v>
      </c>
      <c r="I785" s="1" t="s">
        <v>26</v>
      </c>
      <c r="J785" s="1" t="s">
        <v>138</v>
      </c>
      <c r="K785" s="1" t="s">
        <v>91</v>
      </c>
      <c r="L785" s="1">
        <v>94122</v>
      </c>
      <c r="M785" s="1" t="s">
        <v>92</v>
      </c>
      <c r="N785" s="1" t="s">
        <v>2523</v>
      </c>
      <c r="O785" s="1" t="s">
        <v>65</v>
      </c>
      <c r="P785" s="1" t="s">
        <v>66</v>
      </c>
      <c r="Q785" s="1" t="s">
        <v>2524</v>
      </c>
      <c r="R785" s="1">
        <v>801.5680000000001</v>
      </c>
      <c r="S785" s="1">
        <v>2</v>
      </c>
      <c r="T785" s="1">
        <v>0.2</v>
      </c>
      <c r="U785" s="1">
        <v>50.097999999999985</v>
      </c>
    </row>
    <row r="786" spans="1:21" ht="15.75" x14ac:dyDescent="0.25">
      <c r="A786" s="1">
        <v>785</v>
      </c>
      <c r="B786" s="2" t="s">
        <v>2525</v>
      </c>
      <c r="C786" s="3">
        <v>45128</v>
      </c>
      <c r="D786" s="3">
        <v>45132</v>
      </c>
      <c r="E786" s="1" t="s">
        <v>22</v>
      </c>
      <c r="F786" s="1" t="s">
        <v>2526</v>
      </c>
      <c r="G786" s="1" t="s">
        <v>2527</v>
      </c>
      <c r="H786" s="1" t="s">
        <v>74</v>
      </c>
      <c r="I786" s="1" t="s">
        <v>26</v>
      </c>
      <c r="J786" s="1" t="s">
        <v>487</v>
      </c>
      <c r="K786" s="1" t="s">
        <v>28</v>
      </c>
      <c r="L786" s="1">
        <v>75217</v>
      </c>
      <c r="M786" s="1" t="s">
        <v>29</v>
      </c>
      <c r="N786" s="1" t="s">
        <v>2528</v>
      </c>
      <c r="O786" s="1" t="s">
        <v>65</v>
      </c>
      <c r="P786" s="1" t="s">
        <v>66</v>
      </c>
      <c r="Q786" s="1" t="s">
        <v>2529</v>
      </c>
      <c r="R786" s="1">
        <v>657.93</v>
      </c>
      <c r="S786" s="1">
        <v>5</v>
      </c>
      <c r="T786" s="1">
        <v>0.3</v>
      </c>
      <c r="U786" s="1">
        <v>-93.989999999999952</v>
      </c>
    </row>
    <row r="787" spans="1:21" ht="15.75" x14ac:dyDescent="0.25">
      <c r="A787" s="1">
        <v>786</v>
      </c>
      <c r="B787" s="2" t="s">
        <v>2520</v>
      </c>
      <c r="C787" s="3">
        <v>45128</v>
      </c>
      <c r="D787" s="3">
        <v>45132</v>
      </c>
      <c r="E787" s="1" t="s">
        <v>22</v>
      </c>
      <c r="F787" s="1" t="s">
        <v>2521</v>
      </c>
      <c r="G787" s="1" t="s">
        <v>2522</v>
      </c>
      <c r="H787" s="1" t="s">
        <v>74</v>
      </c>
      <c r="I787" s="1" t="s">
        <v>26</v>
      </c>
      <c r="J787" s="1" t="s">
        <v>138</v>
      </c>
      <c r="K787" s="1" t="s">
        <v>91</v>
      </c>
      <c r="L787" s="1">
        <v>94122</v>
      </c>
      <c r="M787" s="1" t="s">
        <v>92</v>
      </c>
      <c r="N787" s="1" t="s">
        <v>781</v>
      </c>
      <c r="O787" s="1" t="s">
        <v>65</v>
      </c>
      <c r="P787" s="1" t="s">
        <v>339</v>
      </c>
      <c r="Q787" s="1" t="s">
        <v>782</v>
      </c>
      <c r="R787" s="1">
        <v>272.84800000000001</v>
      </c>
      <c r="S787" s="1">
        <v>1</v>
      </c>
      <c r="T787" s="1">
        <v>0.2</v>
      </c>
      <c r="U787" s="1">
        <v>27.284800000000004</v>
      </c>
    </row>
    <row r="788" spans="1:21" ht="15.75" x14ac:dyDescent="0.25">
      <c r="A788" s="1">
        <v>787</v>
      </c>
      <c r="B788" s="2" t="s">
        <v>2525</v>
      </c>
      <c r="C788" s="3">
        <v>45128</v>
      </c>
      <c r="D788" s="3">
        <v>45132</v>
      </c>
      <c r="E788" s="1" t="s">
        <v>22</v>
      </c>
      <c r="F788" s="1" t="s">
        <v>2526</v>
      </c>
      <c r="G788" s="1" t="s">
        <v>2527</v>
      </c>
      <c r="H788" s="1" t="s">
        <v>74</v>
      </c>
      <c r="I788" s="1" t="s">
        <v>26</v>
      </c>
      <c r="J788" s="1" t="s">
        <v>487</v>
      </c>
      <c r="K788" s="1" t="s">
        <v>28</v>
      </c>
      <c r="L788" s="1">
        <v>75217</v>
      </c>
      <c r="M788" s="1" t="s">
        <v>29</v>
      </c>
      <c r="N788" s="1" t="s">
        <v>1726</v>
      </c>
      <c r="O788" s="1" t="s">
        <v>31</v>
      </c>
      <c r="P788" s="1" t="s">
        <v>205</v>
      </c>
      <c r="Q788" s="1" t="s">
        <v>1727</v>
      </c>
      <c r="R788" s="1">
        <v>4.9919999999999991</v>
      </c>
      <c r="S788" s="1">
        <v>3</v>
      </c>
      <c r="T788" s="1">
        <v>0.8</v>
      </c>
      <c r="U788" s="1">
        <v>-12.979200000000002</v>
      </c>
    </row>
    <row r="789" spans="1:21" ht="15.75" x14ac:dyDescent="0.25">
      <c r="A789" s="1">
        <v>788</v>
      </c>
      <c r="B789" s="2" t="s">
        <v>2520</v>
      </c>
      <c r="C789" s="3">
        <v>45128</v>
      </c>
      <c r="D789" s="3">
        <v>45132</v>
      </c>
      <c r="E789" s="1" t="s">
        <v>22</v>
      </c>
      <c r="F789" s="1" t="s">
        <v>2521</v>
      </c>
      <c r="G789" s="1" t="s">
        <v>2522</v>
      </c>
      <c r="H789" s="1" t="s">
        <v>74</v>
      </c>
      <c r="I789" s="1" t="s">
        <v>26</v>
      </c>
      <c r="J789" s="1" t="s">
        <v>138</v>
      </c>
      <c r="K789" s="1" t="s">
        <v>91</v>
      </c>
      <c r="L789" s="1">
        <v>94122</v>
      </c>
      <c r="M789" s="1" t="s">
        <v>92</v>
      </c>
      <c r="N789" s="1" t="s">
        <v>2530</v>
      </c>
      <c r="O789" s="1" t="s">
        <v>31</v>
      </c>
      <c r="P789" s="1" t="s">
        <v>56</v>
      </c>
      <c r="Q789" s="1" t="s">
        <v>2531</v>
      </c>
      <c r="R789" s="1">
        <v>99.2</v>
      </c>
      <c r="S789" s="1">
        <v>5</v>
      </c>
      <c r="T789" s="1">
        <v>0</v>
      </c>
      <c r="U789" s="1">
        <v>25.792000000000002</v>
      </c>
    </row>
    <row r="790" spans="1:21" ht="15.75" x14ac:dyDescent="0.25">
      <c r="A790" s="1">
        <v>789</v>
      </c>
      <c r="B790" s="2" t="s">
        <v>2525</v>
      </c>
      <c r="C790" s="3">
        <v>45128</v>
      </c>
      <c r="D790" s="3">
        <v>45132</v>
      </c>
      <c r="E790" s="1" t="s">
        <v>22</v>
      </c>
      <c r="F790" s="1" t="s">
        <v>2526</v>
      </c>
      <c r="G790" s="1" t="s">
        <v>2527</v>
      </c>
      <c r="H790" s="1" t="s">
        <v>74</v>
      </c>
      <c r="I790" s="1" t="s">
        <v>26</v>
      </c>
      <c r="J790" s="1" t="s">
        <v>487</v>
      </c>
      <c r="K790" s="1" t="s">
        <v>28</v>
      </c>
      <c r="L790" s="1">
        <v>75217</v>
      </c>
      <c r="M790" s="1" t="s">
        <v>29</v>
      </c>
      <c r="N790" s="1" t="s">
        <v>2532</v>
      </c>
      <c r="O790" s="1" t="s">
        <v>31</v>
      </c>
      <c r="P790" s="1" t="s">
        <v>41</v>
      </c>
      <c r="Q790" s="1" t="s">
        <v>2533</v>
      </c>
      <c r="R790" s="1">
        <v>1.0439999999999998</v>
      </c>
      <c r="S790" s="1">
        <v>1</v>
      </c>
      <c r="T790" s="1">
        <v>0.8</v>
      </c>
      <c r="U790" s="1">
        <v>-1.8270000000000004</v>
      </c>
    </row>
    <row r="791" spans="1:21" ht="15.75" x14ac:dyDescent="0.25">
      <c r="A791" s="1">
        <v>790</v>
      </c>
      <c r="B791" s="2" t="s">
        <v>2525</v>
      </c>
      <c r="C791" s="3">
        <v>45128</v>
      </c>
      <c r="D791" s="3">
        <v>45132</v>
      </c>
      <c r="E791" s="1" t="s">
        <v>22</v>
      </c>
      <c r="F791" s="1" t="s">
        <v>2526</v>
      </c>
      <c r="G791" s="1" t="s">
        <v>2527</v>
      </c>
      <c r="H791" s="1" t="s">
        <v>74</v>
      </c>
      <c r="I791" s="1" t="s">
        <v>26</v>
      </c>
      <c r="J791" s="1" t="s">
        <v>487</v>
      </c>
      <c r="K791" s="1" t="s">
        <v>28</v>
      </c>
      <c r="L791" s="1">
        <v>75217</v>
      </c>
      <c r="M791" s="1" t="s">
        <v>29</v>
      </c>
      <c r="N791" s="1" t="s">
        <v>2534</v>
      </c>
      <c r="O791" s="1" t="s">
        <v>31</v>
      </c>
      <c r="P791" s="1" t="s">
        <v>166</v>
      </c>
      <c r="Q791" s="1" t="s">
        <v>2535</v>
      </c>
      <c r="R791" s="1">
        <v>87.92</v>
      </c>
      <c r="S791" s="1">
        <v>5</v>
      </c>
      <c r="T791" s="1">
        <v>0.2</v>
      </c>
      <c r="U791" s="1">
        <v>29.673000000000005</v>
      </c>
    </row>
    <row r="792" spans="1:21" ht="15.75" x14ac:dyDescent="0.25">
      <c r="A792" s="1">
        <v>791</v>
      </c>
      <c r="B792" s="2" t="s">
        <v>2536</v>
      </c>
      <c r="C792" s="3">
        <v>45128</v>
      </c>
      <c r="D792" s="3">
        <v>45134</v>
      </c>
      <c r="E792" s="1" t="s">
        <v>22</v>
      </c>
      <c r="F792" s="1" t="s">
        <v>1588</v>
      </c>
      <c r="G792" s="1" t="s">
        <v>1589</v>
      </c>
      <c r="H792" s="1" t="s">
        <v>25</v>
      </c>
      <c r="I792" s="1" t="s">
        <v>26</v>
      </c>
      <c r="J792" s="1" t="s">
        <v>2537</v>
      </c>
      <c r="K792" s="1" t="s">
        <v>2538</v>
      </c>
      <c r="L792" s="1">
        <v>68104</v>
      </c>
      <c r="M792" s="1" t="s">
        <v>29</v>
      </c>
      <c r="N792" s="1" t="s">
        <v>969</v>
      </c>
      <c r="O792" s="1" t="s">
        <v>96</v>
      </c>
      <c r="P792" s="1" t="s">
        <v>97</v>
      </c>
      <c r="Q792" s="1" t="s">
        <v>970</v>
      </c>
      <c r="R792" s="1">
        <v>35.979999999999997</v>
      </c>
      <c r="S792" s="1">
        <v>2</v>
      </c>
      <c r="T792" s="1">
        <v>0</v>
      </c>
      <c r="U792" s="1">
        <v>10.074400000000001</v>
      </c>
    </row>
    <row r="793" spans="1:21" ht="15.75" x14ac:dyDescent="0.25">
      <c r="A793" s="1">
        <v>792</v>
      </c>
      <c r="B793" s="2" t="s">
        <v>2539</v>
      </c>
      <c r="C793" s="3">
        <v>45129</v>
      </c>
      <c r="D793" s="3">
        <v>45131</v>
      </c>
      <c r="E793" s="1" t="s">
        <v>87</v>
      </c>
      <c r="F793" s="1" t="s">
        <v>1666</v>
      </c>
      <c r="G793" s="1" t="s">
        <v>1667</v>
      </c>
      <c r="H793" s="1" t="s">
        <v>25</v>
      </c>
      <c r="I793" s="1" t="s">
        <v>26</v>
      </c>
      <c r="J793" s="1" t="s">
        <v>138</v>
      </c>
      <c r="K793" s="1" t="s">
        <v>91</v>
      </c>
      <c r="L793" s="1">
        <v>94122</v>
      </c>
      <c r="M793" s="1" t="s">
        <v>92</v>
      </c>
      <c r="N793" s="1" t="s">
        <v>2334</v>
      </c>
      <c r="O793" s="1" t="s">
        <v>65</v>
      </c>
      <c r="P793" s="1" t="s">
        <v>66</v>
      </c>
      <c r="Q793" s="1" t="s">
        <v>2335</v>
      </c>
      <c r="R793" s="1">
        <v>717.72</v>
      </c>
      <c r="S793" s="1">
        <v>3</v>
      </c>
      <c r="T793" s="1">
        <v>0.2</v>
      </c>
      <c r="U793" s="1">
        <v>71.77200000000002</v>
      </c>
    </row>
    <row r="794" spans="1:21" ht="15.75" x14ac:dyDescent="0.25">
      <c r="A794" s="1">
        <v>793</v>
      </c>
      <c r="B794" s="2" t="s">
        <v>2539</v>
      </c>
      <c r="C794" s="3">
        <v>45129</v>
      </c>
      <c r="D794" s="3">
        <v>45131</v>
      </c>
      <c r="E794" s="1" t="s">
        <v>87</v>
      </c>
      <c r="F794" s="1" t="s">
        <v>1666</v>
      </c>
      <c r="G794" s="1" t="s">
        <v>1667</v>
      </c>
      <c r="H794" s="1" t="s">
        <v>25</v>
      </c>
      <c r="I794" s="1" t="s">
        <v>26</v>
      </c>
      <c r="J794" s="1" t="s">
        <v>138</v>
      </c>
      <c r="K794" s="1" t="s">
        <v>91</v>
      </c>
      <c r="L794" s="1">
        <v>94122</v>
      </c>
      <c r="M794" s="1" t="s">
        <v>92</v>
      </c>
      <c r="N794" s="1" t="s">
        <v>2540</v>
      </c>
      <c r="O794" s="1" t="s">
        <v>65</v>
      </c>
      <c r="P794" s="1" t="s">
        <v>339</v>
      </c>
      <c r="Q794" s="1" t="s">
        <v>2541</v>
      </c>
      <c r="R794" s="1">
        <v>170.35200000000003</v>
      </c>
      <c r="S794" s="1">
        <v>3</v>
      </c>
      <c r="T794" s="1">
        <v>0.2</v>
      </c>
      <c r="U794" s="1">
        <v>19.164599999999979</v>
      </c>
    </row>
    <row r="795" spans="1:21" ht="15.75" x14ac:dyDescent="0.25">
      <c r="A795" s="1">
        <v>794</v>
      </c>
      <c r="B795" s="2" t="s">
        <v>2542</v>
      </c>
      <c r="C795" s="3">
        <v>45129</v>
      </c>
      <c r="D795" s="3">
        <v>45134</v>
      </c>
      <c r="E795" s="1" t="s">
        <v>22</v>
      </c>
      <c r="F795" s="1" t="s">
        <v>2543</v>
      </c>
      <c r="G795" s="1" t="s">
        <v>2544</v>
      </c>
      <c r="H795" s="1" t="s">
        <v>25</v>
      </c>
      <c r="I795" s="1" t="s">
        <v>26</v>
      </c>
      <c r="J795" s="1" t="s">
        <v>348</v>
      </c>
      <c r="K795" s="1" t="s">
        <v>349</v>
      </c>
      <c r="L795" s="1">
        <v>10024</v>
      </c>
      <c r="M795" s="1" t="s">
        <v>54</v>
      </c>
      <c r="N795" s="1" t="s">
        <v>2545</v>
      </c>
      <c r="O795" s="1" t="s">
        <v>31</v>
      </c>
      <c r="P795" s="1" t="s">
        <v>56</v>
      </c>
      <c r="Q795" s="1" t="s">
        <v>2546</v>
      </c>
      <c r="R795" s="1">
        <v>5.96</v>
      </c>
      <c r="S795" s="1">
        <v>2</v>
      </c>
      <c r="T795" s="1">
        <v>0</v>
      </c>
      <c r="U795" s="1">
        <v>1.6688000000000001</v>
      </c>
    </row>
    <row r="796" spans="1:21" ht="15.75" x14ac:dyDescent="0.25">
      <c r="A796" s="1">
        <v>795</v>
      </c>
      <c r="B796" s="2" t="s">
        <v>2539</v>
      </c>
      <c r="C796" s="3">
        <v>45129</v>
      </c>
      <c r="D796" s="3">
        <v>45131</v>
      </c>
      <c r="E796" s="1" t="s">
        <v>87</v>
      </c>
      <c r="F796" s="1" t="s">
        <v>1666</v>
      </c>
      <c r="G796" s="1" t="s">
        <v>1667</v>
      </c>
      <c r="H796" s="1" t="s">
        <v>25</v>
      </c>
      <c r="I796" s="1" t="s">
        <v>26</v>
      </c>
      <c r="J796" s="1" t="s">
        <v>138</v>
      </c>
      <c r="K796" s="1" t="s">
        <v>91</v>
      </c>
      <c r="L796" s="1">
        <v>94122</v>
      </c>
      <c r="M796" s="1" t="s">
        <v>92</v>
      </c>
      <c r="N796" s="1" t="s">
        <v>2547</v>
      </c>
      <c r="O796" s="1" t="s">
        <v>31</v>
      </c>
      <c r="P796" s="1" t="s">
        <v>56</v>
      </c>
      <c r="Q796" s="1" t="s">
        <v>2548</v>
      </c>
      <c r="R796" s="1">
        <v>11.52</v>
      </c>
      <c r="S796" s="1">
        <v>4</v>
      </c>
      <c r="T796" s="1">
        <v>0</v>
      </c>
      <c r="U796" s="1">
        <v>3.2256</v>
      </c>
    </row>
    <row r="797" spans="1:21" ht="15.75" x14ac:dyDescent="0.25">
      <c r="A797" s="1">
        <v>796</v>
      </c>
      <c r="B797" s="2" t="s">
        <v>2549</v>
      </c>
      <c r="C797" s="3">
        <v>45129</v>
      </c>
      <c r="D797" s="3">
        <v>45135</v>
      </c>
      <c r="E797" s="1" t="s">
        <v>22</v>
      </c>
      <c r="F797" s="1" t="s">
        <v>2550</v>
      </c>
      <c r="G797" s="1" t="s">
        <v>2551</v>
      </c>
      <c r="H797" s="1" t="s">
        <v>37</v>
      </c>
      <c r="I797" s="1" t="s">
        <v>26</v>
      </c>
      <c r="J797" s="1" t="s">
        <v>90</v>
      </c>
      <c r="K797" s="1" t="s">
        <v>91</v>
      </c>
      <c r="L797" s="1">
        <v>90008</v>
      </c>
      <c r="M797" s="1" t="s">
        <v>92</v>
      </c>
      <c r="N797" s="1" t="s">
        <v>1137</v>
      </c>
      <c r="O797" s="1" t="s">
        <v>31</v>
      </c>
      <c r="P797" s="1" t="s">
        <v>56</v>
      </c>
      <c r="Q797" s="1" t="s">
        <v>1138</v>
      </c>
      <c r="R797" s="1">
        <v>19.68</v>
      </c>
      <c r="S797" s="1">
        <v>6</v>
      </c>
      <c r="T797" s="1">
        <v>0</v>
      </c>
      <c r="U797" s="1">
        <v>6.4943999999999988</v>
      </c>
    </row>
    <row r="798" spans="1:21" ht="15.75" x14ac:dyDescent="0.25">
      <c r="A798" s="1">
        <v>797</v>
      </c>
      <c r="B798" s="2" t="s">
        <v>2539</v>
      </c>
      <c r="C798" s="3">
        <v>45129</v>
      </c>
      <c r="D798" s="3">
        <v>45131</v>
      </c>
      <c r="E798" s="1" t="s">
        <v>87</v>
      </c>
      <c r="F798" s="1" t="s">
        <v>1666</v>
      </c>
      <c r="G798" s="1" t="s">
        <v>1667</v>
      </c>
      <c r="H798" s="1" t="s">
        <v>25</v>
      </c>
      <c r="I798" s="1" t="s">
        <v>26</v>
      </c>
      <c r="J798" s="1" t="s">
        <v>138</v>
      </c>
      <c r="K798" s="1" t="s">
        <v>91</v>
      </c>
      <c r="L798" s="1">
        <v>94122</v>
      </c>
      <c r="M798" s="1" t="s">
        <v>92</v>
      </c>
      <c r="N798" s="1" t="s">
        <v>2552</v>
      </c>
      <c r="O798" s="1" t="s">
        <v>31</v>
      </c>
      <c r="P798" s="1" t="s">
        <v>47</v>
      </c>
      <c r="Q798" s="1" t="s">
        <v>2553</v>
      </c>
      <c r="R798" s="1">
        <v>236.5</v>
      </c>
      <c r="S798" s="1">
        <v>10</v>
      </c>
      <c r="T798" s="1">
        <v>0</v>
      </c>
      <c r="U798" s="1">
        <v>68.584999999999994</v>
      </c>
    </row>
    <row r="799" spans="1:21" ht="15.75" x14ac:dyDescent="0.25">
      <c r="A799" s="1">
        <v>798</v>
      </c>
      <c r="B799" s="2" t="s">
        <v>2554</v>
      </c>
      <c r="C799" s="3">
        <v>45129</v>
      </c>
      <c r="D799" s="3">
        <v>45131</v>
      </c>
      <c r="E799" s="1" t="s">
        <v>87</v>
      </c>
      <c r="F799" s="1" t="s">
        <v>2555</v>
      </c>
      <c r="G799" s="1" t="s">
        <v>2556</v>
      </c>
      <c r="H799" s="1" t="s">
        <v>25</v>
      </c>
      <c r="I799" s="1" t="s">
        <v>26</v>
      </c>
      <c r="J799" s="1" t="s">
        <v>27</v>
      </c>
      <c r="K799" s="1" t="s">
        <v>28</v>
      </c>
      <c r="L799" s="1">
        <v>77095</v>
      </c>
      <c r="M799" s="1" t="s">
        <v>29</v>
      </c>
      <c r="N799" s="1" t="s">
        <v>265</v>
      </c>
      <c r="O799" s="1" t="s">
        <v>31</v>
      </c>
      <c r="P799" s="1" t="s">
        <v>47</v>
      </c>
      <c r="Q799" s="1" t="s">
        <v>266</v>
      </c>
      <c r="R799" s="1">
        <v>26.632000000000001</v>
      </c>
      <c r="S799" s="1">
        <v>1</v>
      </c>
      <c r="T799" s="1">
        <v>0.2</v>
      </c>
      <c r="U799" s="1">
        <v>1.331599999999999</v>
      </c>
    </row>
    <row r="800" spans="1:21" ht="15.75" x14ac:dyDescent="0.25">
      <c r="A800" s="1">
        <v>799</v>
      </c>
      <c r="B800" s="2" t="s">
        <v>2542</v>
      </c>
      <c r="C800" s="3">
        <v>45129</v>
      </c>
      <c r="D800" s="3">
        <v>45134</v>
      </c>
      <c r="E800" s="1" t="s">
        <v>22</v>
      </c>
      <c r="F800" s="1" t="s">
        <v>2543</v>
      </c>
      <c r="G800" s="1" t="s">
        <v>2544</v>
      </c>
      <c r="H800" s="1" t="s">
        <v>25</v>
      </c>
      <c r="I800" s="1" t="s">
        <v>26</v>
      </c>
      <c r="J800" s="1" t="s">
        <v>348</v>
      </c>
      <c r="K800" s="1" t="s">
        <v>349</v>
      </c>
      <c r="L800" s="1">
        <v>10024</v>
      </c>
      <c r="M800" s="1" t="s">
        <v>54</v>
      </c>
      <c r="N800" s="1" t="s">
        <v>2557</v>
      </c>
      <c r="O800" s="1" t="s">
        <v>96</v>
      </c>
      <c r="P800" s="1" t="s">
        <v>117</v>
      </c>
      <c r="Q800" s="1" t="s">
        <v>2558</v>
      </c>
      <c r="R800" s="1">
        <v>159.97999999999999</v>
      </c>
      <c r="S800" s="1">
        <v>2</v>
      </c>
      <c r="T800" s="1">
        <v>0</v>
      </c>
      <c r="U800" s="1">
        <v>57.592799999999997</v>
      </c>
    </row>
    <row r="801" spans="1:21" ht="15.75" x14ac:dyDescent="0.25">
      <c r="A801" s="1">
        <v>800</v>
      </c>
      <c r="B801" s="2" t="s">
        <v>2559</v>
      </c>
      <c r="C801" s="3">
        <v>45130</v>
      </c>
      <c r="D801" s="3">
        <v>45134</v>
      </c>
      <c r="E801" s="1" t="s">
        <v>22</v>
      </c>
      <c r="F801" s="1" t="s">
        <v>2560</v>
      </c>
      <c r="G801" s="1" t="s">
        <v>2561</v>
      </c>
      <c r="H801" s="1" t="s">
        <v>25</v>
      </c>
      <c r="I801" s="1" t="s">
        <v>26</v>
      </c>
      <c r="J801" s="1" t="s">
        <v>900</v>
      </c>
      <c r="K801" s="1" t="s">
        <v>211</v>
      </c>
      <c r="L801" s="1">
        <v>85705</v>
      </c>
      <c r="M801" s="1" t="s">
        <v>92</v>
      </c>
      <c r="N801" s="1" t="s">
        <v>2562</v>
      </c>
      <c r="O801" s="1" t="s">
        <v>31</v>
      </c>
      <c r="P801" s="1" t="s">
        <v>56</v>
      </c>
      <c r="Q801" s="1" t="s">
        <v>2563</v>
      </c>
      <c r="R801" s="1">
        <v>9.24</v>
      </c>
      <c r="S801" s="1">
        <v>1</v>
      </c>
      <c r="T801" s="1">
        <v>0.2</v>
      </c>
      <c r="U801" s="1">
        <v>0.92399999999999993</v>
      </c>
    </row>
    <row r="802" spans="1:21" ht="15.75" x14ac:dyDescent="0.25">
      <c r="A802" s="1">
        <v>801</v>
      </c>
      <c r="B802" s="2" t="s">
        <v>2559</v>
      </c>
      <c r="C802" s="3">
        <v>45130</v>
      </c>
      <c r="D802" s="3">
        <v>45134</v>
      </c>
      <c r="E802" s="1" t="s">
        <v>22</v>
      </c>
      <c r="F802" s="1" t="s">
        <v>2560</v>
      </c>
      <c r="G802" s="1" t="s">
        <v>2561</v>
      </c>
      <c r="H802" s="1" t="s">
        <v>25</v>
      </c>
      <c r="I802" s="1" t="s">
        <v>26</v>
      </c>
      <c r="J802" s="1" t="s">
        <v>900</v>
      </c>
      <c r="K802" s="1" t="s">
        <v>211</v>
      </c>
      <c r="L802" s="1">
        <v>85705</v>
      </c>
      <c r="M802" s="1" t="s">
        <v>92</v>
      </c>
      <c r="N802" s="1" t="s">
        <v>2501</v>
      </c>
      <c r="O802" s="1" t="s">
        <v>31</v>
      </c>
      <c r="P802" s="1" t="s">
        <v>41</v>
      </c>
      <c r="Q802" s="1" t="s">
        <v>2502</v>
      </c>
      <c r="R802" s="1">
        <v>8.1600000000000019</v>
      </c>
      <c r="S802" s="1">
        <v>5</v>
      </c>
      <c r="T802" s="1">
        <v>0.7</v>
      </c>
      <c r="U802" s="1">
        <v>-5.7119999999999997</v>
      </c>
    </row>
    <row r="803" spans="1:21" ht="15.75" x14ac:dyDescent="0.25">
      <c r="A803" s="1">
        <v>802</v>
      </c>
      <c r="B803" s="2" t="s">
        <v>2564</v>
      </c>
      <c r="C803" s="3">
        <v>45130</v>
      </c>
      <c r="D803" s="3">
        <v>45134</v>
      </c>
      <c r="E803" s="1" t="s">
        <v>22</v>
      </c>
      <c r="F803" s="1" t="s">
        <v>2565</v>
      </c>
      <c r="G803" s="1" t="s">
        <v>2566</v>
      </c>
      <c r="H803" s="1" t="s">
        <v>74</v>
      </c>
      <c r="I803" s="1" t="s">
        <v>26</v>
      </c>
      <c r="J803" s="1" t="s">
        <v>138</v>
      </c>
      <c r="K803" s="1" t="s">
        <v>91</v>
      </c>
      <c r="L803" s="1">
        <v>94122</v>
      </c>
      <c r="M803" s="1" t="s">
        <v>92</v>
      </c>
      <c r="N803" s="1" t="s">
        <v>2567</v>
      </c>
      <c r="O803" s="1" t="s">
        <v>31</v>
      </c>
      <c r="P803" s="1" t="s">
        <v>475</v>
      </c>
      <c r="Q803" s="1" t="s">
        <v>2568</v>
      </c>
      <c r="R803" s="1">
        <v>40.700000000000003</v>
      </c>
      <c r="S803" s="1">
        <v>5</v>
      </c>
      <c r="T803" s="1">
        <v>0</v>
      </c>
      <c r="U803" s="1">
        <v>11.802999999999999</v>
      </c>
    </row>
    <row r="804" spans="1:21" ht="15.75" x14ac:dyDescent="0.25">
      <c r="A804" s="1">
        <v>803</v>
      </c>
      <c r="B804" s="2" t="s">
        <v>2569</v>
      </c>
      <c r="C804" s="3">
        <v>45130</v>
      </c>
      <c r="D804" s="3">
        <v>45131</v>
      </c>
      <c r="E804" s="1" t="s">
        <v>71</v>
      </c>
      <c r="F804" s="1" t="s">
        <v>1662</v>
      </c>
      <c r="G804" s="1" t="s">
        <v>1663</v>
      </c>
      <c r="H804" s="1" t="s">
        <v>25</v>
      </c>
      <c r="I804" s="1" t="s">
        <v>26</v>
      </c>
      <c r="J804" s="1" t="s">
        <v>348</v>
      </c>
      <c r="K804" s="1" t="s">
        <v>349</v>
      </c>
      <c r="L804" s="1">
        <v>10011</v>
      </c>
      <c r="M804" s="1" t="s">
        <v>54</v>
      </c>
      <c r="N804" s="1" t="s">
        <v>2570</v>
      </c>
      <c r="O804" s="1" t="s">
        <v>96</v>
      </c>
      <c r="P804" s="1" t="s">
        <v>117</v>
      </c>
      <c r="Q804" s="1" t="s">
        <v>2571</v>
      </c>
      <c r="R804" s="1">
        <v>99.98</v>
      </c>
      <c r="S804" s="1">
        <v>2</v>
      </c>
      <c r="T804" s="1">
        <v>0</v>
      </c>
      <c r="U804" s="1">
        <v>7.9983999999999895</v>
      </c>
    </row>
    <row r="805" spans="1:21" ht="15.75" x14ac:dyDescent="0.25">
      <c r="A805" s="1">
        <v>804</v>
      </c>
      <c r="B805" s="2" t="s">
        <v>2559</v>
      </c>
      <c r="C805" s="3">
        <v>45130</v>
      </c>
      <c r="D805" s="3">
        <v>45134</v>
      </c>
      <c r="E805" s="1" t="s">
        <v>22</v>
      </c>
      <c r="F805" s="1" t="s">
        <v>2560</v>
      </c>
      <c r="G805" s="1" t="s">
        <v>2561</v>
      </c>
      <c r="H805" s="1" t="s">
        <v>25</v>
      </c>
      <c r="I805" s="1" t="s">
        <v>26</v>
      </c>
      <c r="J805" s="1" t="s">
        <v>900</v>
      </c>
      <c r="K805" s="1" t="s">
        <v>211</v>
      </c>
      <c r="L805" s="1">
        <v>85705</v>
      </c>
      <c r="M805" s="1" t="s">
        <v>92</v>
      </c>
      <c r="N805" s="1" t="s">
        <v>2572</v>
      </c>
      <c r="O805" s="1" t="s">
        <v>96</v>
      </c>
      <c r="P805" s="1" t="s">
        <v>117</v>
      </c>
      <c r="Q805" s="1" t="s">
        <v>2573</v>
      </c>
      <c r="R805" s="1">
        <v>479.04</v>
      </c>
      <c r="S805" s="1">
        <v>10</v>
      </c>
      <c r="T805" s="1">
        <v>0.2</v>
      </c>
      <c r="U805" s="1">
        <v>-29.940000000000012</v>
      </c>
    </row>
    <row r="806" spans="1:21" ht="15.75" x14ac:dyDescent="0.25">
      <c r="A806" s="1">
        <v>805</v>
      </c>
      <c r="B806" s="2" t="s">
        <v>2564</v>
      </c>
      <c r="C806" s="3">
        <v>45130</v>
      </c>
      <c r="D806" s="3">
        <v>45134</v>
      </c>
      <c r="E806" s="1" t="s">
        <v>22</v>
      </c>
      <c r="F806" s="1" t="s">
        <v>2565</v>
      </c>
      <c r="G806" s="1" t="s">
        <v>2566</v>
      </c>
      <c r="H806" s="1" t="s">
        <v>74</v>
      </c>
      <c r="I806" s="1" t="s">
        <v>26</v>
      </c>
      <c r="J806" s="1" t="s">
        <v>138</v>
      </c>
      <c r="K806" s="1" t="s">
        <v>91</v>
      </c>
      <c r="L806" s="1">
        <v>94122</v>
      </c>
      <c r="M806" s="1" t="s">
        <v>92</v>
      </c>
      <c r="N806" s="1" t="s">
        <v>2574</v>
      </c>
      <c r="O806" s="1" t="s">
        <v>96</v>
      </c>
      <c r="P806" s="1" t="s">
        <v>117</v>
      </c>
      <c r="Q806" s="1" t="s">
        <v>2575</v>
      </c>
      <c r="R806" s="1">
        <v>45</v>
      </c>
      <c r="S806" s="1">
        <v>3</v>
      </c>
      <c r="T806" s="1">
        <v>0</v>
      </c>
      <c r="U806" s="1">
        <v>4.9500000000000011</v>
      </c>
    </row>
    <row r="807" spans="1:21" ht="15.75" x14ac:dyDescent="0.25">
      <c r="A807" s="1">
        <v>806</v>
      </c>
      <c r="B807" s="2" t="s">
        <v>2559</v>
      </c>
      <c r="C807" s="3">
        <v>45130</v>
      </c>
      <c r="D807" s="3">
        <v>45134</v>
      </c>
      <c r="E807" s="1" t="s">
        <v>22</v>
      </c>
      <c r="F807" s="1" t="s">
        <v>2560</v>
      </c>
      <c r="G807" s="1" t="s">
        <v>2561</v>
      </c>
      <c r="H807" s="1" t="s">
        <v>25</v>
      </c>
      <c r="I807" s="1" t="s">
        <v>26</v>
      </c>
      <c r="J807" s="1" t="s">
        <v>900</v>
      </c>
      <c r="K807" s="1" t="s">
        <v>211</v>
      </c>
      <c r="L807" s="1">
        <v>85705</v>
      </c>
      <c r="M807" s="1" t="s">
        <v>92</v>
      </c>
      <c r="N807" s="1" t="s">
        <v>2328</v>
      </c>
      <c r="O807" s="1" t="s">
        <v>96</v>
      </c>
      <c r="P807" s="1" t="s">
        <v>117</v>
      </c>
      <c r="Q807" s="1" t="s">
        <v>2329</v>
      </c>
      <c r="R807" s="1">
        <v>1023.9360000000001</v>
      </c>
      <c r="S807" s="1">
        <v>8</v>
      </c>
      <c r="T807" s="1">
        <v>0.2</v>
      </c>
      <c r="U807" s="1">
        <v>179.1887999999999</v>
      </c>
    </row>
    <row r="808" spans="1:21" ht="15.75" x14ac:dyDescent="0.25">
      <c r="A808" s="1">
        <v>807</v>
      </c>
      <c r="B808" s="2" t="s">
        <v>2564</v>
      </c>
      <c r="C808" s="3">
        <v>45130</v>
      </c>
      <c r="D808" s="3">
        <v>45134</v>
      </c>
      <c r="E808" s="1" t="s">
        <v>22</v>
      </c>
      <c r="F808" s="1" t="s">
        <v>2565</v>
      </c>
      <c r="G808" s="1" t="s">
        <v>2566</v>
      </c>
      <c r="H808" s="1" t="s">
        <v>74</v>
      </c>
      <c r="I808" s="1" t="s">
        <v>26</v>
      </c>
      <c r="J808" s="1" t="s">
        <v>138</v>
      </c>
      <c r="K808" s="1" t="s">
        <v>91</v>
      </c>
      <c r="L808" s="1">
        <v>94122</v>
      </c>
      <c r="M808" s="1" t="s">
        <v>92</v>
      </c>
      <c r="N808" s="1" t="s">
        <v>1829</v>
      </c>
      <c r="O808" s="1" t="s">
        <v>96</v>
      </c>
      <c r="P808" s="1" t="s">
        <v>97</v>
      </c>
      <c r="Q808" s="1" t="s">
        <v>1830</v>
      </c>
      <c r="R808" s="1">
        <v>604.75199999999995</v>
      </c>
      <c r="S808" s="1">
        <v>6</v>
      </c>
      <c r="T808" s="1">
        <v>0.2</v>
      </c>
      <c r="U808" s="1">
        <v>60.475200000000058</v>
      </c>
    </row>
    <row r="809" spans="1:21" ht="15.75" x14ac:dyDescent="0.25">
      <c r="A809" s="1">
        <v>808</v>
      </c>
      <c r="B809" s="2" t="s">
        <v>2564</v>
      </c>
      <c r="C809" s="3">
        <v>45130</v>
      </c>
      <c r="D809" s="3">
        <v>45134</v>
      </c>
      <c r="E809" s="1" t="s">
        <v>22</v>
      </c>
      <c r="F809" s="1" t="s">
        <v>2565</v>
      </c>
      <c r="G809" s="1" t="s">
        <v>2566</v>
      </c>
      <c r="H809" s="1" t="s">
        <v>74</v>
      </c>
      <c r="I809" s="1" t="s">
        <v>26</v>
      </c>
      <c r="J809" s="1" t="s">
        <v>138</v>
      </c>
      <c r="K809" s="1" t="s">
        <v>91</v>
      </c>
      <c r="L809" s="1">
        <v>94122</v>
      </c>
      <c r="M809" s="1" t="s">
        <v>92</v>
      </c>
      <c r="N809" s="1" t="s">
        <v>1416</v>
      </c>
      <c r="O809" s="1" t="s">
        <v>96</v>
      </c>
      <c r="P809" s="1" t="s">
        <v>97</v>
      </c>
      <c r="Q809" s="1" t="s">
        <v>1417</v>
      </c>
      <c r="R809" s="1">
        <v>302.37599999999998</v>
      </c>
      <c r="S809" s="1">
        <v>3</v>
      </c>
      <c r="T809" s="1">
        <v>0.2</v>
      </c>
      <c r="U809" s="1">
        <v>37.796999999999997</v>
      </c>
    </row>
    <row r="810" spans="1:21" ht="15.75" x14ac:dyDescent="0.25">
      <c r="A810" s="1">
        <v>809</v>
      </c>
      <c r="B810" s="2" t="s">
        <v>2576</v>
      </c>
      <c r="C810" s="3">
        <v>45132</v>
      </c>
      <c r="D810" s="3">
        <v>45134</v>
      </c>
      <c r="E810" s="1" t="s">
        <v>87</v>
      </c>
      <c r="F810" s="1" t="s">
        <v>2577</v>
      </c>
      <c r="G810" s="1" t="s">
        <v>2578</v>
      </c>
      <c r="H810" s="1" t="s">
        <v>25</v>
      </c>
      <c r="I810" s="1" t="s">
        <v>26</v>
      </c>
      <c r="J810" s="1" t="s">
        <v>138</v>
      </c>
      <c r="K810" s="1" t="s">
        <v>91</v>
      </c>
      <c r="L810" s="1">
        <v>94122</v>
      </c>
      <c r="M810" s="1" t="s">
        <v>92</v>
      </c>
      <c r="N810" s="1" t="s">
        <v>2579</v>
      </c>
      <c r="O810" s="1" t="s">
        <v>65</v>
      </c>
      <c r="P810" s="1" t="s">
        <v>106</v>
      </c>
      <c r="Q810" s="1" t="s">
        <v>2580</v>
      </c>
      <c r="R810" s="1">
        <v>77.92</v>
      </c>
      <c r="S810" s="1">
        <v>8</v>
      </c>
      <c r="T810" s="1">
        <v>0</v>
      </c>
      <c r="U810" s="1">
        <v>34.284800000000004</v>
      </c>
    </row>
    <row r="811" spans="1:21" ht="15.75" x14ac:dyDescent="0.25">
      <c r="A811" s="1">
        <v>810</v>
      </c>
      <c r="B811" s="2" t="s">
        <v>2581</v>
      </c>
      <c r="C811" s="3">
        <v>45132</v>
      </c>
      <c r="D811" s="3">
        <v>45134</v>
      </c>
      <c r="E811" s="1" t="s">
        <v>87</v>
      </c>
      <c r="F811" s="1" t="s">
        <v>553</v>
      </c>
      <c r="G811" s="1" t="s">
        <v>554</v>
      </c>
      <c r="H811" s="1" t="s">
        <v>37</v>
      </c>
      <c r="I811" s="1" t="s">
        <v>26</v>
      </c>
      <c r="J811" s="1" t="s">
        <v>90</v>
      </c>
      <c r="K811" s="1" t="s">
        <v>91</v>
      </c>
      <c r="L811" s="1">
        <v>90045</v>
      </c>
      <c r="M811" s="1" t="s">
        <v>92</v>
      </c>
      <c r="N811" s="1" t="s">
        <v>808</v>
      </c>
      <c r="O811" s="1" t="s">
        <v>31</v>
      </c>
      <c r="P811" s="1" t="s">
        <v>32</v>
      </c>
      <c r="Q811" s="1" t="s">
        <v>809</v>
      </c>
      <c r="R811" s="1">
        <v>6.48</v>
      </c>
      <c r="S811" s="1">
        <v>1</v>
      </c>
      <c r="T811" s="1">
        <v>0</v>
      </c>
      <c r="U811" s="1">
        <v>3.1752000000000002</v>
      </c>
    </row>
    <row r="812" spans="1:21" ht="15.75" x14ac:dyDescent="0.25">
      <c r="A812" s="1">
        <v>811</v>
      </c>
      <c r="B812" s="2" t="s">
        <v>2576</v>
      </c>
      <c r="C812" s="3">
        <v>45132</v>
      </c>
      <c r="D812" s="3">
        <v>45134</v>
      </c>
      <c r="E812" s="1" t="s">
        <v>87</v>
      </c>
      <c r="F812" s="1" t="s">
        <v>2577</v>
      </c>
      <c r="G812" s="1" t="s">
        <v>2578</v>
      </c>
      <c r="H812" s="1" t="s">
        <v>25</v>
      </c>
      <c r="I812" s="1" t="s">
        <v>26</v>
      </c>
      <c r="J812" s="1" t="s">
        <v>138</v>
      </c>
      <c r="K812" s="1" t="s">
        <v>91</v>
      </c>
      <c r="L812" s="1">
        <v>94122</v>
      </c>
      <c r="M812" s="1" t="s">
        <v>92</v>
      </c>
      <c r="N812" s="1" t="s">
        <v>2582</v>
      </c>
      <c r="O812" s="1" t="s">
        <v>31</v>
      </c>
      <c r="P812" s="1" t="s">
        <v>47</v>
      </c>
      <c r="Q812" s="1" t="s">
        <v>2583</v>
      </c>
      <c r="R812" s="1">
        <v>53.72</v>
      </c>
      <c r="S812" s="1">
        <v>4</v>
      </c>
      <c r="T812" s="1">
        <v>0</v>
      </c>
      <c r="U812" s="1">
        <v>15.041600000000003</v>
      </c>
    </row>
    <row r="813" spans="1:21" ht="15.75" x14ac:dyDescent="0.25">
      <c r="A813" s="1">
        <v>812</v>
      </c>
      <c r="B813" s="2" t="s">
        <v>2576</v>
      </c>
      <c r="C813" s="3">
        <v>45132</v>
      </c>
      <c r="D813" s="3">
        <v>45134</v>
      </c>
      <c r="E813" s="1" t="s">
        <v>87</v>
      </c>
      <c r="F813" s="1" t="s">
        <v>2577</v>
      </c>
      <c r="G813" s="1" t="s">
        <v>2578</v>
      </c>
      <c r="H813" s="1" t="s">
        <v>25</v>
      </c>
      <c r="I813" s="1" t="s">
        <v>26</v>
      </c>
      <c r="J813" s="1" t="s">
        <v>138</v>
      </c>
      <c r="K813" s="1" t="s">
        <v>91</v>
      </c>
      <c r="L813" s="1">
        <v>94122</v>
      </c>
      <c r="M813" s="1" t="s">
        <v>92</v>
      </c>
      <c r="N813" s="1" t="s">
        <v>2584</v>
      </c>
      <c r="O813" s="1" t="s">
        <v>31</v>
      </c>
      <c r="P813" s="1" t="s">
        <v>475</v>
      </c>
      <c r="Q813" s="1" t="s">
        <v>2585</v>
      </c>
      <c r="R813" s="1">
        <v>8187.65</v>
      </c>
      <c r="S813" s="1">
        <v>5</v>
      </c>
      <c r="T813" s="1">
        <v>0</v>
      </c>
      <c r="U813" s="1">
        <v>327.50599999999963</v>
      </c>
    </row>
    <row r="814" spans="1:21" ht="15.75" x14ac:dyDescent="0.25">
      <c r="A814" s="1">
        <v>813</v>
      </c>
      <c r="B814" s="2" t="s">
        <v>2581</v>
      </c>
      <c r="C814" s="3">
        <v>45132</v>
      </c>
      <c r="D814" s="3">
        <v>45134</v>
      </c>
      <c r="E814" s="1" t="s">
        <v>87</v>
      </c>
      <c r="F814" s="1" t="s">
        <v>553</v>
      </c>
      <c r="G814" s="1" t="s">
        <v>554</v>
      </c>
      <c r="H814" s="1" t="s">
        <v>37</v>
      </c>
      <c r="I814" s="1" t="s">
        <v>26</v>
      </c>
      <c r="J814" s="1" t="s">
        <v>90</v>
      </c>
      <c r="K814" s="1" t="s">
        <v>91</v>
      </c>
      <c r="L814" s="1">
        <v>90045</v>
      </c>
      <c r="M814" s="1" t="s">
        <v>92</v>
      </c>
      <c r="N814" s="1" t="s">
        <v>2204</v>
      </c>
      <c r="O814" s="1" t="s">
        <v>31</v>
      </c>
      <c r="P814" s="1" t="s">
        <v>475</v>
      </c>
      <c r="Q814" s="1" t="s">
        <v>2205</v>
      </c>
      <c r="R814" s="1">
        <v>15.52</v>
      </c>
      <c r="S814" s="1">
        <v>4</v>
      </c>
      <c r="T814" s="1">
        <v>0</v>
      </c>
      <c r="U814" s="1">
        <v>4.5007999999999981</v>
      </c>
    </row>
    <row r="815" spans="1:21" ht="15.75" x14ac:dyDescent="0.25">
      <c r="A815" s="1">
        <v>814</v>
      </c>
      <c r="B815" s="2" t="s">
        <v>2586</v>
      </c>
      <c r="C815" s="3">
        <v>45133</v>
      </c>
      <c r="D815" s="3">
        <v>45139</v>
      </c>
      <c r="E815" s="1" t="s">
        <v>22</v>
      </c>
      <c r="F815" s="1" t="s">
        <v>2587</v>
      </c>
      <c r="G815" s="1" t="s">
        <v>2588</v>
      </c>
      <c r="H815" s="1" t="s">
        <v>25</v>
      </c>
      <c r="I815" s="1" t="s">
        <v>26</v>
      </c>
      <c r="J815" s="1" t="s">
        <v>2589</v>
      </c>
      <c r="K815" s="1" t="s">
        <v>76</v>
      </c>
      <c r="L815" s="1">
        <v>30318</v>
      </c>
      <c r="M815" s="1" t="s">
        <v>63</v>
      </c>
      <c r="N815" s="1" t="s">
        <v>2590</v>
      </c>
      <c r="O815" s="1" t="s">
        <v>65</v>
      </c>
      <c r="P815" s="1" t="s">
        <v>66</v>
      </c>
      <c r="Q815" s="1" t="s">
        <v>2591</v>
      </c>
      <c r="R815" s="1">
        <v>67.88</v>
      </c>
      <c r="S815" s="1">
        <v>2</v>
      </c>
      <c r="T815" s="1">
        <v>0</v>
      </c>
      <c r="U815" s="1">
        <v>18.327599999999997</v>
      </c>
    </row>
    <row r="816" spans="1:21" ht="15.75" x14ac:dyDescent="0.25">
      <c r="A816" s="1">
        <v>815</v>
      </c>
      <c r="B816" s="2" t="s">
        <v>2592</v>
      </c>
      <c r="C816" s="3">
        <v>45133</v>
      </c>
      <c r="D816" s="3">
        <v>45140</v>
      </c>
      <c r="E816" s="1" t="s">
        <v>22</v>
      </c>
      <c r="F816" s="1" t="s">
        <v>1012</v>
      </c>
      <c r="G816" s="1" t="s">
        <v>1013</v>
      </c>
      <c r="H816" s="1" t="s">
        <v>25</v>
      </c>
      <c r="I816" s="1" t="s">
        <v>26</v>
      </c>
      <c r="J816" s="1" t="s">
        <v>431</v>
      </c>
      <c r="K816" s="1" t="s">
        <v>304</v>
      </c>
      <c r="L816" s="1">
        <v>89031</v>
      </c>
      <c r="M816" s="1" t="s">
        <v>92</v>
      </c>
      <c r="N816" s="1" t="s">
        <v>2593</v>
      </c>
      <c r="O816" s="1" t="s">
        <v>65</v>
      </c>
      <c r="P816" s="1" t="s">
        <v>66</v>
      </c>
      <c r="Q816" s="1" t="s">
        <v>2594</v>
      </c>
      <c r="R816" s="1">
        <v>674.35200000000009</v>
      </c>
      <c r="S816" s="1">
        <v>3</v>
      </c>
      <c r="T816" s="1">
        <v>0.2</v>
      </c>
      <c r="U816" s="1">
        <v>-109.58220000000011</v>
      </c>
    </row>
    <row r="817" spans="1:21" ht="15.75" x14ac:dyDescent="0.25">
      <c r="A817" s="1">
        <v>816</v>
      </c>
      <c r="B817" s="2" t="s">
        <v>2586</v>
      </c>
      <c r="C817" s="3">
        <v>45133</v>
      </c>
      <c r="D817" s="3">
        <v>45139</v>
      </c>
      <c r="E817" s="1" t="s">
        <v>22</v>
      </c>
      <c r="F817" s="1" t="s">
        <v>2587</v>
      </c>
      <c r="G817" s="1" t="s">
        <v>2588</v>
      </c>
      <c r="H817" s="1" t="s">
        <v>25</v>
      </c>
      <c r="I817" s="1" t="s">
        <v>26</v>
      </c>
      <c r="J817" s="1" t="s">
        <v>2589</v>
      </c>
      <c r="K817" s="1" t="s">
        <v>76</v>
      </c>
      <c r="L817" s="1">
        <v>30318</v>
      </c>
      <c r="M817" s="1" t="s">
        <v>63</v>
      </c>
      <c r="N817" s="1" t="s">
        <v>2595</v>
      </c>
      <c r="O817" s="1" t="s">
        <v>65</v>
      </c>
      <c r="P817" s="1" t="s">
        <v>106</v>
      </c>
      <c r="Q817" s="1" t="s">
        <v>2596</v>
      </c>
      <c r="R817" s="1">
        <v>25.71</v>
      </c>
      <c r="S817" s="1">
        <v>3</v>
      </c>
      <c r="T817" s="1">
        <v>0</v>
      </c>
      <c r="U817" s="1">
        <v>9.2556000000000012</v>
      </c>
    </row>
    <row r="818" spans="1:21" ht="15.75" x14ac:dyDescent="0.25">
      <c r="A818" s="1">
        <v>817</v>
      </c>
      <c r="B818" s="2" t="s">
        <v>2592</v>
      </c>
      <c r="C818" s="3">
        <v>45133</v>
      </c>
      <c r="D818" s="3">
        <v>45140</v>
      </c>
      <c r="E818" s="1" t="s">
        <v>22</v>
      </c>
      <c r="F818" s="1" t="s">
        <v>1012</v>
      </c>
      <c r="G818" s="1" t="s">
        <v>1013</v>
      </c>
      <c r="H818" s="1" t="s">
        <v>25</v>
      </c>
      <c r="I818" s="1" t="s">
        <v>26</v>
      </c>
      <c r="J818" s="1" t="s">
        <v>431</v>
      </c>
      <c r="K818" s="1" t="s">
        <v>304</v>
      </c>
      <c r="L818" s="1">
        <v>89031</v>
      </c>
      <c r="M818" s="1" t="s">
        <v>92</v>
      </c>
      <c r="N818" s="1" t="s">
        <v>2597</v>
      </c>
      <c r="O818" s="1" t="s">
        <v>65</v>
      </c>
      <c r="P818" s="1" t="s">
        <v>106</v>
      </c>
      <c r="Q818" s="1" t="s">
        <v>2598</v>
      </c>
      <c r="R818" s="1">
        <v>134.01</v>
      </c>
      <c r="S818" s="1">
        <v>9</v>
      </c>
      <c r="T818" s="1">
        <v>0</v>
      </c>
      <c r="U818" s="1">
        <v>36.182700000000004</v>
      </c>
    </row>
    <row r="819" spans="1:21" ht="15.75" x14ac:dyDescent="0.25">
      <c r="A819" s="1">
        <v>818</v>
      </c>
      <c r="B819" s="2" t="s">
        <v>2599</v>
      </c>
      <c r="C819" s="3">
        <v>45133</v>
      </c>
      <c r="D819" s="3">
        <v>45137</v>
      </c>
      <c r="E819" s="1" t="s">
        <v>22</v>
      </c>
      <c r="F819" s="1" t="s">
        <v>2600</v>
      </c>
      <c r="G819" s="1" t="s">
        <v>2601</v>
      </c>
      <c r="H819" s="1" t="s">
        <v>25</v>
      </c>
      <c r="I819" s="1" t="s">
        <v>26</v>
      </c>
      <c r="J819" s="1" t="s">
        <v>1536</v>
      </c>
      <c r="K819" s="1" t="s">
        <v>28</v>
      </c>
      <c r="L819" s="1">
        <v>78207</v>
      </c>
      <c r="M819" s="1" t="s">
        <v>29</v>
      </c>
      <c r="N819" s="1" t="s">
        <v>2602</v>
      </c>
      <c r="O819" s="1" t="s">
        <v>65</v>
      </c>
      <c r="P819" s="1" t="s">
        <v>106</v>
      </c>
      <c r="Q819" s="1" t="s">
        <v>2603</v>
      </c>
      <c r="R819" s="1">
        <v>17.496000000000002</v>
      </c>
      <c r="S819" s="1">
        <v>3</v>
      </c>
      <c r="T819" s="1">
        <v>0.6</v>
      </c>
      <c r="U819" s="1">
        <v>-10.060199999999998</v>
      </c>
    </row>
    <row r="820" spans="1:21" ht="15.75" x14ac:dyDescent="0.25">
      <c r="A820" s="1">
        <v>819</v>
      </c>
      <c r="B820" s="2" t="s">
        <v>2599</v>
      </c>
      <c r="C820" s="3">
        <v>45133</v>
      </c>
      <c r="D820" s="3">
        <v>45137</v>
      </c>
      <c r="E820" s="1" t="s">
        <v>22</v>
      </c>
      <c r="F820" s="1" t="s">
        <v>2600</v>
      </c>
      <c r="G820" s="1" t="s">
        <v>2601</v>
      </c>
      <c r="H820" s="1" t="s">
        <v>25</v>
      </c>
      <c r="I820" s="1" t="s">
        <v>26</v>
      </c>
      <c r="J820" s="1" t="s">
        <v>1536</v>
      </c>
      <c r="K820" s="1" t="s">
        <v>28</v>
      </c>
      <c r="L820" s="1">
        <v>78207</v>
      </c>
      <c r="M820" s="1" t="s">
        <v>29</v>
      </c>
      <c r="N820" s="1" t="s">
        <v>2604</v>
      </c>
      <c r="O820" s="1" t="s">
        <v>31</v>
      </c>
      <c r="P820" s="1" t="s">
        <v>205</v>
      </c>
      <c r="Q820" s="1" t="s">
        <v>2605</v>
      </c>
      <c r="R820" s="1">
        <v>4.8359999999999985</v>
      </c>
      <c r="S820" s="1">
        <v>2</v>
      </c>
      <c r="T820" s="1">
        <v>0.8</v>
      </c>
      <c r="U820" s="1">
        <v>-12.090000000000003</v>
      </c>
    </row>
    <row r="821" spans="1:21" ht="15.75" x14ac:dyDescent="0.25">
      <c r="A821" s="1">
        <v>820</v>
      </c>
      <c r="B821" s="2" t="s">
        <v>2599</v>
      </c>
      <c r="C821" s="3">
        <v>45133</v>
      </c>
      <c r="D821" s="3">
        <v>45137</v>
      </c>
      <c r="E821" s="1" t="s">
        <v>22</v>
      </c>
      <c r="F821" s="1" t="s">
        <v>2600</v>
      </c>
      <c r="G821" s="1" t="s">
        <v>2601</v>
      </c>
      <c r="H821" s="1" t="s">
        <v>25</v>
      </c>
      <c r="I821" s="1" t="s">
        <v>26</v>
      </c>
      <c r="J821" s="1" t="s">
        <v>1536</v>
      </c>
      <c r="K821" s="1" t="s">
        <v>28</v>
      </c>
      <c r="L821" s="1">
        <v>78207</v>
      </c>
      <c r="M821" s="1" t="s">
        <v>29</v>
      </c>
      <c r="N821" s="1" t="s">
        <v>2606</v>
      </c>
      <c r="O821" s="1" t="s">
        <v>31</v>
      </c>
      <c r="P821" s="1" t="s">
        <v>41</v>
      </c>
      <c r="Q821" s="1" t="s">
        <v>2607</v>
      </c>
      <c r="R821" s="1">
        <v>16.783999999999995</v>
      </c>
      <c r="S821" s="1">
        <v>4</v>
      </c>
      <c r="T821" s="1">
        <v>0.8</v>
      </c>
      <c r="U821" s="1">
        <v>-26.854400000000012</v>
      </c>
    </row>
    <row r="822" spans="1:21" ht="15.75" x14ac:dyDescent="0.25">
      <c r="A822" s="1">
        <v>821</v>
      </c>
      <c r="B822" s="2" t="s">
        <v>2599</v>
      </c>
      <c r="C822" s="3">
        <v>45133</v>
      </c>
      <c r="D822" s="3">
        <v>45137</v>
      </c>
      <c r="E822" s="1" t="s">
        <v>22</v>
      </c>
      <c r="F822" s="1" t="s">
        <v>2600</v>
      </c>
      <c r="G822" s="1" t="s">
        <v>2601</v>
      </c>
      <c r="H822" s="1" t="s">
        <v>25</v>
      </c>
      <c r="I822" s="1" t="s">
        <v>26</v>
      </c>
      <c r="J822" s="1" t="s">
        <v>1536</v>
      </c>
      <c r="K822" s="1" t="s">
        <v>28</v>
      </c>
      <c r="L822" s="1">
        <v>78207</v>
      </c>
      <c r="M822" s="1" t="s">
        <v>29</v>
      </c>
      <c r="N822" s="1" t="s">
        <v>2608</v>
      </c>
      <c r="O822" s="1" t="s">
        <v>31</v>
      </c>
      <c r="P822" s="1" t="s">
        <v>41</v>
      </c>
      <c r="Q822" s="1" t="s">
        <v>2609</v>
      </c>
      <c r="R822" s="1">
        <v>8.879999999999999</v>
      </c>
      <c r="S822" s="1">
        <v>5</v>
      </c>
      <c r="T822" s="1">
        <v>0.8</v>
      </c>
      <c r="U822" s="1">
        <v>-13.32</v>
      </c>
    </row>
    <row r="823" spans="1:21" ht="15.75" x14ac:dyDescent="0.25">
      <c r="A823" s="1">
        <v>822</v>
      </c>
      <c r="B823" s="2" t="s">
        <v>2599</v>
      </c>
      <c r="C823" s="3">
        <v>45133</v>
      </c>
      <c r="D823" s="3">
        <v>45137</v>
      </c>
      <c r="E823" s="1" t="s">
        <v>22</v>
      </c>
      <c r="F823" s="1" t="s">
        <v>2600</v>
      </c>
      <c r="G823" s="1" t="s">
        <v>2601</v>
      </c>
      <c r="H823" s="1" t="s">
        <v>25</v>
      </c>
      <c r="I823" s="1" t="s">
        <v>26</v>
      </c>
      <c r="J823" s="1" t="s">
        <v>1536</v>
      </c>
      <c r="K823" s="1" t="s">
        <v>28</v>
      </c>
      <c r="L823" s="1">
        <v>78207</v>
      </c>
      <c r="M823" s="1" t="s">
        <v>29</v>
      </c>
      <c r="N823" s="1" t="s">
        <v>2087</v>
      </c>
      <c r="O823" s="1" t="s">
        <v>31</v>
      </c>
      <c r="P823" s="1" t="s">
        <v>41</v>
      </c>
      <c r="Q823" s="1" t="s">
        <v>2088</v>
      </c>
      <c r="R823" s="1">
        <v>2177.5839999999994</v>
      </c>
      <c r="S823" s="1">
        <v>8</v>
      </c>
      <c r="T823" s="1">
        <v>0.8</v>
      </c>
      <c r="U823" s="1">
        <v>-3701.8928000000014</v>
      </c>
    </row>
    <row r="824" spans="1:21" ht="15.75" x14ac:dyDescent="0.25">
      <c r="A824" s="1">
        <v>823</v>
      </c>
      <c r="B824" s="2" t="s">
        <v>2586</v>
      </c>
      <c r="C824" s="3">
        <v>45133</v>
      </c>
      <c r="D824" s="3">
        <v>45139</v>
      </c>
      <c r="E824" s="1" t="s">
        <v>22</v>
      </c>
      <c r="F824" s="1" t="s">
        <v>2587</v>
      </c>
      <c r="G824" s="1" t="s">
        <v>2588</v>
      </c>
      <c r="H824" s="1" t="s">
        <v>25</v>
      </c>
      <c r="I824" s="1" t="s">
        <v>26</v>
      </c>
      <c r="J824" s="1" t="s">
        <v>2589</v>
      </c>
      <c r="K824" s="1" t="s">
        <v>76</v>
      </c>
      <c r="L824" s="1">
        <v>30318</v>
      </c>
      <c r="M824" s="1" t="s">
        <v>63</v>
      </c>
      <c r="N824" s="1" t="s">
        <v>2610</v>
      </c>
      <c r="O824" s="1" t="s">
        <v>31</v>
      </c>
      <c r="P824" s="1" t="s">
        <v>44</v>
      </c>
      <c r="Q824" s="1" t="s">
        <v>2611</v>
      </c>
      <c r="R824" s="1">
        <v>162.88999999999999</v>
      </c>
      <c r="S824" s="1">
        <v>13</v>
      </c>
      <c r="T824" s="1">
        <v>0</v>
      </c>
      <c r="U824" s="1">
        <v>76.558299999999988</v>
      </c>
    </row>
    <row r="825" spans="1:21" ht="15.75" x14ac:dyDescent="0.25">
      <c r="A825" s="1">
        <v>824</v>
      </c>
      <c r="B825" s="2" t="s">
        <v>2612</v>
      </c>
      <c r="C825" s="3">
        <v>45133</v>
      </c>
      <c r="D825" s="3">
        <v>45137</v>
      </c>
      <c r="E825" s="1" t="s">
        <v>87</v>
      </c>
      <c r="F825" s="1" t="s">
        <v>2613</v>
      </c>
      <c r="G825" s="1" t="s">
        <v>2614</v>
      </c>
      <c r="H825" s="1" t="s">
        <v>25</v>
      </c>
      <c r="I825" s="1" t="s">
        <v>26</v>
      </c>
      <c r="J825" s="1" t="s">
        <v>493</v>
      </c>
      <c r="K825" s="1" t="s">
        <v>39</v>
      </c>
      <c r="L825" s="1">
        <v>60623</v>
      </c>
      <c r="M825" s="1" t="s">
        <v>29</v>
      </c>
      <c r="N825" s="1" t="s">
        <v>2615</v>
      </c>
      <c r="O825" s="1" t="s">
        <v>31</v>
      </c>
      <c r="P825" s="1" t="s">
        <v>47</v>
      </c>
      <c r="Q825" s="1" t="s">
        <v>2616</v>
      </c>
      <c r="R825" s="1">
        <v>123.55199999999999</v>
      </c>
      <c r="S825" s="1">
        <v>3</v>
      </c>
      <c r="T825" s="1">
        <v>0.2</v>
      </c>
      <c r="U825" s="1">
        <v>-29.343599999999995</v>
      </c>
    </row>
    <row r="826" spans="1:21" ht="15.75" x14ac:dyDescent="0.25">
      <c r="A826" s="1">
        <v>825</v>
      </c>
      <c r="B826" s="2" t="s">
        <v>2617</v>
      </c>
      <c r="C826" s="3">
        <v>45133</v>
      </c>
      <c r="D826" s="3">
        <v>45139</v>
      </c>
      <c r="E826" s="1" t="s">
        <v>22</v>
      </c>
      <c r="F826" s="1" t="s">
        <v>72</v>
      </c>
      <c r="G826" s="1" t="s">
        <v>73</v>
      </c>
      <c r="H826" s="1" t="s">
        <v>74</v>
      </c>
      <c r="I826" s="1" t="s">
        <v>26</v>
      </c>
      <c r="J826" s="1" t="s">
        <v>2618</v>
      </c>
      <c r="K826" s="1" t="s">
        <v>733</v>
      </c>
      <c r="L826" s="1">
        <v>84020</v>
      </c>
      <c r="M826" s="1" t="s">
        <v>92</v>
      </c>
      <c r="N826" s="1" t="s">
        <v>2619</v>
      </c>
      <c r="O826" s="1" t="s">
        <v>96</v>
      </c>
      <c r="P826" s="1" t="s">
        <v>117</v>
      </c>
      <c r="Q826" s="1" t="s">
        <v>2620</v>
      </c>
      <c r="R826" s="1">
        <v>111.93</v>
      </c>
      <c r="S826" s="1">
        <v>7</v>
      </c>
      <c r="T826" s="1">
        <v>0</v>
      </c>
      <c r="U826" s="1">
        <v>34.698299999999996</v>
      </c>
    </row>
    <row r="827" spans="1:21" ht="15.75" x14ac:dyDescent="0.25">
      <c r="A827" s="1">
        <v>826</v>
      </c>
      <c r="B827" s="2" t="s">
        <v>2599</v>
      </c>
      <c r="C827" s="3">
        <v>45133</v>
      </c>
      <c r="D827" s="3">
        <v>45137</v>
      </c>
      <c r="E827" s="1" t="s">
        <v>22</v>
      </c>
      <c r="F827" s="1" t="s">
        <v>2600</v>
      </c>
      <c r="G827" s="1" t="s">
        <v>2601</v>
      </c>
      <c r="H827" s="1" t="s">
        <v>25</v>
      </c>
      <c r="I827" s="1" t="s">
        <v>26</v>
      </c>
      <c r="J827" s="1" t="s">
        <v>1536</v>
      </c>
      <c r="K827" s="1" t="s">
        <v>28</v>
      </c>
      <c r="L827" s="1">
        <v>78207</v>
      </c>
      <c r="M827" s="1" t="s">
        <v>29</v>
      </c>
      <c r="N827" s="1" t="s">
        <v>2572</v>
      </c>
      <c r="O827" s="1" t="s">
        <v>96</v>
      </c>
      <c r="P827" s="1" t="s">
        <v>117</v>
      </c>
      <c r="Q827" s="1" t="s">
        <v>2573</v>
      </c>
      <c r="R827" s="1">
        <v>431.13600000000002</v>
      </c>
      <c r="S827" s="1">
        <v>9</v>
      </c>
      <c r="T827" s="1">
        <v>0.2</v>
      </c>
      <c r="U827" s="1">
        <v>-26.946000000000012</v>
      </c>
    </row>
    <row r="828" spans="1:21" ht="15.75" x14ac:dyDescent="0.25">
      <c r="A828" s="1">
        <v>827</v>
      </c>
      <c r="B828" s="2" t="s">
        <v>2592</v>
      </c>
      <c r="C828" s="3">
        <v>45133</v>
      </c>
      <c r="D828" s="3">
        <v>45140</v>
      </c>
      <c r="E828" s="1" t="s">
        <v>22</v>
      </c>
      <c r="F828" s="1" t="s">
        <v>1012</v>
      </c>
      <c r="G828" s="1" t="s">
        <v>1013</v>
      </c>
      <c r="H828" s="1" t="s">
        <v>25</v>
      </c>
      <c r="I828" s="1" t="s">
        <v>26</v>
      </c>
      <c r="J828" s="1" t="s">
        <v>431</v>
      </c>
      <c r="K828" s="1" t="s">
        <v>304</v>
      </c>
      <c r="L828" s="1">
        <v>89031</v>
      </c>
      <c r="M828" s="1" t="s">
        <v>92</v>
      </c>
      <c r="N828" s="1" t="s">
        <v>2621</v>
      </c>
      <c r="O828" s="1" t="s">
        <v>96</v>
      </c>
      <c r="P828" s="1" t="s">
        <v>117</v>
      </c>
      <c r="Q828" s="1" t="s">
        <v>2622</v>
      </c>
      <c r="R828" s="1">
        <v>170.97</v>
      </c>
      <c r="S828" s="1">
        <v>3</v>
      </c>
      <c r="T828" s="1">
        <v>0</v>
      </c>
      <c r="U828" s="1">
        <v>70.097700000000003</v>
      </c>
    </row>
    <row r="829" spans="1:21" ht="15.75" x14ac:dyDescent="0.25">
      <c r="A829" s="1">
        <v>828</v>
      </c>
      <c r="B829" s="2" t="s">
        <v>2592</v>
      </c>
      <c r="C829" s="3">
        <v>45133</v>
      </c>
      <c r="D829" s="3">
        <v>45140</v>
      </c>
      <c r="E829" s="1" t="s">
        <v>22</v>
      </c>
      <c r="F829" s="1" t="s">
        <v>1012</v>
      </c>
      <c r="G829" s="1" t="s">
        <v>1013</v>
      </c>
      <c r="H829" s="1" t="s">
        <v>25</v>
      </c>
      <c r="I829" s="1" t="s">
        <v>26</v>
      </c>
      <c r="J829" s="1" t="s">
        <v>431</v>
      </c>
      <c r="K829" s="1" t="s">
        <v>304</v>
      </c>
      <c r="L829" s="1">
        <v>89031</v>
      </c>
      <c r="M829" s="1" t="s">
        <v>92</v>
      </c>
      <c r="N829" s="1" t="s">
        <v>2623</v>
      </c>
      <c r="O829" s="1" t="s">
        <v>96</v>
      </c>
      <c r="P829" s="1" t="s">
        <v>97</v>
      </c>
      <c r="Q829" s="1" t="s">
        <v>2624</v>
      </c>
      <c r="R829" s="1">
        <v>911.98400000000004</v>
      </c>
      <c r="S829" s="1">
        <v>2</v>
      </c>
      <c r="T829" s="1">
        <v>0.2</v>
      </c>
      <c r="U829" s="1">
        <v>113.99799999999991</v>
      </c>
    </row>
    <row r="830" spans="1:21" ht="15.75" x14ac:dyDescent="0.25">
      <c r="A830" s="1">
        <v>829</v>
      </c>
      <c r="B830" s="2" t="s">
        <v>2625</v>
      </c>
      <c r="C830" s="3">
        <v>45134</v>
      </c>
      <c r="D830" s="3">
        <v>45140</v>
      </c>
      <c r="E830" s="1" t="s">
        <v>22</v>
      </c>
      <c r="F830" s="1" t="s">
        <v>2626</v>
      </c>
      <c r="G830" s="1" t="s">
        <v>2627</v>
      </c>
      <c r="H830" s="1" t="s">
        <v>74</v>
      </c>
      <c r="I830" s="1" t="s">
        <v>26</v>
      </c>
      <c r="J830" s="1" t="s">
        <v>348</v>
      </c>
      <c r="K830" s="1" t="s">
        <v>349</v>
      </c>
      <c r="L830" s="1">
        <v>10035</v>
      </c>
      <c r="M830" s="1" t="s">
        <v>54</v>
      </c>
      <c r="N830" s="1" t="s">
        <v>2628</v>
      </c>
      <c r="O830" s="1" t="s">
        <v>31</v>
      </c>
      <c r="P830" s="1" t="s">
        <v>32</v>
      </c>
      <c r="Q830" s="1" t="s">
        <v>2629</v>
      </c>
      <c r="R830" s="1">
        <v>65.78</v>
      </c>
      <c r="S830" s="1">
        <v>11</v>
      </c>
      <c r="T830" s="1">
        <v>0</v>
      </c>
      <c r="U830" s="1">
        <v>32.232199999999999</v>
      </c>
    </row>
    <row r="831" spans="1:21" ht="15.75" x14ac:dyDescent="0.25">
      <c r="A831" s="1">
        <v>830</v>
      </c>
      <c r="B831" s="2" t="s">
        <v>2630</v>
      </c>
      <c r="C831" s="3">
        <v>45134</v>
      </c>
      <c r="D831" s="3">
        <v>45137</v>
      </c>
      <c r="E831" s="1" t="s">
        <v>87</v>
      </c>
      <c r="F831" s="1" t="s">
        <v>2631</v>
      </c>
      <c r="G831" s="1" t="s">
        <v>2632</v>
      </c>
      <c r="H831" s="1" t="s">
        <v>74</v>
      </c>
      <c r="I831" s="1" t="s">
        <v>26</v>
      </c>
      <c r="J831" s="1" t="s">
        <v>90</v>
      </c>
      <c r="K831" s="1" t="s">
        <v>91</v>
      </c>
      <c r="L831" s="1">
        <v>90036</v>
      </c>
      <c r="M831" s="1" t="s">
        <v>92</v>
      </c>
      <c r="N831" s="1" t="s">
        <v>1376</v>
      </c>
      <c r="O831" s="1" t="s">
        <v>31</v>
      </c>
      <c r="P831" s="1" t="s">
        <v>47</v>
      </c>
      <c r="Q831" s="1" t="s">
        <v>1377</v>
      </c>
      <c r="R831" s="1">
        <v>276.27999999999997</v>
      </c>
      <c r="S831" s="1">
        <v>2</v>
      </c>
      <c r="T831" s="1">
        <v>0</v>
      </c>
      <c r="U831" s="1">
        <v>0</v>
      </c>
    </row>
    <row r="832" spans="1:21" ht="15.75" x14ac:dyDescent="0.25">
      <c r="A832" s="1">
        <v>831</v>
      </c>
      <c r="B832" s="2" t="s">
        <v>2633</v>
      </c>
      <c r="C832" s="3">
        <v>45134</v>
      </c>
      <c r="D832" s="3">
        <v>45136</v>
      </c>
      <c r="E832" s="1" t="s">
        <v>87</v>
      </c>
      <c r="F832" s="1" t="s">
        <v>567</v>
      </c>
      <c r="G832" s="1" t="s">
        <v>568</v>
      </c>
      <c r="H832" s="1" t="s">
        <v>25</v>
      </c>
      <c r="I832" s="1" t="s">
        <v>26</v>
      </c>
      <c r="J832" s="1" t="s">
        <v>138</v>
      </c>
      <c r="K832" s="1" t="s">
        <v>91</v>
      </c>
      <c r="L832" s="1">
        <v>94122</v>
      </c>
      <c r="M832" s="1" t="s">
        <v>92</v>
      </c>
      <c r="N832" s="1" t="s">
        <v>2634</v>
      </c>
      <c r="O832" s="1" t="s">
        <v>96</v>
      </c>
      <c r="P832" s="1" t="s">
        <v>117</v>
      </c>
      <c r="Q832" s="1" t="s">
        <v>2635</v>
      </c>
      <c r="R832" s="1">
        <v>238</v>
      </c>
      <c r="S832" s="1">
        <v>2</v>
      </c>
      <c r="T832" s="1">
        <v>0</v>
      </c>
      <c r="U832" s="1">
        <v>38.080000000000013</v>
      </c>
    </row>
    <row r="833" spans="1:21" ht="15.75" x14ac:dyDescent="0.25">
      <c r="A833" s="1">
        <v>832</v>
      </c>
      <c r="B833" s="2" t="s">
        <v>2636</v>
      </c>
      <c r="C833" s="3">
        <v>45135</v>
      </c>
      <c r="D833" s="3">
        <v>45135</v>
      </c>
      <c r="E833" s="1" t="s">
        <v>497</v>
      </c>
      <c r="F833" s="1" t="s">
        <v>684</v>
      </c>
      <c r="G833" s="1" t="s">
        <v>685</v>
      </c>
      <c r="H833" s="1" t="s">
        <v>25</v>
      </c>
      <c r="I833" s="1" t="s">
        <v>26</v>
      </c>
      <c r="J833" s="1" t="s">
        <v>2637</v>
      </c>
      <c r="K833" s="1" t="s">
        <v>273</v>
      </c>
      <c r="L833" s="1">
        <v>32712</v>
      </c>
      <c r="M833" s="1" t="s">
        <v>63</v>
      </c>
      <c r="N833" s="1" t="s">
        <v>2638</v>
      </c>
      <c r="O833" s="1" t="s">
        <v>65</v>
      </c>
      <c r="P833" s="1" t="s">
        <v>106</v>
      </c>
      <c r="Q833" s="1" t="s">
        <v>2639</v>
      </c>
      <c r="R833" s="1">
        <v>129.88800000000001</v>
      </c>
      <c r="S833" s="1">
        <v>6</v>
      </c>
      <c r="T833" s="1">
        <v>0.2</v>
      </c>
      <c r="U833" s="1">
        <v>12.988799999999991</v>
      </c>
    </row>
    <row r="834" spans="1:21" ht="15.75" x14ac:dyDescent="0.25">
      <c r="A834" s="1">
        <v>833</v>
      </c>
      <c r="B834" s="2" t="s">
        <v>2636</v>
      </c>
      <c r="C834" s="3">
        <v>45135</v>
      </c>
      <c r="D834" s="3">
        <v>45135</v>
      </c>
      <c r="E834" s="1" t="s">
        <v>497</v>
      </c>
      <c r="F834" s="1" t="s">
        <v>684</v>
      </c>
      <c r="G834" s="1" t="s">
        <v>685</v>
      </c>
      <c r="H834" s="1" t="s">
        <v>25</v>
      </c>
      <c r="I834" s="1" t="s">
        <v>26</v>
      </c>
      <c r="J834" s="1" t="s">
        <v>2637</v>
      </c>
      <c r="K834" s="1" t="s">
        <v>273</v>
      </c>
      <c r="L834" s="1">
        <v>32712</v>
      </c>
      <c r="M834" s="1" t="s">
        <v>63</v>
      </c>
      <c r="N834" s="1" t="s">
        <v>2640</v>
      </c>
      <c r="O834" s="1" t="s">
        <v>31</v>
      </c>
      <c r="P834" s="1" t="s">
        <v>166</v>
      </c>
      <c r="Q834" s="1" t="s">
        <v>1982</v>
      </c>
      <c r="R834" s="1">
        <v>48.944000000000003</v>
      </c>
      <c r="S834" s="1">
        <v>7</v>
      </c>
      <c r="T834" s="1">
        <v>0.2</v>
      </c>
      <c r="U834" s="1">
        <v>16.518599999999999</v>
      </c>
    </row>
    <row r="835" spans="1:21" ht="15.75" x14ac:dyDescent="0.25">
      <c r="A835" s="1">
        <v>834</v>
      </c>
      <c r="B835" s="2" t="s">
        <v>2636</v>
      </c>
      <c r="C835" s="3">
        <v>45135</v>
      </c>
      <c r="D835" s="3">
        <v>45135</v>
      </c>
      <c r="E835" s="1" t="s">
        <v>497</v>
      </c>
      <c r="F835" s="1" t="s">
        <v>684</v>
      </c>
      <c r="G835" s="1" t="s">
        <v>685</v>
      </c>
      <c r="H835" s="1" t="s">
        <v>25</v>
      </c>
      <c r="I835" s="1" t="s">
        <v>26</v>
      </c>
      <c r="J835" s="1" t="s">
        <v>2637</v>
      </c>
      <c r="K835" s="1" t="s">
        <v>273</v>
      </c>
      <c r="L835" s="1">
        <v>32712</v>
      </c>
      <c r="M835" s="1" t="s">
        <v>63</v>
      </c>
      <c r="N835" s="1" t="s">
        <v>2641</v>
      </c>
      <c r="O835" s="1" t="s">
        <v>31</v>
      </c>
      <c r="P835" s="1" t="s">
        <v>82</v>
      </c>
      <c r="Q835" s="1" t="s">
        <v>2642</v>
      </c>
      <c r="R835" s="1">
        <v>14.320000000000002</v>
      </c>
      <c r="S835" s="1">
        <v>5</v>
      </c>
      <c r="T835" s="1">
        <v>0.2</v>
      </c>
      <c r="U835" s="1">
        <v>5.1910000000000007</v>
      </c>
    </row>
    <row r="836" spans="1:21" ht="15.75" x14ac:dyDescent="0.25">
      <c r="A836" s="1">
        <v>835</v>
      </c>
      <c r="B836" s="2" t="s">
        <v>2643</v>
      </c>
      <c r="C836" s="3">
        <v>45137</v>
      </c>
      <c r="D836" s="3">
        <v>45143</v>
      </c>
      <c r="E836" s="1" t="s">
        <v>22</v>
      </c>
      <c r="F836" s="1" t="s">
        <v>2644</v>
      </c>
      <c r="G836" s="1" t="s">
        <v>2645</v>
      </c>
      <c r="H836" s="1" t="s">
        <v>74</v>
      </c>
      <c r="I836" s="1" t="s">
        <v>26</v>
      </c>
      <c r="J836" s="1" t="s">
        <v>387</v>
      </c>
      <c r="K836" s="1" t="s">
        <v>388</v>
      </c>
      <c r="L836" s="1">
        <v>98103</v>
      </c>
      <c r="M836" s="1" t="s">
        <v>92</v>
      </c>
      <c r="N836" s="1" t="s">
        <v>2646</v>
      </c>
      <c r="O836" s="1" t="s">
        <v>65</v>
      </c>
      <c r="P836" s="1" t="s">
        <v>140</v>
      </c>
      <c r="Q836" s="1" t="s">
        <v>2647</v>
      </c>
      <c r="R836" s="1">
        <v>1367.84</v>
      </c>
      <c r="S836" s="1">
        <v>8</v>
      </c>
      <c r="T836" s="1">
        <v>0</v>
      </c>
      <c r="U836" s="1">
        <v>259.88959999999997</v>
      </c>
    </row>
    <row r="837" spans="1:21" ht="15.75" x14ac:dyDescent="0.25">
      <c r="A837" s="1">
        <v>836</v>
      </c>
      <c r="B837" s="2" t="s">
        <v>2648</v>
      </c>
      <c r="C837" s="3">
        <v>45139</v>
      </c>
      <c r="D837" s="3">
        <v>45143</v>
      </c>
      <c r="E837" s="1" t="s">
        <v>22</v>
      </c>
      <c r="F837" s="1" t="s">
        <v>2435</v>
      </c>
      <c r="G837" s="1" t="s">
        <v>2436</v>
      </c>
      <c r="H837" s="1" t="s">
        <v>74</v>
      </c>
      <c r="I837" s="1" t="s">
        <v>26</v>
      </c>
      <c r="J837" s="1" t="s">
        <v>2649</v>
      </c>
      <c r="K837" s="1" t="s">
        <v>611</v>
      </c>
      <c r="L837" s="1">
        <v>28205</v>
      </c>
      <c r="M837" s="1" t="s">
        <v>63</v>
      </c>
      <c r="N837" s="1" t="s">
        <v>2373</v>
      </c>
      <c r="O837" s="1" t="s">
        <v>65</v>
      </c>
      <c r="P837" s="1" t="s">
        <v>106</v>
      </c>
      <c r="Q837" s="1" t="s">
        <v>2374</v>
      </c>
      <c r="R837" s="1">
        <v>44.128</v>
      </c>
      <c r="S837" s="1">
        <v>4</v>
      </c>
      <c r="T837" s="1">
        <v>0.2</v>
      </c>
      <c r="U837" s="1">
        <v>12.135200000000001</v>
      </c>
    </row>
    <row r="838" spans="1:21" ht="15.75" x14ac:dyDescent="0.25">
      <c r="A838" s="1">
        <v>837</v>
      </c>
      <c r="B838" s="2" t="s">
        <v>2648</v>
      </c>
      <c r="C838" s="3">
        <v>45139</v>
      </c>
      <c r="D838" s="3">
        <v>45143</v>
      </c>
      <c r="E838" s="1" t="s">
        <v>22</v>
      </c>
      <c r="F838" s="1" t="s">
        <v>2435</v>
      </c>
      <c r="G838" s="1" t="s">
        <v>2436</v>
      </c>
      <c r="H838" s="1" t="s">
        <v>74</v>
      </c>
      <c r="I838" s="1" t="s">
        <v>26</v>
      </c>
      <c r="J838" s="1" t="s">
        <v>2649</v>
      </c>
      <c r="K838" s="1" t="s">
        <v>611</v>
      </c>
      <c r="L838" s="1">
        <v>28205</v>
      </c>
      <c r="M838" s="1" t="s">
        <v>63</v>
      </c>
      <c r="N838" s="1" t="s">
        <v>1869</v>
      </c>
      <c r="O838" s="1" t="s">
        <v>31</v>
      </c>
      <c r="P838" s="1" t="s">
        <v>205</v>
      </c>
      <c r="Q838" s="1" t="s">
        <v>1870</v>
      </c>
      <c r="R838" s="1">
        <v>62.920000000000009</v>
      </c>
      <c r="S838" s="1">
        <v>1</v>
      </c>
      <c r="T838" s="1">
        <v>0.2</v>
      </c>
      <c r="U838" s="1">
        <v>10.224499999999994</v>
      </c>
    </row>
    <row r="839" spans="1:21" ht="15.75" x14ac:dyDescent="0.25">
      <c r="A839" s="1">
        <v>838</v>
      </c>
      <c r="B839" s="2" t="s">
        <v>2650</v>
      </c>
      <c r="C839" s="3">
        <v>45139</v>
      </c>
      <c r="D839" s="3">
        <v>45141</v>
      </c>
      <c r="E839" s="1" t="s">
        <v>71</v>
      </c>
      <c r="F839" s="1" t="s">
        <v>2651</v>
      </c>
      <c r="G839" s="1" t="s">
        <v>2652</v>
      </c>
      <c r="H839" s="1" t="s">
        <v>25</v>
      </c>
      <c r="I839" s="1" t="s">
        <v>26</v>
      </c>
      <c r="J839" s="1" t="s">
        <v>138</v>
      </c>
      <c r="K839" s="1" t="s">
        <v>91</v>
      </c>
      <c r="L839" s="1">
        <v>94122</v>
      </c>
      <c r="M839" s="1" t="s">
        <v>92</v>
      </c>
      <c r="N839" s="1" t="s">
        <v>2653</v>
      </c>
      <c r="O839" s="1" t="s">
        <v>31</v>
      </c>
      <c r="P839" s="1" t="s">
        <v>41</v>
      </c>
      <c r="Q839" s="1" t="s">
        <v>2654</v>
      </c>
      <c r="R839" s="1">
        <v>19.752000000000002</v>
      </c>
      <c r="S839" s="1">
        <v>3</v>
      </c>
      <c r="T839" s="1">
        <v>0.2</v>
      </c>
      <c r="U839" s="1">
        <v>6.9131999999999998</v>
      </c>
    </row>
    <row r="840" spans="1:21" ht="15.75" x14ac:dyDescent="0.25">
      <c r="A840" s="1">
        <v>839</v>
      </c>
      <c r="B840" s="2" t="s">
        <v>2655</v>
      </c>
      <c r="C840" s="3">
        <v>45139</v>
      </c>
      <c r="D840" s="3">
        <v>45144</v>
      </c>
      <c r="E840" s="1" t="s">
        <v>22</v>
      </c>
      <c r="F840" s="1" t="s">
        <v>2656</v>
      </c>
      <c r="G840" s="1" t="s">
        <v>2657</v>
      </c>
      <c r="H840" s="1" t="s">
        <v>37</v>
      </c>
      <c r="I840" s="1" t="s">
        <v>26</v>
      </c>
      <c r="J840" s="1" t="s">
        <v>52</v>
      </c>
      <c r="K840" s="1" t="s">
        <v>53</v>
      </c>
      <c r="L840" s="1">
        <v>19120</v>
      </c>
      <c r="M840" s="1" t="s">
        <v>54</v>
      </c>
      <c r="N840" s="1" t="s">
        <v>2658</v>
      </c>
      <c r="O840" s="1" t="s">
        <v>31</v>
      </c>
      <c r="P840" s="1" t="s">
        <v>82</v>
      </c>
      <c r="Q840" s="1" t="s">
        <v>2659</v>
      </c>
      <c r="R840" s="1">
        <v>5.68</v>
      </c>
      <c r="S840" s="1">
        <v>2</v>
      </c>
      <c r="T840" s="1">
        <v>0.2</v>
      </c>
      <c r="U840" s="1">
        <v>1.9169999999999998</v>
      </c>
    </row>
    <row r="841" spans="1:21" ht="15.75" x14ac:dyDescent="0.25">
      <c r="A841" s="1">
        <v>840</v>
      </c>
      <c r="B841" s="2" t="s">
        <v>2648</v>
      </c>
      <c r="C841" s="3">
        <v>45139</v>
      </c>
      <c r="D841" s="3">
        <v>45143</v>
      </c>
      <c r="E841" s="1" t="s">
        <v>22</v>
      </c>
      <c r="F841" s="1" t="s">
        <v>2435</v>
      </c>
      <c r="G841" s="1" t="s">
        <v>2436</v>
      </c>
      <c r="H841" s="1" t="s">
        <v>74</v>
      </c>
      <c r="I841" s="1" t="s">
        <v>26</v>
      </c>
      <c r="J841" s="1" t="s">
        <v>2649</v>
      </c>
      <c r="K841" s="1" t="s">
        <v>611</v>
      </c>
      <c r="L841" s="1">
        <v>28205</v>
      </c>
      <c r="M841" s="1" t="s">
        <v>63</v>
      </c>
      <c r="N841" s="1" t="s">
        <v>2660</v>
      </c>
      <c r="O841" s="1" t="s">
        <v>31</v>
      </c>
      <c r="P841" s="1" t="s">
        <v>44</v>
      </c>
      <c r="Q841" s="1" t="s">
        <v>2661</v>
      </c>
      <c r="R841" s="1">
        <v>17.544</v>
      </c>
      <c r="S841" s="1">
        <v>3</v>
      </c>
      <c r="T841" s="1">
        <v>0.2</v>
      </c>
      <c r="U841" s="1">
        <v>5.9210999999999983</v>
      </c>
    </row>
    <row r="842" spans="1:21" ht="15.75" x14ac:dyDescent="0.25">
      <c r="A842" s="1">
        <v>841</v>
      </c>
      <c r="B842" s="2" t="s">
        <v>2648</v>
      </c>
      <c r="C842" s="3">
        <v>45139</v>
      </c>
      <c r="D842" s="3">
        <v>45143</v>
      </c>
      <c r="E842" s="1" t="s">
        <v>22</v>
      </c>
      <c r="F842" s="1" t="s">
        <v>2435</v>
      </c>
      <c r="G842" s="1" t="s">
        <v>2436</v>
      </c>
      <c r="H842" s="1" t="s">
        <v>74</v>
      </c>
      <c r="I842" s="1" t="s">
        <v>26</v>
      </c>
      <c r="J842" s="1" t="s">
        <v>2649</v>
      </c>
      <c r="K842" s="1" t="s">
        <v>611</v>
      </c>
      <c r="L842" s="1">
        <v>28205</v>
      </c>
      <c r="M842" s="1" t="s">
        <v>63</v>
      </c>
      <c r="N842" s="1" t="s">
        <v>2662</v>
      </c>
      <c r="O842" s="1" t="s">
        <v>31</v>
      </c>
      <c r="P842" s="1" t="s">
        <v>32</v>
      </c>
      <c r="Q842" s="1" t="s">
        <v>2663</v>
      </c>
      <c r="R842" s="1">
        <v>78.304000000000002</v>
      </c>
      <c r="S842" s="1">
        <v>2</v>
      </c>
      <c r="T842" s="1">
        <v>0.2</v>
      </c>
      <c r="U842" s="1">
        <v>29.363999999999997</v>
      </c>
    </row>
    <row r="843" spans="1:21" ht="15.75" x14ac:dyDescent="0.25">
      <c r="A843" s="1">
        <v>842</v>
      </c>
      <c r="B843" s="2" t="s">
        <v>2664</v>
      </c>
      <c r="C843" s="3">
        <v>45140</v>
      </c>
      <c r="D843" s="3">
        <v>45146</v>
      </c>
      <c r="E843" s="1" t="s">
        <v>22</v>
      </c>
      <c r="F843" s="1" t="s">
        <v>2665</v>
      </c>
      <c r="G843" s="1" t="s">
        <v>2666</v>
      </c>
      <c r="H843" s="1" t="s">
        <v>37</v>
      </c>
      <c r="I843" s="1" t="s">
        <v>26</v>
      </c>
      <c r="J843" s="1" t="s">
        <v>122</v>
      </c>
      <c r="K843" s="1" t="s">
        <v>438</v>
      </c>
      <c r="L843" s="1">
        <v>65807</v>
      </c>
      <c r="M843" s="1" t="s">
        <v>29</v>
      </c>
      <c r="N843" s="1" t="s">
        <v>322</v>
      </c>
      <c r="O843" s="1" t="s">
        <v>31</v>
      </c>
      <c r="P843" s="1" t="s">
        <v>41</v>
      </c>
      <c r="Q843" s="1" t="s">
        <v>323</v>
      </c>
      <c r="R843" s="1">
        <v>26.7</v>
      </c>
      <c r="S843" s="1">
        <v>5</v>
      </c>
      <c r="T843" s="1">
        <v>0</v>
      </c>
      <c r="U843" s="1">
        <v>12.548999999999999</v>
      </c>
    </row>
    <row r="844" spans="1:21" ht="15.75" x14ac:dyDescent="0.25">
      <c r="A844" s="1">
        <v>843</v>
      </c>
      <c r="B844" s="2" t="s">
        <v>2664</v>
      </c>
      <c r="C844" s="3">
        <v>45140</v>
      </c>
      <c r="D844" s="3">
        <v>45146</v>
      </c>
      <c r="E844" s="1" t="s">
        <v>22</v>
      </c>
      <c r="F844" s="1" t="s">
        <v>2665</v>
      </c>
      <c r="G844" s="1" t="s">
        <v>2666</v>
      </c>
      <c r="H844" s="1" t="s">
        <v>37</v>
      </c>
      <c r="I844" s="1" t="s">
        <v>26</v>
      </c>
      <c r="J844" s="1" t="s">
        <v>122</v>
      </c>
      <c r="K844" s="1" t="s">
        <v>438</v>
      </c>
      <c r="L844" s="1">
        <v>65807</v>
      </c>
      <c r="M844" s="1" t="s">
        <v>29</v>
      </c>
      <c r="N844" s="1" t="s">
        <v>2667</v>
      </c>
      <c r="O844" s="1" t="s">
        <v>31</v>
      </c>
      <c r="P844" s="1" t="s">
        <v>47</v>
      </c>
      <c r="Q844" s="1" t="s">
        <v>2668</v>
      </c>
      <c r="R844" s="1">
        <v>838.38</v>
      </c>
      <c r="S844" s="1">
        <v>2</v>
      </c>
      <c r="T844" s="1">
        <v>0</v>
      </c>
      <c r="U844" s="1">
        <v>226.36260000000004</v>
      </c>
    </row>
    <row r="845" spans="1:21" ht="15.75" x14ac:dyDescent="0.25">
      <c r="A845" s="1">
        <v>844</v>
      </c>
      <c r="B845" s="2" t="s">
        <v>2664</v>
      </c>
      <c r="C845" s="3">
        <v>45140</v>
      </c>
      <c r="D845" s="3">
        <v>45146</v>
      </c>
      <c r="E845" s="1" t="s">
        <v>22</v>
      </c>
      <c r="F845" s="1" t="s">
        <v>2665</v>
      </c>
      <c r="G845" s="1" t="s">
        <v>2666</v>
      </c>
      <c r="H845" s="1" t="s">
        <v>37</v>
      </c>
      <c r="I845" s="1" t="s">
        <v>26</v>
      </c>
      <c r="J845" s="1" t="s">
        <v>122</v>
      </c>
      <c r="K845" s="1" t="s">
        <v>438</v>
      </c>
      <c r="L845" s="1">
        <v>65807</v>
      </c>
      <c r="M845" s="1" t="s">
        <v>29</v>
      </c>
      <c r="N845" s="1" t="s">
        <v>2669</v>
      </c>
      <c r="O845" s="1" t="s">
        <v>96</v>
      </c>
      <c r="P845" s="1" t="s">
        <v>117</v>
      </c>
      <c r="Q845" s="1" t="s">
        <v>2670</v>
      </c>
      <c r="R845" s="1">
        <v>21.2</v>
      </c>
      <c r="S845" s="1">
        <v>2</v>
      </c>
      <c r="T845" s="1">
        <v>0</v>
      </c>
      <c r="U845" s="1">
        <v>9.1160000000000014</v>
      </c>
    </row>
    <row r="846" spans="1:21" ht="15.75" x14ac:dyDescent="0.25">
      <c r="A846" s="1">
        <v>845</v>
      </c>
      <c r="B846" s="2" t="s">
        <v>2671</v>
      </c>
      <c r="C846" s="3">
        <v>45141</v>
      </c>
      <c r="D846" s="3">
        <v>45143</v>
      </c>
      <c r="E846" s="1" t="s">
        <v>71</v>
      </c>
      <c r="F846" s="1" t="s">
        <v>1700</v>
      </c>
      <c r="G846" s="1" t="s">
        <v>1701</v>
      </c>
      <c r="H846" s="1" t="s">
        <v>25</v>
      </c>
      <c r="I846" s="1" t="s">
        <v>26</v>
      </c>
      <c r="J846" s="1" t="s">
        <v>673</v>
      </c>
      <c r="K846" s="1" t="s">
        <v>674</v>
      </c>
      <c r="L846" s="1">
        <v>80219</v>
      </c>
      <c r="M846" s="1" t="s">
        <v>92</v>
      </c>
      <c r="N846" s="1" t="s">
        <v>2672</v>
      </c>
      <c r="O846" s="1" t="s">
        <v>65</v>
      </c>
      <c r="P846" s="1" t="s">
        <v>339</v>
      </c>
      <c r="Q846" s="1" t="s">
        <v>2673</v>
      </c>
      <c r="R846" s="1">
        <v>218.75</v>
      </c>
      <c r="S846" s="1">
        <v>2</v>
      </c>
      <c r="T846" s="1">
        <v>0.5</v>
      </c>
      <c r="U846" s="1">
        <v>-161.875</v>
      </c>
    </row>
    <row r="847" spans="1:21" ht="15.75" x14ac:dyDescent="0.25">
      <c r="A847" s="1">
        <v>846</v>
      </c>
      <c r="B847" s="2" t="s">
        <v>2671</v>
      </c>
      <c r="C847" s="3">
        <v>45141</v>
      </c>
      <c r="D847" s="3">
        <v>45143</v>
      </c>
      <c r="E847" s="1" t="s">
        <v>71</v>
      </c>
      <c r="F847" s="1" t="s">
        <v>1700</v>
      </c>
      <c r="G847" s="1" t="s">
        <v>1701</v>
      </c>
      <c r="H847" s="1" t="s">
        <v>25</v>
      </c>
      <c r="I847" s="1" t="s">
        <v>26</v>
      </c>
      <c r="J847" s="1" t="s">
        <v>673</v>
      </c>
      <c r="K847" s="1" t="s">
        <v>674</v>
      </c>
      <c r="L847" s="1">
        <v>80219</v>
      </c>
      <c r="M847" s="1" t="s">
        <v>92</v>
      </c>
      <c r="N847" s="1" t="s">
        <v>2674</v>
      </c>
      <c r="O847" s="1" t="s">
        <v>31</v>
      </c>
      <c r="P847" s="1" t="s">
        <v>205</v>
      </c>
      <c r="Q847" s="1" t="s">
        <v>2675</v>
      </c>
      <c r="R847" s="1">
        <v>2.6</v>
      </c>
      <c r="S847" s="1">
        <v>1</v>
      </c>
      <c r="T847" s="1">
        <v>0.2</v>
      </c>
      <c r="U847" s="1">
        <v>0.29249999999999987</v>
      </c>
    </row>
    <row r="848" spans="1:21" ht="15.75" x14ac:dyDescent="0.25">
      <c r="A848" s="1">
        <v>847</v>
      </c>
      <c r="B848" s="2" t="s">
        <v>2676</v>
      </c>
      <c r="C848" s="3">
        <v>45141</v>
      </c>
      <c r="D848" s="3">
        <v>45146</v>
      </c>
      <c r="E848" s="1" t="s">
        <v>22</v>
      </c>
      <c r="F848" s="1" t="s">
        <v>2677</v>
      </c>
      <c r="G848" s="1" t="s">
        <v>2678</v>
      </c>
      <c r="H848" s="1" t="s">
        <v>25</v>
      </c>
      <c r="I848" s="1" t="s">
        <v>26</v>
      </c>
      <c r="J848" s="1" t="s">
        <v>348</v>
      </c>
      <c r="K848" s="1" t="s">
        <v>349</v>
      </c>
      <c r="L848" s="1">
        <v>10035</v>
      </c>
      <c r="M848" s="1" t="s">
        <v>54</v>
      </c>
      <c r="N848" s="1" t="s">
        <v>2679</v>
      </c>
      <c r="O848" s="1" t="s">
        <v>31</v>
      </c>
      <c r="P848" s="1" t="s">
        <v>32</v>
      </c>
      <c r="Q848" s="1" t="s">
        <v>2680</v>
      </c>
      <c r="R848" s="1">
        <v>39.96</v>
      </c>
      <c r="S848" s="1">
        <v>2</v>
      </c>
      <c r="T848" s="1">
        <v>0</v>
      </c>
      <c r="U848" s="1">
        <v>18.781199999999998</v>
      </c>
    </row>
    <row r="849" spans="1:21" ht="15.75" x14ac:dyDescent="0.25">
      <c r="A849" s="1">
        <v>848</v>
      </c>
      <c r="B849" s="2" t="s">
        <v>2681</v>
      </c>
      <c r="C849" s="3">
        <v>45141</v>
      </c>
      <c r="D849" s="3">
        <v>45143</v>
      </c>
      <c r="E849" s="1" t="s">
        <v>87</v>
      </c>
      <c r="F849" s="1" t="s">
        <v>2360</v>
      </c>
      <c r="G849" s="1" t="s">
        <v>2361</v>
      </c>
      <c r="H849" s="1" t="s">
        <v>37</v>
      </c>
      <c r="I849" s="1" t="s">
        <v>26</v>
      </c>
      <c r="J849" s="1" t="s">
        <v>1238</v>
      </c>
      <c r="K849" s="1" t="s">
        <v>211</v>
      </c>
      <c r="L849" s="1">
        <v>85301</v>
      </c>
      <c r="M849" s="1" t="s">
        <v>92</v>
      </c>
      <c r="N849" s="1" t="s">
        <v>2682</v>
      </c>
      <c r="O849" s="1" t="s">
        <v>31</v>
      </c>
      <c r="P849" s="1" t="s">
        <v>32</v>
      </c>
      <c r="Q849" s="1" t="s">
        <v>2683</v>
      </c>
      <c r="R849" s="1">
        <v>93.024000000000001</v>
      </c>
      <c r="S849" s="1">
        <v>3</v>
      </c>
      <c r="T849" s="1">
        <v>0.2</v>
      </c>
      <c r="U849" s="1">
        <v>33.721199999999996</v>
      </c>
    </row>
    <row r="850" spans="1:21" ht="15.75" x14ac:dyDescent="0.25">
      <c r="A850" s="1">
        <v>849</v>
      </c>
      <c r="B850" s="2" t="s">
        <v>2676</v>
      </c>
      <c r="C850" s="3">
        <v>45141</v>
      </c>
      <c r="D850" s="3">
        <v>45146</v>
      </c>
      <c r="E850" s="1" t="s">
        <v>22</v>
      </c>
      <c r="F850" s="1" t="s">
        <v>2677</v>
      </c>
      <c r="G850" s="1" t="s">
        <v>2678</v>
      </c>
      <c r="H850" s="1" t="s">
        <v>25</v>
      </c>
      <c r="I850" s="1" t="s">
        <v>26</v>
      </c>
      <c r="J850" s="1" t="s">
        <v>348</v>
      </c>
      <c r="K850" s="1" t="s">
        <v>349</v>
      </c>
      <c r="L850" s="1">
        <v>10035</v>
      </c>
      <c r="M850" s="1" t="s">
        <v>54</v>
      </c>
      <c r="N850" s="1" t="s">
        <v>749</v>
      </c>
      <c r="O850" s="1" t="s">
        <v>31</v>
      </c>
      <c r="P850" s="1" t="s">
        <v>47</v>
      </c>
      <c r="Q850" s="1" t="s">
        <v>750</v>
      </c>
      <c r="R850" s="1">
        <v>21.36</v>
      </c>
      <c r="S850" s="1">
        <v>2</v>
      </c>
      <c r="T850" s="1">
        <v>0</v>
      </c>
      <c r="U850" s="1">
        <v>5.7672000000000008</v>
      </c>
    </row>
    <row r="851" spans="1:21" ht="15.75" x14ac:dyDescent="0.25">
      <c r="A851" s="1">
        <v>850</v>
      </c>
      <c r="B851" s="2" t="s">
        <v>2676</v>
      </c>
      <c r="C851" s="3">
        <v>45141</v>
      </c>
      <c r="D851" s="3">
        <v>45146</v>
      </c>
      <c r="E851" s="1" t="s">
        <v>22</v>
      </c>
      <c r="F851" s="1" t="s">
        <v>2677</v>
      </c>
      <c r="G851" s="1" t="s">
        <v>2678</v>
      </c>
      <c r="H851" s="1" t="s">
        <v>25</v>
      </c>
      <c r="I851" s="1" t="s">
        <v>26</v>
      </c>
      <c r="J851" s="1" t="s">
        <v>348</v>
      </c>
      <c r="K851" s="1" t="s">
        <v>349</v>
      </c>
      <c r="L851" s="1">
        <v>10035</v>
      </c>
      <c r="M851" s="1" t="s">
        <v>54</v>
      </c>
      <c r="N851" s="1" t="s">
        <v>2684</v>
      </c>
      <c r="O851" s="1" t="s">
        <v>31</v>
      </c>
      <c r="P851" s="1" t="s">
        <v>475</v>
      </c>
      <c r="Q851" s="1" t="s">
        <v>2685</v>
      </c>
      <c r="R851" s="1">
        <v>102.30000000000001</v>
      </c>
      <c r="S851" s="1">
        <v>10</v>
      </c>
      <c r="T851" s="1">
        <v>0</v>
      </c>
      <c r="U851" s="1">
        <v>26.598000000000006</v>
      </c>
    </row>
    <row r="852" spans="1:21" ht="15.75" x14ac:dyDescent="0.25">
      <c r="A852" s="1">
        <v>851</v>
      </c>
      <c r="B852" s="2" t="s">
        <v>2686</v>
      </c>
      <c r="C852" s="3">
        <v>45142</v>
      </c>
      <c r="D852" s="3">
        <v>45146</v>
      </c>
      <c r="E852" s="1" t="s">
        <v>22</v>
      </c>
      <c r="F852" s="1" t="s">
        <v>465</v>
      </c>
      <c r="G852" s="1" t="s">
        <v>466</v>
      </c>
      <c r="H852" s="1" t="s">
        <v>74</v>
      </c>
      <c r="I852" s="1" t="s">
        <v>26</v>
      </c>
      <c r="J852" s="1" t="s">
        <v>2687</v>
      </c>
      <c r="K852" s="1" t="s">
        <v>2688</v>
      </c>
      <c r="L852" s="1">
        <v>4401</v>
      </c>
      <c r="M852" s="1" t="s">
        <v>54</v>
      </c>
      <c r="N852" s="1" t="s">
        <v>2689</v>
      </c>
      <c r="O852" s="1" t="s">
        <v>31</v>
      </c>
      <c r="P852" s="1" t="s">
        <v>205</v>
      </c>
      <c r="Q852" s="1" t="s">
        <v>2690</v>
      </c>
      <c r="R852" s="1">
        <v>101.96</v>
      </c>
      <c r="S852" s="1">
        <v>2</v>
      </c>
      <c r="T852" s="1">
        <v>0</v>
      </c>
      <c r="U852" s="1">
        <v>27.529200000000003</v>
      </c>
    </row>
    <row r="853" spans="1:21" ht="15.75" x14ac:dyDescent="0.25">
      <c r="A853" s="1">
        <v>852</v>
      </c>
      <c r="B853" s="2" t="s">
        <v>2691</v>
      </c>
      <c r="C853" s="3">
        <v>45142</v>
      </c>
      <c r="D853" s="3">
        <v>45147</v>
      </c>
      <c r="E853" s="1" t="s">
        <v>87</v>
      </c>
      <c r="F853" s="1" t="s">
        <v>2692</v>
      </c>
      <c r="G853" s="1" t="s">
        <v>2693</v>
      </c>
      <c r="H853" s="1" t="s">
        <v>25</v>
      </c>
      <c r="I853" s="1" t="s">
        <v>26</v>
      </c>
      <c r="J853" s="1" t="s">
        <v>2694</v>
      </c>
      <c r="K853" s="1" t="s">
        <v>733</v>
      </c>
      <c r="L853" s="1">
        <v>84062</v>
      </c>
      <c r="M853" s="1" t="s">
        <v>92</v>
      </c>
      <c r="N853" s="1" t="s">
        <v>2695</v>
      </c>
      <c r="O853" s="1" t="s">
        <v>31</v>
      </c>
      <c r="P853" s="1" t="s">
        <v>205</v>
      </c>
      <c r="Q853" s="1" t="s">
        <v>2696</v>
      </c>
      <c r="R853" s="1">
        <v>1089.75</v>
      </c>
      <c r="S853" s="1">
        <v>3</v>
      </c>
      <c r="T853" s="1">
        <v>0</v>
      </c>
      <c r="U853" s="1">
        <v>305.13000000000011</v>
      </c>
    </row>
    <row r="854" spans="1:21" ht="15.75" x14ac:dyDescent="0.25">
      <c r="A854" s="1">
        <v>853</v>
      </c>
      <c r="B854" s="2" t="s">
        <v>2691</v>
      </c>
      <c r="C854" s="3">
        <v>45142</v>
      </c>
      <c r="D854" s="3">
        <v>45147</v>
      </c>
      <c r="E854" s="1" t="s">
        <v>87</v>
      </c>
      <c r="F854" s="1" t="s">
        <v>2692</v>
      </c>
      <c r="G854" s="1" t="s">
        <v>2693</v>
      </c>
      <c r="H854" s="1" t="s">
        <v>25</v>
      </c>
      <c r="I854" s="1" t="s">
        <v>26</v>
      </c>
      <c r="J854" s="1" t="s">
        <v>2694</v>
      </c>
      <c r="K854" s="1" t="s">
        <v>733</v>
      </c>
      <c r="L854" s="1">
        <v>84062</v>
      </c>
      <c r="M854" s="1" t="s">
        <v>92</v>
      </c>
      <c r="N854" s="1" t="s">
        <v>2697</v>
      </c>
      <c r="O854" s="1" t="s">
        <v>31</v>
      </c>
      <c r="P854" s="1" t="s">
        <v>56</v>
      </c>
      <c r="Q854" s="1" t="s">
        <v>2698</v>
      </c>
      <c r="R854" s="1">
        <v>16.399999999999999</v>
      </c>
      <c r="S854" s="1">
        <v>5</v>
      </c>
      <c r="T854" s="1">
        <v>0</v>
      </c>
      <c r="U854" s="1">
        <v>4.2639999999999993</v>
      </c>
    </row>
    <row r="855" spans="1:21" ht="15.75" x14ac:dyDescent="0.25">
      <c r="A855" s="1">
        <v>854</v>
      </c>
      <c r="B855" s="2" t="s">
        <v>2691</v>
      </c>
      <c r="C855" s="3">
        <v>45142</v>
      </c>
      <c r="D855" s="3">
        <v>45147</v>
      </c>
      <c r="E855" s="1" t="s">
        <v>87</v>
      </c>
      <c r="F855" s="1" t="s">
        <v>2692</v>
      </c>
      <c r="G855" s="1" t="s">
        <v>2693</v>
      </c>
      <c r="H855" s="1" t="s">
        <v>25</v>
      </c>
      <c r="I855" s="1" t="s">
        <v>26</v>
      </c>
      <c r="J855" s="1" t="s">
        <v>2694</v>
      </c>
      <c r="K855" s="1" t="s">
        <v>733</v>
      </c>
      <c r="L855" s="1">
        <v>84062</v>
      </c>
      <c r="M855" s="1" t="s">
        <v>92</v>
      </c>
      <c r="N855" s="1" t="s">
        <v>1142</v>
      </c>
      <c r="O855" s="1" t="s">
        <v>31</v>
      </c>
      <c r="P855" s="1" t="s">
        <v>41</v>
      </c>
      <c r="Q855" s="1" t="s">
        <v>1143</v>
      </c>
      <c r="R855" s="1">
        <v>13.184000000000001</v>
      </c>
      <c r="S855" s="1">
        <v>1</v>
      </c>
      <c r="T855" s="1">
        <v>0.2</v>
      </c>
      <c r="U855" s="1">
        <v>4.7792000000000003</v>
      </c>
    </row>
    <row r="856" spans="1:21" ht="15.75" x14ac:dyDescent="0.25">
      <c r="A856" s="1">
        <v>855</v>
      </c>
      <c r="B856" s="2" t="s">
        <v>2691</v>
      </c>
      <c r="C856" s="3">
        <v>45142</v>
      </c>
      <c r="D856" s="3">
        <v>45147</v>
      </c>
      <c r="E856" s="1" t="s">
        <v>87</v>
      </c>
      <c r="F856" s="1" t="s">
        <v>2692</v>
      </c>
      <c r="G856" s="1" t="s">
        <v>2693</v>
      </c>
      <c r="H856" s="1" t="s">
        <v>25</v>
      </c>
      <c r="I856" s="1" t="s">
        <v>26</v>
      </c>
      <c r="J856" s="1" t="s">
        <v>2694</v>
      </c>
      <c r="K856" s="1" t="s">
        <v>733</v>
      </c>
      <c r="L856" s="1">
        <v>84062</v>
      </c>
      <c r="M856" s="1" t="s">
        <v>92</v>
      </c>
      <c r="N856" s="1" t="s">
        <v>2699</v>
      </c>
      <c r="O856" s="1" t="s">
        <v>31</v>
      </c>
      <c r="P856" s="1" t="s">
        <v>32</v>
      </c>
      <c r="Q856" s="1" t="s">
        <v>2700</v>
      </c>
      <c r="R856" s="1">
        <v>447.84</v>
      </c>
      <c r="S856" s="1">
        <v>8</v>
      </c>
      <c r="T856" s="1">
        <v>0</v>
      </c>
      <c r="U856" s="1">
        <v>219.44159999999999</v>
      </c>
    </row>
    <row r="857" spans="1:21" ht="15.75" x14ac:dyDescent="0.25">
      <c r="A857" s="1">
        <v>856</v>
      </c>
      <c r="B857" s="2" t="s">
        <v>2686</v>
      </c>
      <c r="C857" s="3">
        <v>45142</v>
      </c>
      <c r="D857" s="3">
        <v>45146</v>
      </c>
      <c r="E857" s="1" t="s">
        <v>22</v>
      </c>
      <c r="F857" s="1" t="s">
        <v>465</v>
      </c>
      <c r="G857" s="1" t="s">
        <v>466</v>
      </c>
      <c r="H857" s="1" t="s">
        <v>74</v>
      </c>
      <c r="I857" s="1" t="s">
        <v>26</v>
      </c>
      <c r="J857" s="1" t="s">
        <v>2687</v>
      </c>
      <c r="K857" s="1" t="s">
        <v>2688</v>
      </c>
      <c r="L857" s="1">
        <v>4401</v>
      </c>
      <c r="M857" s="1" t="s">
        <v>54</v>
      </c>
      <c r="N857" s="1" t="s">
        <v>1608</v>
      </c>
      <c r="O857" s="1" t="s">
        <v>31</v>
      </c>
      <c r="P857" s="1" t="s">
        <v>32</v>
      </c>
      <c r="Q857" s="1" t="s">
        <v>1609</v>
      </c>
      <c r="R857" s="1">
        <v>259.74</v>
      </c>
      <c r="S857" s="1">
        <v>13</v>
      </c>
      <c r="T857" s="1">
        <v>0</v>
      </c>
      <c r="U857" s="1">
        <v>124.6752</v>
      </c>
    </row>
    <row r="858" spans="1:21" ht="15.75" x14ac:dyDescent="0.25">
      <c r="A858" s="1">
        <v>857</v>
      </c>
      <c r="B858" s="2" t="s">
        <v>2691</v>
      </c>
      <c r="C858" s="3">
        <v>45142</v>
      </c>
      <c r="D858" s="3">
        <v>45147</v>
      </c>
      <c r="E858" s="1" t="s">
        <v>87</v>
      </c>
      <c r="F858" s="1" t="s">
        <v>2692</v>
      </c>
      <c r="G858" s="1" t="s">
        <v>2693</v>
      </c>
      <c r="H858" s="1" t="s">
        <v>25</v>
      </c>
      <c r="I858" s="1" t="s">
        <v>26</v>
      </c>
      <c r="J858" s="1" t="s">
        <v>2694</v>
      </c>
      <c r="K858" s="1" t="s">
        <v>733</v>
      </c>
      <c r="L858" s="1">
        <v>84062</v>
      </c>
      <c r="M858" s="1" t="s">
        <v>92</v>
      </c>
      <c r="N858" s="1" t="s">
        <v>2701</v>
      </c>
      <c r="O858" s="1" t="s">
        <v>31</v>
      </c>
      <c r="P858" s="1" t="s">
        <v>47</v>
      </c>
      <c r="Q858" s="1" t="s">
        <v>2702</v>
      </c>
      <c r="R858" s="1">
        <v>158.9</v>
      </c>
      <c r="S858" s="1">
        <v>5</v>
      </c>
      <c r="T858" s="1">
        <v>0</v>
      </c>
      <c r="U858" s="1">
        <v>7.9449999999999932</v>
      </c>
    </row>
    <row r="859" spans="1:21" ht="15.75" x14ac:dyDescent="0.25">
      <c r="A859" s="1">
        <v>858</v>
      </c>
      <c r="B859" s="2" t="s">
        <v>2686</v>
      </c>
      <c r="C859" s="3">
        <v>45142</v>
      </c>
      <c r="D859" s="3">
        <v>45146</v>
      </c>
      <c r="E859" s="1" t="s">
        <v>22</v>
      </c>
      <c r="F859" s="1" t="s">
        <v>465</v>
      </c>
      <c r="G859" s="1" t="s">
        <v>466</v>
      </c>
      <c r="H859" s="1" t="s">
        <v>74</v>
      </c>
      <c r="I859" s="1" t="s">
        <v>26</v>
      </c>
      <c r="J859" s="1" t="s">
        <v>2687</v>
      </c>
      <c r="K859" s="1" t="s">
        <v>2688</v>
      </c>
      <c r="L859" s="1">
        <v>4401</v>
      </c>
      <c r="M859" s="1" t="s">
        <v>54</v>
      </c>
      <c r="N859" s="1" t="s">
        <v>2703</v>
      </c>
      <c r="O859" s="1" t="s">
        <v>96</v>
      </c>
      <c r="P859" s="1" t="s">
        <v>117</v>
      </c>
      <c r="Q859" s="1" t="s">
        <v>2704</v>
      </c>
      <c r="R859" s="1">
        <v>255.42</v>
      </c>
      <c r="S859" s="1">
        <v>9</v>
      </c>
      <c r="T859" s="1">
        <v>0</v>
      </c>
      <c r="U859" s="1">
        <v>104.7222</v>
      </c>
    </row>
    <row r="860" spans="1:21" ht="15.75" x14ac:dyDescent="0.25">
      <c r="A860" s="1">
        <v>859</v>
      </c>
      <c r="B860" s="2" t="s">
        <v>2691</v>
      </c>
      <c r="C860" s="3">
        <v>45142</v>
      </c>
      <c r="D860" s="3">
        <v>45147</v>
      </c>
      <c r="E860" s="1" t="s">
        <v>87</v>
      </c>
      <c r="F860" s="1" t="s">
        <v>2692</v>
      </c>
      <c r="G860" s="1" t="s">
        <v>2693</v>
      </c>
      <c r="H860" s="1" t="s">
        <v>25</v>
      </c>
      <c r="I860" s="1" t="s">
        <v>26</v>
      </c>
      <c r="J860" s="1" t="s">
        <v>2694</v>
      </c>
      <c r="K860" s="1" t="s">
        <v>733</v>
      </c>
      <c r="L860" s="1">
        <v>84062</v>
      </c>
      <c r="M860" s="1" t="s">
        <v>92</v>
      </c>
      <c r="N860" s="1" t="s">
        <v>2705</v>
      </c>
      <c r="O860" s="1" t="s">
        <v>96</v>
      </c>
      <c r="P860" s="1" t="s">
        <v>97</v>
      </c>
      <c r="Q860" s="1" t="s">
        <v>2706</v>
      </c>
      <c r="R860" s="1">
        <v>399.96000000000004</v>
      </c>
      <c r="S860" s="1">
        <v>5</v>
      </c>
      <c r="T860" s="1">
        <v>0.2</v>
      </c>
      <c r="U860" s="1">
        <v>34.996499999999969</v>
      </c>
    </row>
    <row r="861" spans="1:21" ht="15.75" x14ac:dyDescent="0.25">
      <c r="A861" s="1">
        <v>860</v>
      </c>
      <c r="B861" s="2" t="s">
        <v>2707</v>
      </c>
      <c r="C861" s="3">
        <v>45143</v>
      </c>
      <c r="D861" s="3">
        <v>45145</v>
      </c>
      <c r="E861" s="1" t="s">
        <v>87</v>
      </c>
      <c r="F861" s="1" t="s">
        <v>2708</v>
      </c>
      <c r="G861" s="1" t="s">
        <v>2709</v>
      </c>
      <c r="H861" s="1" t="s">
        <v>74</v>
      </c>
      <c r="I861" s="1" t="s">
        <v>26</v>
      </c>
      <c r="J861" s="1" t="s">
        <v>2152</v>
      </c>
      <c r="K861" s="1" t="s">
        <v>1517</v>
      </c>
      <c r="L861" s="1">
        <v>6450</v>
      </c>
      <c r="M861" s="1" t="s">
        <v>54</v>
      </c>
      <c r="N861" s="1" t="s">
        <v>2710</v>
      </c>
      <c r="O861" s="1" t="s">
        <v>65</v>
      </c>
      <c r="P861" s="1" t="s">
        <v>66</v>
      </c>
      <c r="Q861" s="1" t="s">
        <v>2711</v>
      </c>
      <c r="R861" s="1">
        <v>1133.3499999999999</v>
      </c>
      <c r="S861" s="1">
        <v>5</v>
      </c>
      <c r="T861" s="1">
        <v>0</v>
      </c>
      <c r="U861" s="1">
        <v>294.67100000000005</v>
      </c>
    </row>
    <row r="862" spans="1:21" ht="15.75" x14ac:dyDescent="0.25">
      <c r="A862" s="1">
        <v>861</v>
      </c>
      <c r="B862" s="2" t="s">
        <v>2712</v>
      </c>
      <c r="C862" s="3">
        <v>45143</v>
      </c>
      <c r="D862" s="3">
        <v>45147</v>
      </c>
      <c r="E862" s="1" t="s">
        <v>22</v>
      </c>
      <c r="F862" s="1" t="s">
        <v>2713</v>
      </c>
      <c r="G862" s="1" t="s">
        <v>2714</v>
      </c>
      <c r="H862" s="1" t="s">
        <v>25</v>
      </c>
      <c r="I862" s="1" t="s">
        <v>26</v>
      </c>
      <c r="J862" s="1" t="s">
        <v>90</v>
      </c>
      <c r="K862" s="1" t="s">
        <v>91</v>
      </c>
      <c r="L862" s="1">
        <v>90004</v>
      </c>
      <c r="M862" s="1" t="s">
        <v>92</v>
      </c>
      <c r="N862" s="1" t="s">
        <v>2715</v>
      </c>
      <c r="O862" s="1" t="s">
        <v>65</v>
      </c>
      <c r="P862" s="1" t="s">
        <v>66</v>
      </c>
      <c r="Q862" s="1" t="s">
        <v>2716</v>
      </c>
      <c r="R862" s="1">
        <v>340.14400000000006</v>
      </c>
      <c r="S862" s="1">
        <v>7</v>
      </c>
      <c r="T862" s="1">
        <v>0.2</v>
      </c>
      <c r="U862" s="1">
        <v>21.259</v>
      </c>
    </row>
    <row r="863" spans="1:21" ht="15.75" x14ac:dyDescent="0.25">
      <c r="A863" s="1">
        <v>862</v>
      </c>
      <c r="B863" s="2" t="s">
        <v>2717</v>
      </c>
      <c r="C863" s="3">
        <v>45143</v>
      </c>
      <c r="D863" s="3">
        <v>45150</v>
      </c>
      <c r="E863" s="1" t="s">
        <v>22</v>
      </c>
      <c r="F863" s="1" t="s">
        <v>2718</v>
      </c>
      <c r="G863" s="1" t="s">
        <v>2719</v>
      </c>
      <c r="H863" s="1" t="s">
        <v>25</v>
      </c>
      <c r="I863" s="1" t="s">
        <v>26</v>
      </c>
      <c r="J863" s="1" t="s">
        <v>2720</v>
      </c>
      <c r="K863" s="1" t="s">
        <v>28</v>
      </c>
      <c r="L863" s="1">
        <v>77590</v>
      </c>
      <c r="M863" s="1" t="s">
        <v>29</v>
      </c>
      <c r="N863" s="1" t="s">
        <v>2721</v>
      </c>
      <c r="O863" s="1" t="s">
        <v>65</v>
      </c>
      <c r="P863" s="1" t="s">
        <v>339</v>
      </c>
      <c r="Q863" s="1" t="s">
        <v>2722</v>
      </c>
      <c r="R863" s="1">
        <v>489.22999999999996</v>
      </c>
      <c r="S863" s="1">
        <v>2</v>
      </c>
      <c r="T863" s="1">
        <v>0.3</v>
      </c>
      <c r="U863" s="1">
        <v>41.933999999999997</v>
      </c>
    </row>
    <row r="864" spans="1:21" ht="15.75" x14ac:dyDescent="0.25">
      <c r="A864" s="1">
        <v>863</v>
      </c>
      <c r="B864" s="2" t="s">
        <v>2707</v>
      </c>
      <c r="C864" s="3">
        <v>45143</v>
      </c>
      <c r="D864" s="3">
        <v>45145</v>
      </c>
      <c r="E864" s="1" t="s">
        <v>87</v>
      </c>
      <c r="F864" s="1" t="s">
        <v>2708</v>
      </c>
      <c r="G864" s="1" t="s">
        <v>2709</v>
      </c>
      <c r="H864" s="1" t="s">
        <v>74</v>
      </c>
      <c r="I864" s="1" t="s">
        <v>26</v>
      </c>
      <c r="J864" s="1" t="s">
        <v>2152</v>
      </c>
      <c r="K864" s="1" t="s">
        <v>1517</v>
      </c>
      <c r="L864" s="1">
        <v>6450</v>
      </c>
      <c r="M864" s="1" t="s">
        <v>54</v>
      </c>
      <c r="N864" s="1" t="s">
        <v>1042</v>
      </c>
      <c r="O864" s="1" t="s">
        <v>31</v>
      </c>
      <c r="P864" s="1" t="s">
        <v>205</v>
      </c>
      <c r="Q864" s="1" t="s">
        <v>1043</v>
      </c>
      <c r="R864" s="1">
        <v>79.47</v>
      </c>
      <c r="S864" s="1">
        <v>3</v>
      </c>
      <c r="T864" s="1">
        <v>0</v>
      </c>
      <c r="U864" s="1">
        <v>22.251600000000003</v>
      </c>
    </row>
    <row r="865" spans="1:21" ht="15.75" x14ac:dyDescent="0.25">
      <c r="A865" s="1">
        <v>864</v>
      </c>
      <c r="B865" s="2" t="s">
        <v>2707</v>
      </c>
      <c r="C865" s="3">
        <v>45143</v>
      </c>
      <c r="D865" s="3">
        <v>45145</v>
      </c>
      <c r="E865" s="1" t="s">
        <v>87</v>
      </c>
      <c r="F865" s="1" t="s">
        <v>2708</v>
      </c>
      <c r="G865" s="1" t="s">
        <v>2709</v>
      </c>
      <c r="H865" s="1" t="s">
        <v>74</v>
      </c>
      <c r="I865" s="1" t="s">
        <v>26</v>
      </c>
      <c r="J865" s="1" t="s">
        <v>2152</v>
      </c>
      <c r="K865" s="1" t="s">
        <v>1517</v>
      </c>
      <c r="L865" s="1">
        <v>6450</v>
      </c>
      <c r="M865" s="1" t="s">
        <v>54</v>
      </c>
      <c r="N865" s="1" t="s">
        <v>2723</v>
      </c>
      <c r="O865" s="1" t="s">
        <v>31</v>
      </c>
      <c r="P865" s="1" t="s">
        <v>56</v>
      </c>
      <c r="Q865" s="1" t="s">
        <v>2724</v>
      </c>
      <c r="R865" s="1">
        <v>4.5599999999999996</v>
      </c>
      <c r="S865" s="1">
        <v>2</v>
      </c>
      <c r="T865" s="1">
        <v>0</v>
      </c>
      <c r="U865" s="1">
        <v>2.0064000000000002</v>
      </c>
    </row>
    <row r="866" spans="1:21" ht="15.75" x14ac:dyDescent="0.25">
      <c r="A866" s="1">
        <v>865</v>
      </c>
      <c r="B866" s="2" t="s">
        <v>2725</v>
      </c>
      <c r="C866" s="3">
        <v>45143</v>
      </c>
      <c r="D866" s="3">
        <v>45149</v>
      </c>
      <c r="E866" s="1" t="s">
        <v>22</v>
      </c>
      <c r="F866" s="1" t="s">
        <v>1327</v>
      </c>
      <c r="G866" s="1" t="s">
        <v>1328</v>
      </c>
      <c r="H866" s="1" t="s">
        <v>74</v>
      </c>
      <c r="I866" s="1" t="s">
        <v>26</v>
      </c>
      <c r="J866" s="1" t="s">
        <v>348</v>
      </c>
      <c r="K866" s="1" t="s">
        <v>349</v>
      </c>
      <c r="L866" s="1">
        <v>10009</v>
      </c>
      <c r="M866" s="1" t="s">
        <v>54</v>
      </c>
      <c r="N866" s="1" t="s">
        <v>2723</v>
      </c>
      <c r="O866" s="1" t="s">
        <v>31</v>
      </c>
      <c r="P866" s="1" t="s">
        <v>56</v>
      </c>
      <c r="Q866" s="1" t="s">
        <v>2724</v>
      </c>
      <c r="R866" s="1">
        <v>15.959999999999999</v>
      </c>
      <c r="S866" s="1">
        <v>7</v>
      </c>
      <c r="T866" s="1">
        <v>0</v>
      </c>
      <c r="U866" s="1">
        <v>7.0224000000000011</v>
      </c>
    </row>
    <row r="867" spans="1:21" ht="15.75" x14ac:dyDescent="0.25">
      <c r="A867" s="1">
        <v>866</v>
      </c>
      <c r="B867" s="2" t="s">
        <v>2726</v>
      </c>
      <c r="C867" s="3">
        <v>45143</v>
      </c>
      <c r="D867" s="3">
        <v>45149</v>
      </c>
      <c r="E867" s="1" t="s">
        <v>22</v>
      </c>
      <c r="F867" s="1" t="s">
        <v>2727</v>
      </c>
      <c r="G867" s="1" t="s">
        <v>2728</v>
      </c>
      <c r="H867" s="1" t="s">
        <v>25</v>
      </c>
      <c r="I867" s="1" t="s">
        <v>26</v>
      </c>
      <c r="J867" s="1" t="s">
        <v>138</v>
      </c>
      <c r="K867" s="1" t="s">
        <v>91</v>
      </c>
      <c r="L867" s="1">
        <v>94122</v>
      </c>
      <c r="M867" s="1" t="s">
        <v>92</v>
      </c>
      <c r="N867" s="1" t="s">
        <v>2729</v>
      </c>
      <c r="O867" s="1" t="s">
        <v>31</v>
      </c>
      <c r="P867" s="1" t="s">
        <v>56</v>
      </c>
      <c r="Q867" s="1" t="s">
        <v>2730</v>
      </c>
      <c r="R867" s="1">
        <v>45.98</v>
      </c>
      <c r="S867" s="1">
        <v>2</v>
      </c>
      <c r="T867" s="1">
        <v>0</v>
      </c>
      <c r="U867" s="1">
        <v>12.874400000000001</v>
      </c>
    </row>
    <row r="868" spans="1:21" ht="15.75" x14ac:dyDescent="0.25">
      <c r="A868" s="1">
        <v>867</v>
      </c>
      <c r="B868" s="2" t="s">
        <v>2712</v>
      </c>
      <c r="C868" s="3">
        <v>45143</v>
      </c>
      <c r="D868" s="3">
        <v>45147</v>
      </c>
      <c r="E868" s="1" t="s">
        <v>22</v>
      </c>
      <c r="F868" s="1" t="s">
        <v>2713</v>
      </c>
      <c r="G868" s="1" t="s">
        <v>2714</v>
      </c>
      <c r="H868" s="1" t="s">
        <v>25</v>
      </c>
      <c r="I868" s="1" t="s">
        <v>26</v>
      </c>
      <c r="J868" s="1" t="s">
        <v>90</v>
      </c>
      <c r="K868" s="1" t="s">
        <v>91</v>
      </c>
      <c r="L868" s="1">
        <v>90004</v>
      </c>
      <c r="M868" s="1" t="s">
        <v>92</v>
      </c>
      <c r="N868" s="1" t="s">
        <v>218</v>
      </c>
      <c r="O868" s="1" t="s">
        <v>31</v>
      </c>
      <c r="P868" s="1" t="s">
        <v>32</v>
      </c>
      <c r="Q868" s="1" t="s">
        <v>2731</v>
      </c>
      <c r="R868" s="1">
        <v>20.94</v>
      </c>
      <c r="S868" s="1">
        <v>3</v>
      </c>
      <c r="T868" s="1">
        <v>0</v>
      </c>
      <c r="U868" s="1">
        <v>9.841800000000001</v>
      </c>
    </row>
    <row r="869" spans="1:21" ht="15.75" x14ac:dyDescent="0.25">
      <c r="A869" s="1">
        <v>868</v>
      </c>
      <c r="B869" s="2" t="s">
        <v>2712</v>
      </c>
      <c r="C869" s="3">
        <v>45143</v>
      </c>
      <c r="D869" s="3">
        <v>45147</v>
      </c>
      <c r="E869" s="1" t="s">
        <v>22</v>
      </c>
      <c r="F869" s="1" t="s">
        <v>2713</v>
      </c>
      <c r="G869" s="1" t="s">
        <v>2714</v>
      </c>
      <c r="H869" s="1" t="s">
        <v>25</v>
      </c>
      <c r="I869" s="1" t="s">
        <v>26</v>
      </c>
      <c r="J869" s="1" t="s">
        <v>90</v>
      </c>
      <c r="K869" s="1" t="s">
        <v>91</v>
      </c>
      <c r="L869" s="1">
        <v>90004</v>
      </c>
      <c r="M869" s="1" t="s">
        <v>92</v>
      </c>
      <c r="N869" s="1" t="s">
        <v>2279</v>
      </c>
      <c r="O869" s="1" t="s">
        <v>31</v>
      </c>
      <c r="P869" s="1" t="s">
        <v>32</v>
      </c>
      <c r="Q869" s="1" t="s">
        <v>2280</v>
      </c>
      <c r="R869" s="1">
        <v>110.96</v>
      </c>
      <c r="S869" s="1">
        <v>2</v>
      </c>
      <c r="T869" s="1">
        <v>0</v>
      </c>
      <c r="U869" s="1">
        <v>53.260799999999996</v>
      </c>
    </row>
    <row r="870" spans="1:21" ht="15.75" x14ac:dyDescent="0.25">
      <c r="A870" s="1">
        <v>869</v>
      </c>
      <c r="B870" s="2" t="s">
        <v>2726</v>
      </c>
      <c r="C870" s="3">
        <v>45143</v>
      </c>
      <c r="D870" s="3">
        <v>45149</v>
      </c>
      <c r="E870" s="1" t="s">
        <v>22</v>
      </c>
      <c r="F870" s="1" t="s">
        <v>2727</v>
      </c>
      <c r="G870" s="1" t="s">
        <v>2728</v>
      </c>
      <c r="H870" s="1" t="s">
        <v>25</v>
      </c>
      <c r="I870" s="1" t="s">
        <v>26</v>
      </c>
      <c r="J870" s="1" t="s">
        <v>138</v>
      </c>
      <c r="K870" s="1" t="s">
        <v>91</v>
      </c>
      <c r="L870" s="1">
        <v>94122</v>
      </c>
      <c r="M870" s="1" t="s">
        <v>92</v>
      </c>
      <c r="N870" s="1" t="s">
        <v>507</v>
      </c>
      <c r="O870" s="1" t="s">
        <v>31</v>
      </c>
      <c r="P870" s="1" t="s">
        <v>47</v>
      </c>
      <c r="Q870" s="1" t="s">
        <v>508</v>
      </c>
      <c r="R870" s="1">
        <v>15.78</v>
      </c>
      <c r="S870" s="1">
        <v>2</v>
      </c>
      <c r="T870" s="1">
        <v>0</v>
      </c>
      <c r="U870" s="1">
        <v>0.63119999999999798</v>
      </c>
    </row>
    <row r="871" spans="1:21" ht="15.75" x14ac:dyDescent="0.25">
      <c r="A871" s="1">
        <v>870</v>
      </c>
      <c r="B871" s="2" t="s">
        <v>2726</v>
      </c>
      <c r="C871" s="3">
        <v>45143</v>
      </c>
      <c r="D871" s="3">
        <v>45149</v>
      </c>
      <c r="E871" s="1" t="s">
        <v>22</v>
      </c>
      <c r="F871" s="1" t="s">
        <v>2727</v>
      </c>
      <c r="G871" s="1" t="s">
        <v>2728</v>
      </c>
      <c r="H871" s="1" t="s">
        <v>25</v>
      </c>
      <c r="I871" s="1" t="s">
        <v>26</v>
      </c>
      <c r="J871" s="1" t="s">
        <v>138</v>
      </c>
      <c r="K871" s="1" t="s">
        <v>91</v>
      </c>
      <c r="L871" s="1">
        <v>94122</v>
      </c>
      <c r="M871" s="1" t="s">
        <v>92</v>
      </c>
      <c r="N871" s="1" t="s">
        <v>2732</v>
      </c>
      <c r="O871" s="1" t="s">
        <v>96</v>
      </c>
      <c r="P871" s="1" t="s">
        <v>117</v>
      </c>
      <c r="Q871" s="1" t="s">
        <v>2733</v>
      </c>
      <c r="R871" s="1">
        <v>16.36</v>
      </c>
      <c r="S871" s="1">
        <v>1</v>
      </c>
      <c r="T871" s="1">
        <v>0</v>
      </c>
      <c r="U871" s="1">
        <v>1.6359999999999992</v>
      </c>
    </row>
    <row r="872" spans="1:21" ht="15.75" x14ac:dyDescent="0.25">
      <c r="A872" s="1">
        <v>871</v>
      </c>
      <c r="B872" s="2" t="s">
        <v>2725</v>
      </c>
      <c r="C872" s="3">
        <v>45143</v>
      </c>
      <c r="D872" s="3">
        <v>45149</v>
      </c>
      <c r="E872" s="1" t="s">
        <v>22</v>
      </c>
      <c r="F872" s="1" t="s">
        <v>1327</v>
      </c>
      <c r="G872" s="1" t="s">
        <v>1328</v>
      </c>
      <c r="H872" s="1" t="s">
        <v>74</v>
      </c>
      <c r="I872" s="1" t="s">
        <v>26</v>
      </c>
      <c r="J872" s="1" t="s">
        <v>348</v>
      </c>
      <c r="K872" s="1" t="s">
        <v>349</v>
      </c>
      <c r="L872" s="1">
        <v>10009</v>
      </c>
      <c r="M872" s="1" t="s">
        <v>54</v>
      </c>
      <c r="N872" s="1" t="s">
        <v>2734</v>
      </c>
      <c r="O872" s="1" t="s">
        <v>96</v>
      </c>
      <c r="P872" s="1" t="s">
        <v>97</v>
      </c>
      <c r="Q872" s="1" t="s">
        <v>2735</v>
      </c>
      <c r="R872" s="1">
        <v>135.99</v>
      </c>
      <c r="S872" s="1">
        <v>1</v>
      </c>
      <c r="T872" s="1">
        <v>0</v>
      </c>
      <c r="U872" s="1">
        <v>36.717300000000009</v>
      </c>
    </row>
    <row r="873" spans="1:21" ht="15.75" x14ac:dyDescent="0.25">
      <c r="A873" s="1">
        <v>872</v>
      </c>
      <c r="B873" s="2" t="s">
        <v>2736</v>
      </c>
      <c r="C873" s="3">
        <v>45144</v>
      </c>
      <c r="D873" s="3">
        <v>45149</v>
      </c>
      <c r="E873" s="1" t="s">
        <v>87</v>
      </c>
      <c r="F873" s="1" t="s">
        <v>2737</v>
      </c>
      <c r="G873" s="1" t="s">
        <v>2738</v>
      </c>
      <c r="H873" s="1" t="s">
        <v>25</v>
      </c>
      <c r="I873" s="1" t="s">
        <v>26</v>
      </c>
      <c r="J873" s="1" t="s">
        <v>437</v>
      </c>
      <c r="K873" s="1" t="s">
        <v>146</v>
      </c>
      <c r="L873" s="1">
        <v>29203</v>
      </c>
      <c r="M873" s="1" t="s">
        <v>63</v>
      </c>
      <c r="N873" s="1" t="s">
        <v>2518</v>
      </c>
      <c r="O873" s="1" t="s">
        <v>96</v>
      </c>
      <c r="P873" s="1" t="s">
        <v>117</v>
      </c>
      <c r="Q873" s="1" t="s">
        <v>2519</v>
      </c>
      <c r="R873" s="1">
        <v>62.91</v>
      </c>
      <c r="S873" s="1">
        <v>3</v>
      </c>
      <c r="T873" s="1">
        <v>0</v>
      </c>
      <c r="U873" s="1">
        <v>22.647599999999997</v>
      </c>
    </row>
    <row r="874" spans="1:21" ht="15.75" x14ac:dyDescent="0.25">
      <c r="A874" s="1">
        <v>873</v>
      </c>
      <c r="B874" s="2" t="s">
        <v>2739</v>
      </c>
      <c r="C874" s="3">
        <v>45144</v>
      </c>
      <c r="D874" s="3">
        <v>45149</v>
      </c>
      <c r="E874" s="1" t="s">
        <v>22</v>
      </c>
      <c r="F874" s="1" t="s">
        <v>2740</v>
      </c>
      <c r="G874" s="1" t="s">
        <v>2741</v>
      </c>
      <c r="H874" s="1" t="s">
        <v>25</v>
      </c>
      <c r="I874" s="1" t="s">
        <v>26</v>
      </c>
      <c r="J874" s="1" t="s">
        <v>348</v>
      </c>
      <c r="K874" s="1" t="s">
        <v>349</v>
      </c>
      <c r="L874" s="1">
        <v>10035</v>
      </c>
      <c r="M874" s="1" t="s">
        <v>54</v>
      </c>
      <c r="N874" s="1" t="s">
        <v>2742</v>
      </c>
      <c r="O874" s="1" t="s">
        <v>96</v>
      </c>
      <c r="P874" s="1" t="s">
        <v>117</v>
      </c>
      <c r="Q874" s="1" t="s">
        <v>2743</v>
      </c>
      <c r="R874" s="1">
        <v>199.98</v>
      </c>
      <c r="S874" s="1">
        <v>2</v>
      </c>
      <c r="T874" s="1">
        <v>0</v>
      </c>
      <c r="U874" s="1">
        <v>83.991600000000005</v>
      </c>
    </row>
    <row r="875" spans="1:21" ht="15.75" x14ac:dyDescent="0.25">
      <c r="A875" s="1">
        <v>874</v>
      </c>
      <c r="B875" s="2" t="s">
        <v>2744</v>
      </c>
      <c r="C875" s="3">
        <v>45146</v>
      </c>
      <c r="D875" s="3">
        <v>45148</v>
      </c>
      <c r="E875" s="1" t="s">
        <v>87</v>
      </c>
      <c r="F875" s="1" t="s">
        <v>2745</v>
      </c>
      <c r="G875" s="1" t="s">
        <v>2746</v>
      </c>
      <c r="H875" s="1" t="s">
        <v>25</v>
      </c>
      <c r="I875" s="1" t="s">
        <v>26</v>
      </c>
      <c r="J875" s="1" t="s">
        <v>739</v>
      </c>
      <c r="K875" s="1" t="s">
        <v>273</v>
      </c>
      <c r="L875" s="1">
        <v>32216</v>
      </c>
      <c r="M875" s="1" t="s">
        <v>63</v>
      </c>
      <c r="N875" s="1" t="s">
        <v>2747</v>
      </c>
      <c r="O875" s="1" t="s">
        <v>65</v>
      </c>
      <c r="P875" s="1" t="s">
        <v>140</v>
      </c>
      <c r="Q875" s="1" t="s">
        <v>2748</v>
      </c>
      <c r="R875" s="1">
        <v>155.45600000000002</v>
      </c>
      <c r="S875" s="1">
        <v>4</v>
      </c>
      <c r="T875" s="1">
        <v>0.2</v>
      </c>
      <c r="U875" s="1">
        <v>-7.7727999999999895</v>
      </c>
    </row>
    <row r="876" spans="1:21" ht="15.75" x14ac:dyDescent="0.25">
      <c r="A876" s="1">
        <v>875</v>
      </c>
      <c r="B876" s="2" t="s">
        <v>2749</v>
      </c>
      <c r="C876" s="3">
        <v>45146</v>
      </c>
      <c r="D876" s="3">
        <v>45152</v>
      </c>
      <c r="E876" s="1" t="s">
        <v>22</v>
      </c>
      <c r="F876" s="1" t="s">
        <v>2750</v>
      </c>
      <c r="G876" s="1" t="s">
        <v>2751</v>
      </c>
      <c r="H876" s="1" t="s">
        <v>25</v>
      </c>
      <c r="I876" s="1" t="s">
        <v>26</v>
      </c>
      <c r="J876" s="1" t="s">
        <v>1238</v>
      </c>
      <c r="K876" s="1" t="s">
        <v>211</v>
      </c>
      <c r="L876" s="1">
        <v>85301</v>
      </c>
      <c r="M876" s="1" t="s">
        <v>92</v>
      </c>
      <c r="N876" s="1" t="s">
        <v>2752</v>
      </c>
      <c r="O876" s="1" t="s">
        <v>65</v>
      </c>
      <c r="P876" s="1" t="s">
        <v>106</v>
      </c>
      <c r="Q876" s="1" t="s">
        <v>2753</v>
      </c>
      <c r="R876" s="1">
        <v>121.376</v>
      </c>
      <c r="S876" s="1">
        <v>4</v>
      </c>
      <c r="T876" s="1">
        <v>0.2</v>
      </c>
      <c r="U876" s="1">
        <v>-3.0344000000000122</v>
      </c>
    </row>
    <row r="877" spans="1:21" ht="15.75" x14ac:dyDescent="0.25">
      <c r="A877" s="1">
        <v>876</v>
      </c>
      <c r="B877" s="2" t="s">
        <v>2754</v>
      </c>
      <c r="C877" s="3">
        <v>45146</v>
      </c>
      <c r="D877" s="3">
        <v>45153</v>
      </c>
      <c r="E877" s="1" t="s">
        <v>22</v>
      </c>
      <c r="F877" s="1" t="s">
        <v>2755</v>
      </c>
      <c r="G877" s="1" t="s">
        <v>2756</v>
      </c>
      <c r="H877" s="1" t="s">
        <v>25</v>
      </c>
      <c r="I877" s="1" t="s">
        <v>26</v>
      </c>
      <c r="J877" s="1" t="s">
        <v>337</v>
      </c>
      <c r="K877" s="1" t="s">
        <v>91</v>
      </c>
      <c r="L877" s="1">
        <v>92024</v>
      </c>
      <c r="M877" s="1" t="s">
        <v>92</v>
      </c>
      <c r="N877" s="1" t="s">
        <v>716</v>
      </c>
      <c r="O877" s="1" t="s">
        <v>65</v>
      </c>
      <c r="P877" s="1" t="s">
        <v>106</v>
      </c>
      <c r="Q877" s="1" t="s">
        <v>717</v>
      </c>
      <c r="R877" s="1">
        <v>327.76</v>
      </c>
      <c r="S877" s="1">
        <v>8</v>
      </c>
      <c r="T877" s="1">
        <v>0</v>
      </c>
      <c r="U877" s="1">
        <v>91.772800000000018</v>
      </c>
    </row>
    <row r="878" spans="1:21" ht="15.75" x14ac:dyDescent="0.25">
      <c r="A878" s="1">
        <v>877</v>
      </c>
      <c r="B878" s="2" t="s">
        <v>2757</v>
      </c>
      <c r="C878" s="3">
        <v>45146</v>
      </c>
      <c r="D878" s="3">
        <v>45150</v>
      </c>
      <c r="E878" s="1" t="s">
        <v>22</v>
      </c>
      <c r="F878" s="1" t="s">
        <v>2758</v>
      </c>
      <c r="G878" s="1" t="s">
        <v>2759</v>
      </c>
      <c r="H878" s="1" t="s">
        <v>37</v>
      </c>
      <c r="I878" s="1" t="s">
        <v>26</v>
      </c>
      <c r="J878" s="1" t="s">
        <v>2760</v>
      </c>
      <c r="K878" s="1" t="s">
        <v>231</v>
      </c>
      <c r="L878" s="1">
        <v>48183</v>
      </c>
      <c r="M878" s="1" t="s">
        <v>29</v>
      </c>
      <c r="N878" s="1" t="s">
        <v>2761</v>
      </c>
      <c r="O878" s="1" t="s">
        <v>65</v>
      </c>
      <c r="P878" s="1" t="s">
        <v>106</v>
      </c>
      <c r="Q878" s="1" t="s">
        <v>2762</v>
      </c>
      <c r="R878" s="1">
        <v>53.88</v>
      </c>
      <c r="S878" s="1">
        <v>6</v>
      </c>
      <c r="T878" s="1">
        <v>0</v>
      </c>
      <c r="U878" s="1">
        <v>22.629600000000003</v>
      </c>
    </row>
    <row r="879" spans="1:21" ht="15.75" x14ac:dyDescent="0.25">
      <c r="A879" s="1">
        <v>878</v>
      </c>
      <c r="B879" s="2" t="s">
        <v>2757</v>
      </c>
      <c r="C879" s="3">
        <v>45146</v>
      </c>
      <c r="D879" s="3">
        <v>45150</v>
      </c>
      <c r="E879" s="1" t="s">
        <v>22</v>
      </c>
      <c r="F879" s="1" t="s">
        <v>2758</v>
      </c>
      <c r="G879" s="1" t="s">
        <v>2759</v>
      </c>
      <c r="H879" s="1" t="s">
        <v>37</v>
      </c>
      <c r="I879" s="1" t="s">
        <v>26</v>
      </c>
      <c r="J879" s="1" t="s">
        <v>2760</v>
      </c>
      <c r="K879" s="1" t="s">
        <v>231</v>
      </c>
      <c r="L879" s="1">
        <v>48183</v>
      </c>
      <c r="M879" s="1" t="s">
        <v>29</v>
      </c>
      <c r="N879" s="1" t="s">
        <v>2763</v>
      </c>
      <c r="O879" s="1" t="s">
        <v>31</v>
      </c>
      <c r="P879" s="1" t="s">
        <v>205</v>
      </c>
      <c r="Q879" s="1" t="s">
        <v>2764</v>
      </c>
      <c r="R879" s="1">
        <v>167.535</v>
      </c>
      <c r="S879" s="1">
        <v>3</v>
      </c>
      <c r="T879" s="1">
        <v>0.1</v>
      </c>
      <c r="U879" s="1">
        <v>37.229999999999983</v>
      </c>
    </row>
    <row r="880" spans="1:21" ht="15.75" x14ac:dyDescent="0.25">
      <c r="A880" s="1">
        <v>879</v>
      </c>
      <c r="B880" s="2" t="s">
        <v>2754</v>
      </c>
      <c r="C880" s="3">
        <v>45146</v>
      </c>
      <c r="D880" s="3">
        <v>45153</v>
      </c>
      <c r="E880" s="1" t="s">
        <v>22</v>
      </c>
      <c r="F880" s="1" t="s">
        <v>2755</v>
      </c>
      <c r="G880" s="1" t="s">
        <v>2756</v>
      </c>
      <c r="H880" s="1" t="s">
        <v>25</v>
      </c>
      <c r="I880" s="1" t="s">
        <v>26</v>
      </c>
      <c r="J880" s="1" t="s">
        <v>337</v>
      </c>
      <c r="K880" s="1" t="s">
        <v>91</v>
      </c>
      <c r="L880" s="1">
        <v>92024</v>
      </c>
      <c r="M880" s="1" t="s">
        <v>92</v>
      </c>
      <c r="N880" s="1" t="s">
        <v>2765</v>
      </c>
      <c r="O880" s="1" t="s">
        <v>31</v>
      </c>
      <c r="P880" s="1" t="s">
        <v>205</v>
      </c>
      <c r="Q880" s="1" t="s">
        <v>2766</v>
      </c>
      <c r="R880" s="1">
        <v>76.12</v>
      </c>
      <c r="S880" s="1">
        <v>2</v>
      </c>
      <c r="T880" s="1">
        <v>0</v>
      </c>
      <c r="U880" s="1">
        <v>22.074799999999996</v>
      </c>
    </row>
    <row r="881" spans="1:21" ht="15.75" x14ac:dyDescent="0.25">
      <c r="A881" s="1">
        <v>880</v>
      </c>
      <c r="B881" s="2" t="s">
        <v>2757</v>
      </c>
      <c r="C881" s="3">
        <v>45146</v>
      </c>
      <c r="D881" s="3">
        <v>45150</v>
      </c>
      <c r="E881" s="1" t="s">
        <v>22</v>
      </c>
      <c r="F881" s="1" t="s">
        <v>2758</v>
      </c>
      <c r="G881" s="1" t="s">
        <v>2759</v>
      </c>
      <c r="H881" s="1" t="s">
        <v>37</v>
      </c>
      <c r="I881" s="1" t="s">
        <v>26</v>
      </c>
      <c r="J881" s="1" t="s">
        <v>2760</v>
      </c>
      <c r="K881" s="1" t="s">
        <v>231</v>
      </c>
      <c r="L881" s="1">
        <v>48183</v>
      </c>
      <c r="M881" s="1" t="s">
        <v>29</v>
      </c>
      <c r="N881" s="1" t="s">
        <v>2767</v>
      </c>
      <c r="O881" s="1" t="s">
        <v>31</v>
      </c>
      <c r="P881" s="1" t="s">
        <v>166</v>
      </c>
      <c r="Q881" s="1" t="s">
        <v>2768</v>
      </c>
      <c r="R881" s="1">
        <v>38.339999999999996</v>
      </c>
      <c r="S881" s="1">
        <v>3</v>
      </c>
      <c r="T881" s="1">
        <v>0</v>
      </c>
      <c r="U881" s="1">
        <v>17.253</v>
      </c>
    </row>
    <row r="882" spans="1:21" ht="15.75" x14ac:dyDescent="0.25">
      <c r="A882" s="1">
        <v>881</v>
      </c>
      <c r="B882" s="2" t="s">
        <v>2769</v>
      </c>
      <c r="C882" s="3">
        <v>45146</v>
      </c>
      <c r="D882" s="3">
        <v>45149</v>
      </c>
      <c r="E882" s="1" t="s">
        <v>87</v>
      </c>
      <c r="F882" s="1" t="s">
        <v>523</v>
      </c>
      <c r="G882" s="1" t="s">
        <v>524</v>
      </c>
      <c r="H882" s="1" t="s">
        <v>25</v>
      </c>
      <c r="I882" s="1" t="s">
        <v>26</v>
      </c>
      <c r="J882" s="1" t="s">
        <v>2770</v>
      </c>
      <c r="K882" s="1" t="s">
        <v>91</v>
      </c>
      <c r="L882" s="1">
        <v>95687</v>
      </c>
      <c r="M882" s="1" t="s">
        <v>92</v>
      </c>
      <c r="N882" s="1" t="s">
        <v>2771</v>
      </c>
      <c r="O882" s="1" t="s">
        <v>31</v>
      </c>
      <c r="P882" s="1" t="s">
        <v>47</v>
      </c>
      <c r="Q882" s="1" t="s">
        <v>2772</v>
      </c>
      <c r="R882" s="1">
        <v>423.28</v>
      </c>
      <c r="S882" s="1">
        <v>11</v>
      </c>
      <c r="T882" s="1">
        <v>0</v>
      </c>
      <c r="U882" s="1">
        <v>110.05279999999999</v>
      </c>
    </row>
    <row r="883" spans="1:21" ht="15.75" x14ac:dyDescent="0.25">
      <c r="A883" s="1">
        <v>882</v>
      </c>
      <c r="B883" s="2" t="s">
        <v>2749</v>
      </c>
      <c r="C883" s="3">
        <v>45146</v>
      </c>
      <c r="D883" s="3">
        <v>45152</v>
      </c>
      <c r="E883" s="1" t="s">
        <v>22</v>
      </c>
      <c r="F883" s="1" t="s">
        <v>2750</v>
      </c>
      <c r="G883" s="1" t="s">
        <v>2751</v>
      </c>
      <c r="H883" s="1" t="s">
        <v>25</v>
      </c>
      <c r="I883" s="1" t="s">
        <v>26</v>
      </c>
      <c r="J883" s="1" t="s">
        <v>1238</v>
      </c>
      <c r="K883" s="1" t="s">
        <v>211</v>
      </c>
      <c r="L883" s="1">
        <v>85301</v>
      </c>
      <c r="M883" s="1" t="s">
        <v>92</v>
      </c>
      <c r="N883" s="1" t="s">
        <v>2773</v>
      </c>
      <c r="O883" s="1" t="s">
        <v>96</v>
      </c>
      <c r="P883" s="1" t="s">
        <v>117</v>
      </c>
      <c r="Q883" s="1" t="s">
        <v>2774</v>
      </c>
      <c r="R883" s="1">
        <v>95.976000000000013</v>
      </c>
      <c r="S883" s="1">
        <v>3</v>
      </c>
      <c r="T883" s="1">
        <v>0.2</v>
      </c>
      <c r="U883" s="1">
        <v>-10.797300000000011</v>
      </c>
    </row>
    <row r="884" spans="1:21" ht="15.75" x14ac:dyDescent="0.25">
      <c r="A884" s="1">
        <v>883</v>
      </c>
      <c r="B884" s="2" t="s">
        <v>2757</v>
      </c>
      <c r="C884" s="3">
        <v>45146</v>
      </c>
      <c r="D884" s="3">
        <v>45150</v>
      </c>
      <c r="E884" s="1" t="s">
        <v>22</v>
      </c>
      <c r="F884" s="1" t="s">
        <v>2758</v>
      </c>
      <c r="G884" s="1" t="s">
        <v>2759</v>
      </c>
      <c r="H884" s="1" t="s">
        <v>37</v>
      </c>
      <c r="I884" s="1" t="s">
        <v>26</v>
      </c>
      <c r="J884" s="1" t="s">
        <v>2760</v>
      </c>
      <c r="K884" s="1" t="s">
        <v>231</v>
      </c>
      <c r="L884" s="1">
        <v>48183</v>
      </c>
      <c r="M884" s="1" t="s">
        <v>29</v>
      </c>
      <c r="N884" s="1" t="s">
        <v>2775</v>
      </c>
      <c r="O884" s="1" t="s">
        <v>96</v>
      </c>
      <c r="P884" s="1" t="s">
        <v>1498</v>
      </c>
      <c r="Q884" s="1" t="s">
        <v>2776</v>
      </c>
      <c r="R884" s="1">
        <v>549.99</v>
      </c>
      <c r="S884" s="1">
        <v>1</v>
      </c>
      <c r="T884" s="1">
        <v>0</v>
      </c>
      <c r="U884" s="1">
        <v>274.995</v>
      </c>
    </row>
    <row r="885" spans="1:21" ht="15.75" x14ac:dyDescent="0.25">
      <c r="A885" s="1">
        <v>884</v>
      </c>
      <c r="B885" s="2" t="s">
        <v>2754</v>
      </c>
      <c r="C885" s="3">
        <v>45146</v>
      </c>
      <c r="D885" s="3">
        <v>45153</v>
      </c>
      <c r="E885" s="1" t="s">
        <v>22</v>
      </c>
      <c r="F885" s="1" t="s">
        <v>2755</v>
      </c>
      <c r="G885" s="1" t="s">
        <v>2756</v>
      </c>
      <c r="H885" s="1" t="s">
        <v>25</v>
      </c>
      <c r="I885" s="1" t="s">
        <v>26</v>
      </c>
      <c r="J885" s="1" t="s">
        <v>337</v>
      </c>
      <c r="K885" s="1" t="s">
        <v>91</v>
      </c>
      <c r="L885" s="1">
        <v>92024</v>
      </c>
      <c r="M885" s="1" t="s">
        <v>92</v>
      </c>
      <c r="N885" s="1" t="s">
        <v>2777</v>
      </c>
      <c r="O885" s="1" t="s">
        <v>96</v>
      </c>
      <c r="P885" s="1" t="s">
        <v>1498</v>
      </c>
      <c r="Q885" s="1" t="s">
        <v>2778</v>
      </c>
      <c r="R885" s="1">
        <v>1199.9760000000001</v>
      </c>
      <c r="S885" s="1">
        <v>3</v>
      </c>
      <c r="T885" s="1">
        <v>0.2</v>
      </c>
      <c r="U885" s="1">
        <v>434.99130000000002</v>
      </c>
    </row>
    <row r="886" spans="1:21" ht="15.75" x14ac:dyDescent="0.25">
      <c r="A886" s="1">
        <v>885</v>
      </c>
      <c r="B886" s="2" t="s">
        <v>2757</v>
      </c>
      <c r="C886" s="3">
        <v>45146</v>
      </c>
      <c r="D886" s="3">
        <v>45150</v>
      </c>
      <c r="E886" s="1" t="s">
        <v>22</v>
      </c>
      <c r="F886" s="1" t="s">
        <v>2758</v>
      </c>
      <c r="G886" s="1" t="s">
        <v>2759</v>
      </c>
      <c r="H886" s="1" t="s">
        <v>37</v>
      </c>
      <c r="I886" s="1" t="s">
        <v>26</v>
      </c>
      <c r="J886" s="1" t="s">
        <v>2760</v>
      </c>
      <c r="K886" s="1" t="s">
        <v>231</v>
      </c>
      <c r="L886" s="1">
        <v>48183</v>
      </c>
      <c r="M886" s="1" t="s">
        <v>29</v>
      </c>
      <c r="N886" s="1" t="s">
        <v>1096</v>
      </c>
      <c r="O886" s="1" t="s">
        <v>96</v>
      </c>
      <c r="P886" s="1" t="s">
        <v>97</v>
      </c>
      <c r="Q886" s="1" t="s">
        <v>1097</v>
      </c>
      <c r="R886" s="1">
        <v>299.98</v>
      </c>
      <c r="S886" s="1">
        <v>2</v>
      </c>
      <c r="T886" s="1">
        <v>0</v>
      </c>
      <c r="U886" s="1">
        <v>83.994400000000013</v>
      </c>
    </row>
    <row r="887" spans="1:21" ht="15.75" x14ac:dyDescent="0.25">
      <c r="A887" s="1">
        <v>886</v>
      </c>
      <c r="B887" s="2" t="s">
        <v>2754</v>
      </c>
      <c r="C887" s="3">
        <v>45146</v>
      </c>
      <c r="D887" s="3">
        <v>45153</v>
      </c>
      <c r="E887" s="1" t="s">
        <v>22</v>
      </c>
      <c r="F887" s="1" t="s">
        <v>2755</v>
      </c>
      <c r="G887" s="1" t="s">
        <v>2756</v>
      </c>
      <c r="H887" s="1" t="s">
        <v>25</v>
      </c>
      <c r="I887" s="1" t="s">
        <v>26</v>
      </c>
      <c r="J887" s="1" t="s">
        <v>337</v>
      </c>
      <c r="K887" s="1" t="s">
        <v>91</v>
      </c>
      <c r="L887" s="1">
        <v>92024</v>
      </c>
      <c r="M887" s="1" t="s">
        <v>92</v>
      </c>
      <c r="N887" s="1" t="s">
        <v>2779</v>
      </c>
      <c r="O887" s="1" t="s">
        <v>96</v>
      </c>
      <c r="P887" s="1" t="s">
        <v>97</v>
      </c>
      <c r="Q887" s="1" t="s">
        <v>2780</v>
      </c>
      <c r="R887" s="1">
        <v>445.96000000000004</v>
      </c>
      <c r="S887" s="1">
        <v>5</v>
      </c>
      <c r="T887" s="1">
        <v>0.2</v>
      </c>
      <c r="U887" s="1">
        <v>55.744999999999948</v>
      </c>
    </row>
    <row r="888" spans="1:21" ht="15.75" x14ac:dyDescent="0.25">
      <c r="A888" s="1">
        <v>887</v>
      </c>
      <c r="B888" s="2" t="s">
        <v>2781</v>
      </c>
      <c r="C888" s="3">
        <v>45146</v>
      </c>
      <c r="D888" s="3">
        <v>45148</v>
      </c>
      <c r="E888" s="4" t="s">
        <v>87</v>
      </c>
      <c r="F888" s="4" t="s">
        <v>2782</v>
      </c>
      <c r="G888" s="4" t="s">
        <v>2783</v>
      </c>
      <c r="H888" s="4" t="s">
        <v>25</v>
      </c>
      <c r="I888" s="4" t="s">
        <v>279</v>
      </c>
      <c r="J888" s="4" t="s">
        <v>280</v>
      </c>
      <c r="K888" s="4" t="s">
        <v>281</v>
      </c>
      <c r="L888" s="4" t="s">
        <v>2784</v>
      </c>
      <c r="M888" s="4" t="s">
        <v>54</v>
      </c>
      <c r="N888" s="4" t="s">
        <v>2785</v>
      </c>
      <c r="O888" s="4" t="s">
        <v>31</v>
      </c>
      <c r="P888" s="4" t="s">
        <v>205</v>
      </c>
      <c r="Q888" s="4" t="s">
        <v>2786</v>
      </c>
      <c r="R888" s="4">
        <v>113.92</v>
      </c>
      <c r="S888" s="4">
        <v>2</v>
      </c>
      <c r="T888" s="4">
        <v>0</v>
      </c>
      <c r="U888" s="4">
        <v>33.04</v>
      </c>
    </row>
    <row r="889" spans="1:21" ht="15.75" x14ac:dyDescent="0.25">
      <c r="A889" s="1">
        <v>888</v>
      </c>
      <c r="B889" s="2" t="s">
        <v>2781</v>
      </c>
      <c r="C889" s="3">
        <v>45146</v>
      </c>
      <c r="D889" s="3">
        <v>45148</v>
      </c>
      <c r="E889" s="4" t="s">
        <v>87</v>
      </c>
      <c r="F889" s="4" t="s">
        <v>2782</v>
      </c>
      <c r="G889" s="4" t="s">
        <v>2783</v>
      </c>
      <c r="H889" s="4" t="s">
        <v>25</v>
      </c>
      <c r="I889" s="4" t="s">
        <v>279</v>
      </c>
      <c r="J889" s="4" t="s">
        <v>280</v>
      </c>
      <c r="K889" s="4" t="s">
        <v>281</v>
      </c>
      <c r="L889" s="4" t="s">
        <v>2784</v>
      </c>
      <c r="M889" s="4" t="s">
        <v>54</v>
      </c>
      <c r="N889" s="4" t="s">
        <v>2787</v>
      </c>
      <c r="O889" s="4" t="s">
        <v>31</v>
      </c>
      <c r="P889" s="4" t="s">
        <v>56</v>
      </c>
      <c r="Q889" s="4" t="s">
        <v>2788</v>
      </c>
      <c r="R889" s="4">
        <v>39.659999999999997</v>
      </c>
      <c r="S889" s="4">
        <v>2</v>
      </c>
      <c r="T889" s="4">
        <v>0</v>
      </c>
      <c r="U889" s="4">
        <v>11.9</v>
      </c>
    </row>
    <row r="890" spans="1:21" ht="15.75" x14ac:dyDescent="0.25">
      <c r="A890" s="1">
        <v>889</v>
      </c>
      <c r="B890" s="2" t="s">
        <v>2781</v>
      </c>
      <c r="C890" s="3">
        <v>45146</v>
      </c>
      <c r="D890" s="3">
        <v>45148</v>
      </c>
      <c r="E890" s="4" t="s">
        <v>87</v>
      </c>
      <c r="F890" s="4" t="s">
        <v>2782</v>
      </c>
      <c r="G890" s="4" t="s">
        <v>2783</v>
      </c>
      <c r="H890" s="4" t="s">
        <v>25</v>
      </c>
      <c r="I890" s="4" t="s">
        <v>279</v>
      </c>
      <c r="J890" s="4" t="s">
        <v>280</v>
      </c>
      <c r="K890" s="4" t="s">
        <v>281</v>
      </c>
      <c r="L890" s="4" t="s">
        <v>2784</v>
      </c>
      <c r="M890" s="4" t="s">
        <v>54</v>
      </c>
      <c r="N890" s="4" t="s">
        <v>2789</v>
      </c>
      <c r="O890" s="4" t="s">
        <v>31</v>
      </c>
      <c r="P890" s="4" t="s">
        <v>41</v>
      </c>
      <c r="Q890" s="4" t="s">
        <v>2790</v>
      </c>
      <c r="R890" s="4">
        <v>447.86</v>
      </c>
      <c r="S890" s="4">
        <v>7</v>
      </c>
      <c r="T890" s="4">
        <v>0</v>
      </c>
      <c r="U890" s="4">
        <v>210.49</v>
      </c>
    </row>
    <row r="891" spans="1:21" ht="15.75" x14ac:dyDescent="0.25">
      <c r="A891" s="1">
        <v>890</v>
      </c>
      <c r="B891" s="2" t="s">
        <v>2791</v>
      </c>
      <c r="C891" s="3">
        <v>45147</v>
      </c>
      <c r="D891" s="3">
        <v>45151</v>
      </c>
      <c r="E891" s="1" t="s">
        <v>22</v>
      </c>
      <c r="F891" s="1" t="s">
        <v>2504</v>
      </c>
      <c r="G891" s="1" t="s">
        <v>2505</v>
      </c>
      <c r="H891" s="1" t="s">
        <v>25</v>
      </c>
      <c r="I891" s="1" t="s">
        <v>26</v>
      </c>
      <c r="J891" s="1" t="s">
        <v>2183</v>
      </c>
      <c r="K891" s="1" t="s">
        <v>211</v>
      </c>
      <c r="L891" s="1">
        <v>85023</v>
      </c>
      <c r="M891" s="1" t="s">
        <v>92</v>
      </c>
      <c r="N891" s="1" t="s">
        <v>1047</v>
      </c>
      <c r="O891" s="1" t="s">
        <v>31</v>
      </c>
      <c r="P891" s="1" t="s">
        <v>41</v>
      </c>
      <c r="Q891" s="1" t="s">
        <v>1048</v>
      </c>
      <c r="R891" s="1">
        <v>9.3450000000000024</v>
      </c>
      <c r="S891" s="1">
        <v>5</v>
      </c>
      <c r="T891" s="1">
        <v>0.7</v>
      </c>
      <c r="U891" s="1">
        <v>-6.5414999999999992</v>
      </c>
    </row>
    <row r="892" spans="1:21" ht="15.75" x14ac:dyDescent="0.25">
      <c r="A892" s="1">
        <v>891</v>
      </c>
      <c r="B892" s="2" t="s">
        <v>2792</v>
      </c>
      <c r="C892" s="3">
        <v>45147</v>
      </c>
      <c r="D892" s="3">
        <v>45151</v>
      </c>
      <c r="E892" s="1" t="s">
        <v>22</v>
      </c>
      <c r="F892" s="1" t="s">
        <v>2793</v>
      </c>
      <c r="G892" s="1" t="s">
        <v>2794</v>
      </c>
      <c r="H892" s="1" t="s">
        <v>25</v>
      </c>
      <c r="I892" s="1" t="s">
        <v>26</v>
      </c>
      <c r="J892" s="1" t="s">
        <v>387</v>
      </c>
      <c r="K892" s="1" t="s">
        <v>388</v>
      </c>
      <c r="L892" s="1">
        <v>98103</v>
      </c>
      <c r="M892" s="1" t="s">
        <v>92</v>
      </c>
      <c r="N892" s="1" t="s">
        <v>2795</v>
      </c>
      <c r="O892" s="1" t="s">
        <v>31</v>
      </c>
      <c r="P892" s="1" t="s">
        <v>41</v>
      </c>
      <c r="Q892" s="1" t="s">
        <v>2796</v>
      </c>
      <c r="R892" s="1">
        <v>2060.7440000000001</v>
      </c>
      <c r="S892" s="1">
        <v>7</v>
      </c>
      <c r="T892" s="1">
        <v>0.2</v>
      </c>
      <c r="U892" s="1">
        <v>643.98249999999996</v>
      </c>
    </row>
    <row r="893" spans="1:21" ht="15.75" x14ac:dyDescent="0.25">
      <c r="A893" s="1">
        <v>892</v>
      </c>
      <c r="B893" s="2" t="s">
        <v>2791</v>
      </c>
      <c r="C893" s="3">
        <v>45147</v>
      </c>
      <c r="D893" s="3">
        <v>45151</v>
      </c>
      <c r="E893" s="1" t="s">
        <v>22</v>
      </c>
      <c r="F893" s="1" t="s">
        <v>2504</v>
      </c>
      <c r="G893" s="1" t="s">
        <v>2505</v>
      </c>
      <c r="H893" s="1" t="s">
        <v>25</v>
      </c>
      <c r="I893" s="1" t="s">
        <v>26</v>
      </c>
      <c r="J893" s="1" t="s">
        <v>2183</v>
      </c>
      <c r="K893" s="1" t="s">
        <v>211</v>
      </c>
      <c r="L893" s="1">
        <v>85023</v>
      </c>
      <c r="M893" s="1" t="s">
        <v>92</v>
      </c>
      <c r="N893" s="1" t="s">
        <v>2797</v>
      </c>
      <c r="O893" s="1" t="s">
        <v>31</v>
      </c>
      <c r="P893" s="1" t="s">
        <v>82</v>
      </c>
      <c r="Q893" s="1" t="s">
        <v>2798</v>
      </c>
      <c r="R893" s="1">
        <v>4.4640000000000004</v>
      </c>
      <c r="S893" s="1">
        <v>3</v>
      </c>
      <c r="T893" s="1">
        <v>0.2</v>
      </c>
      <c r="U893" s="1">
        <v>-0.94859999999999989</v>
      </c>
    </row>
    <row r="894" spans="1:21" ht="15.75" x14ac:dyDescent="0.25">
      <c r="A894" s="1">
        <v>893</v>
      </c>
      <c r="B894" s="2" t="s">
        <v>2799</v>
      </c>
      <c r="C894" s="3">
        <v>45147</v>
      </c>
      <c r="D894" s="3">
        <v>45154</v>
      </c>
      <c r="E894" s="1" t="s">
        <v>22</v>
      </c>
      <c r="F894" s="1" t="s">
        <v>2800</v>
      </c>
      <c r="G894" s="1" t="s">
        <v>2801</v>
      </c>
      <c r="H894" s="1" t="s">
        <v>37</v>
      </c>
      <c r="I894" s="1" t="s">
        <v>26</v>
      </c>
      <c r="J894" s="1" t="s">
        <v>337</v>
      </c>
      <c r="K894" s="1" t="s">
        <v>91</v>
      </c>
      <c r="L894" s="1">
        <v>92037</v>
      </c>
      <c r="M894" s="1" t="s">
        <v>92</v>
      </c>
      <c r="N894" s="1" t="s">
        <v>2802</v>
      </c>
      <c r="O894" s="1" t="s">
        <v>31</v>
      </c>
      <c r="P894" s="1" t="s">
        <v>44</v>
      </c>
      <c r="Q894" s="1" t="s">
        <v>2803</v>
      </c>
      <c r="R894" s="1">
        <v>20.88</v>
      </c>
      <c r="S894" s="1">
        <v>8</v>
      </c>
      <c r="T894" s="1">
        <v>0</v>
      </c>
      <c r="U894" s="1">
        <v>9.6047999999999991</v>
      </c>
    </row>
    <row r="895" spans="1:21" ht="15.75" x14ac:dyDescent="0.25">
      <c r="A895" s="1">
        <v>894</v>
      </c>
      <c r="B895" s="2" t="s">
        <v>2804</v>
      </c>
      <c r="C895" s="3">
        <v>45147</v>
      </c>
      <c r="D895" s="3">
        <v>45152</v>
      </c>
      <c r="E895" s="1" t="s">
        <v>22</v>
      </c>
      <c r="F895" s="1" t="s">
        <v>2805</v>
      </c>
      <c r="G895" s="1" t="s">
        <v>2806</v>
      </c>
      <c r="H895" s="1" t="s">
        <v>25</v>
      </c>
      <c r="I895" s="1" t="s">
        <v>26</v>
      </c>
      <c r="J895" s="1" t="s">
        <v>933</v>
      </c>
      <c r="K895" s="1" t="s">
        <v>91</v>
      </c>
      <c r="L895" s="1">
        <v>93727</v>
      </c>
      <c r="M895" s="1" t="s">
        <v>92</v>
      </c>
      <c r="N895" s="1" t="s">
        <v>2807</v>
      </c>
      <c r="O895" s="1" t="s">
        <v>31</v>
      </c>
      <c r="P895" s="1" t="s">
        <v>32</v>
      </c>
      <c r="Q895" s="1" t="s">
        <v>2808</v>
      </c>
      <c r="R895" s="1">
        <v>5.98</v>
      </c>
      <c r="S895" s="1">
        <v>1</v>
      </c>
      <c r="T895" s="1">
        <v>0</v>
      </c>
      <c r="U895" s="1">
        <v>2.6909999999999998</v>
      </c>
    </row>
    <row r="896" spans="1:21" ht="15.75" x14ac:dyDescent="0.25">
      <c r="A896" s="1">
        <v>895</v>
      </c>
      <c r="B896" s="2" t="s">
        <v>2809</v>
      </c>
      <c r="C896" s="3">
        <v>45147</v>
      </c>
      <c r="D896" s="3">
        <v>45154</v>
      </c>
      <c r="E896" s="1" t="s">
        <v>22</v>
      </c>
      <c r="F896" s="1" t="s">
        <v>2810</v>
      </c>
      <c r="G896" s="1" t="s">
        <v>2811</v>
      </c>
      <c r="H896" s="1" t="s">
        <v>74</v>
      </c>
      <c r="I896" s="1" t="s">
        <v>26</v>
      </c>
      <c r="J896" s="1" t="s">
        <v>376</v>
      </c>
      <c r="K896" s="1" t="s">
        <v>273</v>
      </c>
      <c r="L896" s="1">
        <v>33710</v>
      </c>
      <c r="M896" s="1" t="s">
        <v>63</v>
      </c>
      <c r="N896" s="1" t="s">
        <v>2812</v>
      </c>
      <c r="O896" s="1" t="s">
        <v>31</v>
      </c>
      <c r="P896" s="1" t="s">
        <v>32</v>
      </c>
      <c r="Q896" s="1" t="s">
        <v>2813</v>
      </c>
      <c r="R896" s="1">
        <v>15.552000000000003</v>
      </c>
      <c r="S896" s="1">
        <v>3</v>
      </c>
      <c r="T896" s="1">
        <v>0.2</v>
      </c>
      <c r="U896" s="1">
        <v>5.4432</v>
      </c>
    </row>
    <row r="897" spans="1:21" ht="15.75" x14ac:dyDescent="0.25">
      <c r="A897" s="1">
        <v>896</v>
      </c>
      <c r="B897" s="2" t="s">
        <v>2814</v>
      </c>
      <c r="C897" s="3">
        <v>45147</v>
      </c>
      <c r="D897" s="3">
        <v>45151</v>
      </c>
      <c r="E897" s="1" t="s">
        <v>22</v>
      </c>
      <c r="F897" s="1" t="s">
        <v>2815</v>
      </c>
      <c r="G897" s="1" t="s">
        <v>2816</v>
      </c>
      <c r="H897" s="1" t="s">
        <v>37</v>
      </c>
      <c r="I897" s="1" t="s">
        <v>26</v>
      </c>
      <c r="J897" s="1" t="s">
        <v>387</v>
      </c>
      <c r="K897" s="1" t="s">
        <v>388</v>
      </c>
      <c r="L897" s="1">
        <v>98103</v>
      </c>
      <c r="M897" s="1" t="s">
        <v>92</v>
      </c>
      <c r="N897" s="1" t="s">
        <v>2817</v>
      </c>
      <c r="O897" s="1" t="s">
        <v>96</v>
      </c>
      <c r="P897" s="1" t="s">
        <v>97</v>
      </c>
      <c r="Q897" s="1" t="s">
        <v>2818</v>
      </c>
      <c r="R897" s="1">
        <v>219.16800000000001</v>
      </c>
      <c r="S897" s="1">
        <v>2</v>
      </c>
      <c r="T897" s="1">
        <v>0.2</v>
      </c>
      <c r="U897" s="1">
        <v>-43.833600000000018</v>
      </c>
    </row>
    <row r="898" spans="1:21" ht="15.75" x14ac:dyDescent="0.25">
      <c r="A898" s="1">
        <v>897</v>
      </c>
      <c r="B898" s="2" t="s">
        <v>2814</v>
      </c>
      <c r="C898" s="3">
        <v>45147</v>
      </c>
      <c r="D898" s="3">
        <v>45151</v>
      </c>
      <c r="E898" s="1" t="s">
        <v>22</v>
      </c>
      <c r="F898" s="1" t="s">
        <v>2815</v>
      </c>
      <c r="G898" s="1" t="s">
        <v>2816</v>
      </c>
      <c r="H898" s="1" t="s">
        <v>37</v>
      </c>
      <c r="I898" s="1" t="s">
        <v>26</v>
      </c>
      <c r="J898" s="1" t="s">
        <v>387</v>
      </c>
      <c r="K898" s="1" t="s">
        <v>388</v>
      </c>
      <c r="L898" s="1">
        <v>98103</v>
      </c>
      <c r="M898" s="1" t="s">
        <v>92</v>
      </c>
      <c r="N898" s="1" t="s">
        <v>1763</v>
      </c>
      <c r="O898" s="1" t="s">
        <v>96</v>
      </c>
      <c r="P898" s="1" t="s">
        <v>97</v>
      </c>
      <c r="Q898" s="1" t="s">
        <v>2819</v>
      </c>
      <c r="R898" s="1">
        <v>1091.1680000000001</v>
      </c>
      <c r="S898" s="1">
        <v>4</v>
      </c>
      <c r="T898" s="1">
        <v>0.2</v>
      </c>
      <c r="U898" s="1">
        <v>68.197999999999979</v>
      </c>
    </row>
    <row r="899" spans="1:21" ht="15.75" x14ac:dyDescent="0.25">
      <c r="A899" s="1">
        <v>898</v>
      </c>
      <c r="B899" s="2" t="s">
        <v>2809</v>
      </c>
      <c r="C899" s="3">
        <v>45147</v>
      </c>
      <c r="D899" s="3">
        <v>45154</v>
      </c>
      <c r="E899" s="1" t="s">
        <v>22</v>
      </c>
      <c r="F899" s="1" t="s">
        <v>2810</v>
      </c>
      <c r="G899" s="1" t="s">
        <v>2811</v>
      </c>
      <c r="H899" s="1" t="s">
        <v>74</v>
      </c>
      <c r="I899" s="1" t="s">
        <v>26</v>
      </c>
      <c r="J899" s="1" t="s">
        <v>376</v>
      </c>
      <c r="K899" s="1" t="s">
        <v>273</v>
      </c>
      <c r="L899" s="1">
        <v>33710</v>
      </c>
      <c r="M899" s="1" t="s">
        <v>63</v>
      </c>
      <c r="N899" s="1" t="s">
        <v>2779</v>
      </c>
      <c r="O899" s="1" t="s">
        <v>96</v>
      </c>
      <c r="P899" s="1" t="s">
        <v>97</v>
      </c>
      <c r="Q899" s="1" t="s">
        <v>2780</v>
      </c>
      <c r="R899" s="1">
        <v>178.38400000000001</v>
      </c>
      <c r="S899" s="1">
        <v>2</v>
      </c>
      <c r="T899" s="1">
        <v>0.2</v>
      </c>
      <c r="U899" s="1">
        <v>22.297999999999973</v>
      </c>
    </row>
    <row r="900" spans="1:21" ht="15.75" x14ac:dyDescent="0.25">
      <c r="A900" s="1">
        <v>899</v>
      </c>
      <c r="B900" s="2" t="s">
        <v>2820</v>
      </c>
      <c r="C900" s="3">
        <v>45149</v>
      </c>
      <c r="D900" s="3">
        <v>45153</v>
      </c>
      <c r="E900" s="1" t="s">
        <v>22</v>
      </c>
      <c r="F900" s="1" t="s">
        <v>1598</v>
      </c>
      <c r="G900" s="1" t="s">
        <v>1599</v>
      </c>
      <c r="H900" s="1" t="s">
        <v>25</v>
      </c>
      <c r="I900" s="1" t="s">
        <v>26</v>
      </c>
      <c r="J900" s="1" t="s">
        <v>387</v>
      </c>
      <c r="K900" s="1" t="s">
        <v>388</v>
      </c>
      <c r="L900" s="1">
        <v>98105</v>
      </c>
      <c r="M900" s="1" t="s">
        <v>92</v>
      </c>
      <c r="N900" s="1" t="s">
        <v>2821</v>
      </c>
      <c r="O900" s="1" t="s">
        <v>65</v>
      </c>
      <c r="P900" s="1" t="s">
        <v>106</v>
      </c>
      <c r="Q900" s="1" t="s">
        <v>2822</v>
      </c>
      <c r="R900" s="1">
        <v>12.35</v>
      </c>
      <c r="S900" s="1">
        <v>1</v>
      </c>
      <c r="T900" s="1">
        <v>0</v>
      </c>
      <c r="U900" s="1">
        <v>5.4340000000000002</v>
      </c>
    </row>
    <row r="901" spans="1:21" ht="15.75" x14ac:dyDescent="0.25">
      <c r="A901" s="1">
        <v>900</v>
      </c>
      <c r="B901" s="2" t="s">
        <v>2820</v>
      </c>
      <c r="C901" s="3">
        <v>45149</v>
      </c>
      <c r="D901" s="3">
        <v>45153</v>
      </c>
      <c r="E901" s="1" t="s">
        <v>22</v>
      </c>
      <c r="F901" s="1" t="s">
        <v>1598</v>
      </c>
      <c r="G901" s="1" t="s">
        <v>1599</v>
      </c>
      <c r="H901" s="1" t="s">
        <v>25</v>
      </c>
      <c r="I901" s="1" t="s">
        <v>26</v>
      </c>
      <c r="J901" s="1" t="s">
        <v>387</v>
      </c>
      <c r="K901" s="1" t="s">
        <v>388</v>
      </c>
      <c r="L901" s="1">
        <v>98105</v>
      </c>
      <c r="M901" s="1" t="s">
        <v>92</v>
      </c>
      <c r="N901" s="1" t="s">
        <v>2823</v>
      </c>
      <c r="O901" s="1" t="s">
        <v>31</v>
      </c>
      <c r="P901" s="1" t="s">
        <v>56</v>
      </c>
      <c r="Q901" s="1" t="s">
        <v>2824</v>
      </c>
      <c r="R901" s="1">
        <v>40.97</v>
      </c>
      <c r="S901" s="1">
        <v>1</v>
      </c>
      <c r="T901" s="1">
        <v>0</v>
      </c>
      <c r="U901" s="1">
        <v>10.652200000000001</v>
      </c>
    </row>
    <row r="902" spans="1:21" ht="15.75" x14ac:dyDescent="0.25">
      <c r="A902" s="1">
        <v>901</v>
      </c>
      <c r="B902" s="2" t="s">
        <v>2820</v>
      </c>
      <c r="C902" s="3">
        <v>45149</v>
      </c>
      <c r="D902" s="3">
        <v>45153</v>
      </c>
      <c r="E902" s="1" t="s">
        <v>22</v>
      </c>
      <c r="F902" s="1" t="s">
        <v>1598</v>
      </c>
      <c r="G902" s="1" t="s">
        <v>1599</v>
      </c>
      <c r="H902" s="1" t="s">
        <v>25</v>
      </c>
      <c r="I902" s="1" t="s">
        <v>26</v>
      </c>
      <c r="J902" s="1" t="s">
        <v>387</v>
      </c>
      <c r="K902" s="1" t="s">
        <v>388</v>
      </c>
      <c r="L902" s="1">
        <v>98105</v>
      </c>
      <c r="M902" s="1" t="s">
        <v>92</v>
      </c>
      <c r="N902" s="1" t="s">
        <v>2825</v>
      </c>
      <c r="O902" s="1" t="s">
        <v>31</v>
      </c>
      <c r="P902" s="1" t="s">
        <v>82</v>
      </c>
      <c r="Q902" s="1" t="s">
        <v>2826</v>
      </c>
      <c r="R902" s="1">
        <v>22.96</v>
      </c>
      <c r="S902" s="1">
        <v>2</v>
      </c>
      <c r="T902" s="1">
        <v>0</v>
      </c>
      <c r="U902" s="1">
        <v>10.7912</v>
      </c>
    </row>
    <row r="903" spans="1:21" ht="15.75" x14ac:dyDescent="0.25">
      <c r="A903" s="1">
        <v>902</v>
      </c>
      <c r="B903" s="2" t="s">
        <v>2827</v>
      </c>
      <c r="C903" s="3">
        <v>45149</v>
      </c>
      <c r="D903" s="3">
        <v>45154</v>
      </c>
      <c r="E903" s="1" t="s">
        <v>22</v>
      </c>
      <c r="F903" s="1" t="s">
        <v>2577</v>
      </c>
      <c r="G903" s="1" t="s">
        <v>2578</v>
      </c>
      <c r="H903" s="1" t="s">
        <v>25</v>
      </c>
      <c r="I903" s="1" t="s">
        <v>26</v>
      </c>
      <c r="J903" s="1" t="s">
        <v>348</v>
      </c>
      <c r="K903" s="1" t="s">
        <v>349</v>
      </c>
      <c r="L903" s="1">
        <v>10035</v>
      </c>
      <c r="M903" s="1" t="s">
        <v>54</v>
      </c>
      <c r="N903" s="1" t="s">
        <v>2828</v>
      </c>
      <c r="O903" s="1" t="s">
        <v>31</v>
      </c>
      <c r="P903" s="1" t="s">
        <v>47</v>
      </c>
      <c r="Q903" s="1" t="s">
        <v>2829</v>
      </c>
      <c r="R903" s="1">
        <v>375.34</v>
      </c>
      <c r="S903" s="1">
        <v>1</v>
      </c>
      <c r="T903" s="1">
        <v>0</v>
      </c>
      <c r="U903" s="1">
        <v>18.766999999999996</v>
      </c>
    </row>
    <row r="904" spans="1:21" ht="15.75" x14ac:dyDescent="0.25">
      <c r="A904" s="1">
        <v>903</v>
      </c>
      <c r="B904" s="2" t="s">
        <v>2830</v>
      </c>
      <c r="C904" s="3">
        <v>45150</v>
      </c>
      <c r="D904" s="3">
        <v>45154</v>
      </c>
      <c r="E904" s="1" t="s">
        <v>22</v>
      </c>
      <c r="F904" s="1" t="s">
        <v>2831</v>
      </c>
      <c r="G904" s="1" t="s">
        <v>2832</v>
      </c>
      <c r="H904" s="1" t="s">
        <v>25</v>
      </c>
      <c r="I904" s="1" t="s">
        <v>26</v>
      </c>
      <c r="J904" s="1" t="s">
        <v>138</v>
      </c>
      <c r="K904" s="1" t="s">
        <v>91</v>
      </c>
      <c r="L904" s="1">
        <v>94122</v>
      </c>
      <c r="M904" s="1" t="s">
        <v>92</v>
      </c>
      <c r="N904" s="1" t="s">
        <v>1957</v>
      </c>
      <c r="O904" s="1" t="s">
        <v>65</v>
      </c>
      <c r="P904" s="1" t="s">
        <v>106</v>
      </c>
      <c r="Q904" s="1" t="s">
        <v>1958</v>
      </c>
      <c r="R904" s="1">
        <v>85.44</v>
      </c>
      <c r="S904" s="1">
        <v>3</v>
      </c>
      <c r="T904" s="1">
        <v>0</v>
      </c>
      <c r="U904" s="1">
        <v>31.612800000000004</v>
      </c>
    </row>
    <row r="905" spans="1:21" ht="15.75" x14ac:dyDescent="0.25">
      <c r="A905" s="1">
        <v>904</v>
      </c>
      <c r="B905" s="2" t="s">
        <v>2833</v>
      </c>
      <c r="C905" s="3">
        <v>45150</v>
      </c>
      <c r="D905" s="3">
        <v>45154</v>
      </c>
      <c r="E905" s="1" t="s">
        <v>22</v>
      </c>
      <c r="F905" s="1" t="s">
        <v>2834</v>
      </c>
      <c r="G905" s="1" t="s">
        <v>2835</v>
      </c>
      <c r="H905" s="1" t="s">
        <v>37</v>
      </c>
      <c r="I905" s="1" t="s">
        <v>26</v>
      </c>
      <c r="J905" s="1" t="s">
        <v>272</v>
      </c>
      <c r="K905" s="1" t="s">
        <v>273</v>
      </c>
      <c r="L905" s="1">
        <v>33180</v>
      </c>
      <c r="M905" s="1" t="s">
        <v>63</v>
      </c>
      <c r="N905" s="1" t="s">
        <v>2836</v>
      </c>
      <c r="O905" s="1" t="s">
        <v>31</v>
      </c>
      <c r="P905" s="1" t="s">
        <v>205</v>
      </c>
      <c r="Q905" s="1" t="s">
        <v>2837</v>
      </c>
      <c r="R905" s="1">
        <v>211.24799999999999</v>
      </c>
      <c r="S905" s="1">
        <v>6</v>
      </c>
      <c r="T905" s="1">
        <v>0.2</v>
      </c>
      <c r="U905" s="1">
        <v>15.843599999999995</v>
      </c>
    </row>
    <row r="906" spans="1:21" ht="15.75" x14ac:dyDescent="0.25">
      <c r="A906" s="1">
        <v>905</v>
      </c>
      <c r="B906" s="2" t="s">
        <v>2833</v>
      </c>
      <c r="C906" s="3">
        <v>45150</v>
      </c>
      <c r="D906" s="3">
        <v>45154</v>
      </c>
      <c r="E906" s="1" t="s">
        <v>22</v>
      </c>
      <c r="F906" s="1" t="s">
        <v>2834</v>
      </c>
      <c r="G906" s="1" t="s">
        <v>2835</v>
      </c>
      <c r="H906" s="1" t="s">
        <v>37</v>
      </c>
      <c r="I906" s="1" t="s">
        <v>26</v>
      </c>
      <c r="J906" s="1" t="s">
        <v>272</v>
      </c>
      <c r="K906" s="1" t="s">
        <v>273</v>
      </c>
      <c r="L906" s="1">
        <v>33180</v>
      </c>
      <c r="M906" s="1" t="s">
        <v>63</v>
      </c>
      <c r="N906" s="1" t="s">
        <v>2838</v>
      </c>
      <c r="O906" s="1" t="s">
        <v>31</v>
      </c>
      <c r="P906" s="1" t="s">
        <v>56</v>
      </c>
      <c r="Q906" s="1" t="s">
        <v>2839</v>
      </c>
      <c r="R906" s="1">
        <v>47.96</v>
      </c>
      <c r="S906" s="1">
        <v>5</v>
      </c>
      <c r="T906" s="1">
        <v>0.2</v>
      </c>
      <c r="U906" s="1">
        <v>4.196499999999995</v>
      </c>
    </row>
    <row r="907" spans="1:21" ht="15.75" x14ac:dyDescent="0.25">
      <c r="A907" s="1">
        <v>906</v>
      </c>
      <c r="B907" s="2" t="s">
        <v>2840</v>
      </c>
      <c r="C907" s="3">
        <v>45150</v>
      </c>
      <c r="D907" s="3">
        <v>45151</v>
      </c>
      <c r="E907" s="1" t="s">
        <v>71</v>
      </c>
      <c r="F907" s="1" t="s">
        <v>1470</v>
      </c>
      <c r="G907" s="1" t="s">
        <v>1471</v>
      </c>
      <c r="H907" s="1" t="s">
        <v>25</v>
      </c>
      <c r="I907" s="1" t="s">
        <v>26</v>
      </c>
      <c r="J907" s="1" t="s">
        <v>525</v>
      </c>
      <c r="K907" s="1" t="s">
        <v>76</v>
      </c>
      <c r="L907" s="1">
        <v>30188</v>
      </c>
      <c r="M907" s="1" t="s">
        <v>63</v>
      </c>
      <c r="N907" s="1" t="s">
        <v>2841</v>
      </c>
      <c r="O907" s="1" t="s">
        <v>31</v>
      </c>
      <c r="P907" s="1" t="s">
        <v>41</v>
      </c>
      <c r="Q907" s="1" t="s">
        <v>2842</v>
      </c>
      <c r="R907" s="1">
        <v>14.04</v>
      </c>
      <c r="S907" s="1">
        <v>3</v>
      </c>
      <c r="T907" s="1">
        <v>0</v>
      </c>
      <c r="U907" s="1">
        <v>6.7392000000000003</v>
      </c>
    </row>
    <row r="908" spans="1:21" ht="15.75" x14ac:dyDescent="0.25">
      <c r="A908" s="1">
        <v>907</v>
      </c>
      <c r="B908" s="2" t="s">
        <v>2843</v>
      </c>
      <c r="C908" s="3">
        <v>45150</v>
      </c>
      <c r="D908" s="3">
        <v>45154</v>
      </c>
      <c r="E908" s="1" t="s">
        <v>22</v>
      </c>
      <c r="F908" s="1" t="s">
        <v>2844</v>
      </c>
      <c r="G908" s="1" t="s">
        <v>2845</v>
      </c>
      <c r="H908" s="1" t="s">
        <v>74</v>
      </c>
      <c r="I908" s="1" t="s">
        <v>26</v>
      </c>
      <c r="J908" s="1" t="s">
        <v>1912</v>
      </c>
      <c r="K908" s="1" t="s">
        <v>425</v>
      </c>
      <c r="L908" s="1">
        <v>8701</v>
      </c>
      <c r="M908" s="1" t="s">
        <v>54</v>
      </c>
      <c r="N908" s="1" t="s">
        <v>2846</v>
      </c>
      <c r="O908" s="1" t="s">
        <v>31</v>
      </c>
      <c r="P908" s="1" t="s">
        <v>41</v>
      </c>
      <c r="Q908" s="1" t="s">
        <v>2847</v>
      </c>
      <c r="R908" s="1">
        <v>196.21</v>
      </c>
      <c r="S908" s="1">
        <v>7</v>
      </c>
      <c r="T908" s="1">
        <v>0</v>
      </c>
      <c r="U908" s="1">
        <v>98.105000000000004</v>
      </c>
    </row>
    <row r="909" spans="1:21" ht="15.75" x14ac:dyDescent="0.25">
      <c r="A909" s="1">
        <v>908</v>
      </c>
      <c r="B909" s="2" t="s">
        <v>2833</v>
      </c>
      <c r="C909" s="3">
        <v>45150</v>
      </c>
      <c r="D909" s="3">
        <v>45154</v>
      </c>
      <c r="E909" s="1" t="s">
        <v>22</v>
      </c>
      <c r="F909" s="1" t="s">
        <v>2834</v>
      </c>
      <c r="G909" s="1" t="s">
        <v>2835</v>
      </c>
      <c r="H909" s="1" t="s">
        <v>37</v>
      </c>
      <c r="I909" s="1" t="s">
        <v>26</v>
      </c>
      <c r="J909" s="1" t="s">
        <v>272</v>
      </c>
      <c r="K909" s="1" t="s">
        <v>273</v>
      </c>
      <c r="L909" s="1">
        <v>33180</v>
      </c>
      <c r="M909" s="1" t="s">
        <v>63</v>
      </c>
      <c r="N909" s="1" t="s">
        <v>854</v>
      </c>
      <c r="O909" s="1" t="s">
        <v>31</v>
      </c>
      <c r="P909" s="1" t="s">
        <v>44</v>
      </c>
      <c r="Q909" s="1" t="s">
        <v>855</v>
      </c>
      <c r="R909" s="1">
        <v>2.952</v>
      </c>
      <c r="S909" s="1">
        <v>1</v>
      </c>
      <c r="T909" s="1">
        <v>0.2</v>
      </c>
      <c r="U909" s="1">
        <v>0.99629999999999996</v>
      </c>
    </row>
    <row r="910" spans="1:21" ht="15.75" x14ac:dyDescent="0.25">
      <c r="A910" s="1">
        <v>909</v>
      </c>
      <c r="B910" s="2" t="s">
        <v>2833</v>
      </c>
      <c r="C910" s="3">
        <v>45150</v>
      </c>
      <c r="D910" s="3">
        <v>45154</v>
      </c>
      <c r="E910" s="1" t="s">
        <v>22</v>
      </c>
      <c r="F910" s="1" t="s">
        <v>2834</v>
      </c>
      <c r="G910" s="1" t="s">
        <v>2835</v>
      </c>
      <c r="H910" s="1" t="s">
        <v>37</v>
      </c>
      <c r="I910" s="1" t="s">
        <v>26</v>
      </c>
      <c r="J910" s="1" t="s">
        <v>272</v>
      </c>
      <c r="K910" s="1" t="s">
        <v>273</v>
      </c>
      <c r="L910" s="1">
        <v>33180</v>
      </c>
      <c r="M910" s="1" t="s">
        <v>63</v>
      </c>
      <c r="N910" s="1" t="s">
        <v>2848</v>
      </c>
      <c r="O910" s="1" t="s">
        <v>31</v>
      </c>
      <c r="P910" s="1" t="s">
        <v>32</v>
      </c>
      <c r="Q910" s="1" t="s">
        <v>2849</v>
      </c>
      <c r="R910" s="1">
        <v>31.104000000000006</v>
      </c>
      <c r="S910" s="1">
        <v>6</v>
      </c>
      <c r="T910" s="1">
        <v>0.2</v>
      </c>
      <c r="U910" s="1">
        <v>10.8864</v>
      </c>
    </row>
    <row r="911" spans="1:21" ht="15.75" x14ac:dyDescent="0.25">
      <c r="A911" s="1">
        <v>910</v>
      </c>
      <c r="B911" s="2" t="s">
        <v>2833</v>
      </c>
      <c r="C911" s="3">
        <v>45150</v>
      </c>
      <c r="D911" s="3">
        <v>45154</v>
      </c>
      <c r="E911" s="1" t="s">
        <v>22</v>
      </c>
      <c r="F911" s="1" t="s">
        <v>2834</v>
      </c>
      <c r="G911" s="1" t="s">
        <v>2835</v>
      </c>
      <c r="H911" s="1" t="s">
        <v>37</v>
      </c>
      <c r="I911" s="1" t="s">
        <v>26</v>
      </c>
      <c r="J911" s="1" t="s">
        <v>272</v>
      </c>
      <c r="K911" s="1" t="s">
        <v>273</v>
      </c>
      <c r="L911" s="1">
        <v>33180</v>
      </c>
      <c r="M911" s="1" t="s">
        <v>63</v>
      </c>
      <c r="N911" s="1" t="s">
        <v>2850</v>
      </c>
      <c r="O911" s="1" t="s">
        <v>31</v>
      </c>
      <c r="P911" s="1" t="s">
        <v>475</v>
      </c>
      <c r="Q911" s="1" t="s">
        <v>2851</v>
      </c>
      <c r="R911" s="1">
        <v>5.5520000000000005</v>
      </c>
      <c r="S911" s="1">
        <v>2</v>
      </c>
      <c r="T911" s="1">
        <v>0.2</v>
      </c>
      <c r="U911" s="1">
        <v>-1.0410000000000006</v>
      </c>
    </row>
    <row r="912" spans="1:21" ht="15.75" x14ac:dyDescent="0.25">
      <c r="A912" s="1">
        <v>911</v>
      </c>
      <c r="B912" s="2" t="s">
        <v>2840</v>
      </c>
      <c r="C912" s="3">
        <v>45150</v>
      </c>
      <c r="D912" s="3">
        <v>45151</v>
      </c>
      <c r="E912" s="1" t="s">
        <v>71</v>
      </c>
      <c r="F912" s="1" t="s">
        <v>1470</v>
      </c>
      <c r="G912" s="1" t="s">
        <v>1471</v>
      </c>
      <c r="H912" s="1" t="s">
        <v>25</v>
      </c>
      <c r="I912" s="1" t="s">
        <v>26</v>
      </c>
      <c r="J912" s="1" t="s">
        <v>525</v>
      </c>
      <c r="K912" s="1" t="s">
        <v>76</v>
      </c>
      <c r="L912" s="1">
        <v>30188</v>
      </c>
      <c r="M912" s="1" t="s">
        <v>63</v>
      </c>
      <c r="N912" s="1" t="s">
        <v>2518</v>
      </c>
      <c r="O912" s="1" t="s">
        <v>96</v>
      </c>
      <c r="P912" s="1" t="s">
        <v>117</v>
      </c>
      <c r="Q912" s="1" t="s">
        <v>2519</v>
      </c>
      <c r="R912" s="1">
        <v>272.61</v>
      </c>
      <c r="S912" s="1">
        <v>13</v>
      </c>
      <c r="T912" s="1">
        <v>0</v>
      </c>
      <c r="U912" s="1">
        <v>98.139599999999987</v>
      </c>
    </row>
    <row r="913" spans="1:21" ht="15.75" x14ac:dyDescent="0.25">
      <c r="A913" s="1">
        <v>912</v>
      </c>
      <c r="B913" s="2" t="s">
        <v>2833</v>
      </c>
      <c r="C913" s="3">
        <v>45150</v>
      </c>
      <c r="D913" s="3">
        <v>45154</v>
      </c>
      <c r="E913" s="1" t="s">
        <v>22</v>
      </c>
      <c r="F913" s="1" t="s">
        <v>2834</v>
      </c>
      <c r="G913" s="1" t="s">
        <v>2835</v>
      </c>
      <c r="H913" s="1" t="s">
        <v>37</v>
      </c>
      <c r="I913" s="1" t="s">
        <v>26</v>
      </c>
      <c r="J913" s="1" t="s">
        <v>272</v>
      </c>
      <c r="K913" s="1" t="s">
        <v>273</v>
      </c>
      <c r="L913" s="1">
        <v>33180</v>
      </c>
      <c r="M913" s="1" t="s">
        <v>63</v>
      </c>
      <c r="N913" s="1" t="s">
        <v>2703</v>
      </c>
      <c r="O913" s="1" t="s">
        <v>96</v>
      </c>
      <c r="P913" s="1" t="s">
        <v>117</v>
      </c>
      <c r="Q913" s="1" t="s">
        <v>2704</v>
      </c>
      <c r="R913" s="1">
        <v>158.928</v>
      </c>
      <c r="S913" s="1">
        <v>7</v>
      </c>
      <c r="T913" s="1">
        <v>0.2</v>
      </c>
      <c r="U913" s="1">
        <v>41.718599999999995</v>
      </c>
    </row>
    <row r="914" spans="1:21" ht="15.75" x14ac:dyDescent="0.25">
      <c r="A914" s="1">
        <v>913</v>
      </c>
      <c r="B914" s="2" t="s">
        <v>2830</v>
      </c>
      <c r="C914" s="3">
        <v>45150</v>
      </c>
      <c r="D914" s="3">
        <v>45154</v>
      </c>
      <c r="E914" s="1" t="s">
        <v>22</v>
      </c>
      <c r="F914" s="1" t="s">
        <v>2831</v>
      </c>
      <c r="G914" s="1" t="s">
        <v>2832</v>
      </c>
      <c r="H914" s="1" t="s">
        <v>25</v>
      </c>
      <c r="I914" s="1" t="s">
        <v>26</v>
      </c>
      <c r="J914" s="1" t="s">
        <v>138</v>
      </c>
      <c r="K914" s="1" t="s">
        <v>91</v>
      </c>
      <c r="L914" s="1">
        <v>94122</v>
      </c>
      <c r="M914" s="1" t="s">
        <v>92</v>
      </c>
      <c r="N914" s="1" t="s">
        <v>2852</v>
      </c>
      <c r="O914" s="1" t="s">
        <v>96</v>
      </c>
      <c r="P914" s="1" t="s">
        <v>97</v>
      </c>
      <c r="Q914" s="1" t="s">
        <v>2853</v>
      </c>
      <c r="R914" s="1">
        <v>806.33600000000001</v>
      </c>
      <c r="S914" s="1">
        <v>8</v>
      </c>
      <c r="T914" s="1">
        <v>0.2</v>
      </c>
      <c r="U914" s="1">
        <v>50.396000000000015</v>
      </c>
    </row>
    <row r="915" spans="1:21" ht="15.75" x14ac:dyDescent="0.25">
      <c r="A915" s="1">
        <v>914</v>
      </c>
      <c r="B915" s="2" t="s">
        <v>2854</v>
      </c>
      <c r="C915" s="3">
        <v>45153</v>
      </c>
      <c r="D915" s="3">
        <v>45157</v>
      </c>
      <c r="E915" s="1" t="s">
        <v>22</v>
      </c>
      <c r="F915" s="1" t="s">
        <v>136</v>
      </c>
      <c r="G915" s="1" t="s">
        <v>137</v>
      </c>
      <c r="H915" s="1" t="s">
        <v>25</v>
      </c>
      <c r="I915" s="1" t="s">
        <v>26</v>
      </c>
      <c r="J915" s="1" t="s">
        <v>138</v>
      </c>
      <c r="K915" s="1" t="s">
        <v>91</v>
      </c>
      <c r="L915" s="1">
        <v>94122</v>
      </c>
      <c r="M915" s="1" t="s">
        <v>92</v>
      </c>
      <c r="N915" s="1" t="s">
        <v>2855</v>
      </c>
      <c r="O915" s="1" t="s">
        <v>65</v>
      </c>
      <c r="P915" s="1" t="s">
        <v>66</v>
      </c>
      <c r="Q915" s="1" t="s">
        <v>2856</v>
      </c>
      <c r="R915" s="1">
        <v>195.136</v>
      </c>
      <c r="S915" s="1">
        <v>4</v>
      </c>
      <c r="T915" s="1">
        <v>0.2</v>
      </c>
      <c r="U915" s="1">
        <v>-12.196000000000005</v>
      </c>
    </row>
    <row r="916" spans="1:21" ht="15.75" x14ac:dyDescent="0.25">
      <c r="A916" s="1">
        <v>915</v>
      </c>
      <c r="B916" s="2" t="s">
        <v>2854</v>
      </c>
      <c r="C916" s="3">
        <v>45153</v>
      </c>
      <c r="D916" s="3">
        <v>45157</v>
      </c>
      <c r="E916" s="1" t="s">
        <v>22</v>
      </c>
      <c r="F916" s="1" t="s">
        <v>136</v>
      </c>
      <c r="G916" s="1" t="s">
        <v>137</v>
      </c>
      <c r="H916" s="1" t="s">
        <v>25</v>
      </c>
      <c r="I916" s="1" t="s">
        <v>26</v>
      </c>
      <c r="J916" s="1" t="s">
        <v>138</v>
      </c>
      <c r="K916" s="1" t="s">
        <v>91</v>
      </c>
      <c r="L916" s="1">
        <v>94122</v>
      </c>
      <c r="M916" s="1" t="s">
        <v>92</v>
      </c>
      <c r="N916" s="1" t="s">
        <v>2857</v>
      </c>
      <c r="O916" s="1" t="s">
        <v>31</v>
      </c>
      <c r="P916" s="1" t="s">
        <v>205</v>
      </c>
      <c r="Q916" s="1" t="s">
        <v>2858</v>
      </c>
      <c r="R916" s="1">
        <v>152.91</v>
      </c>
      <c r="S916" s="1">
        <v>3</v>
      </c>
      <c r="T916" s="1">
        <v>0</v>
      </c>
      <c r="U916" s="1">
        <v>42.814799999999998</v>
      </c>
    </row>
    <row r="917" spans="1:21" ht="15.75" x14ac:dyDescent="0.25">
      <c r="A917" s="1">
        <v>916</v>
      </c>
      <c r="B917" s="2" t="s">
        <v>2859</v>
      </c>
      <c r="C917" s="3">
        <v>45153</v>
      </c>
      <c r="D917" s="3">
        <v>45155</v>
      </c>
      <c r="E917" s="1" t="s">
        <v>71</v>
      </c>
      <c r="F917" s="1" t="s">
        <v>2860</v>
      </c>
      <c r="G917" s="1" t="s">
        <v>2861</v>
      </c>
      <c r="H917" s="1" t="s">
        <v>25</v>
      </c>
      <c r="I917" s="1" t="s">
        <v>26</v>
      </c>
      <c r="J917" s="1" t="s">
        <v>2862</v>
      </c>
      <c r="K917" s="1" t="s">
        <v>273</v>
      </c>
      <c r="L917" s="1">
        <v>33021</v>
      </c>
      <c r="M917" s="1" t="s">
        <v>63</v>
      </c>
      <c r="N917" s="1" t="s">
        <v>2765</v>
      </c>
      <c r="O917" s="1" t="s">
        <v>31</v>
      </c>
      <c r="P917" s="1" t="s">
        <v>205</v>
      </c>
      <c r="Q917" s="1" t="s">
        <v>2766</v>
      </c>
      <c r="R917" s="1">
        <v>152.24</v>
      </c>
      <c r="S917" s="1">
        <v>5</v>
      </c>
      <c r="T917" s="1">
        <v>0.2</v>
      </c>
      <c r="U917" s="1">
        <v>17.126999999999988</v>
      </c>
    </row>
    <row r="918" spans="1:21" ht="15.75" x14ac:dyDescent="0.25">
      <c r="A918" s="1">
        <v>917</v>
      </c>
      <c r="B918" s="2" t="s">
        <v>2863</v>
      </c>
      <c r="C918" s="3">
        <v>45153</v>
      </c>
      <c r="D918" s="3">
        <v>45156</v>
      </c>
      <c r="E918" s="1" t="s">
        <v>71</v>
      </c>
      <c r="F918" s="1" t="s">
        <v>2860</v>
      </c>
      <c r="G918" s="1" t="s">
        <v>2861</v>
      </c>
      <c r="H918" s="1" t="s">
        <v>25</v>
      </c>
      <c r="I918" s="1" t="s">
        <v>26</v>
      </c>
      <c r="J918" s="1" t="s">
        <v>2864</v>
      </c>
      <c r="K918" s="1" t="s">
        <v>1517</v>
      </c>
      <c r="L918" s="1">
        <v>6824</v>
      </c>
      <c r="M918" s="1" t="s">
        <v>54</v>
      </c>
      <c r="N918" s="1" t="s">
        <v>2865</v>
      </c>
      <c r="O918" s="1" t="s">
        <v>31</v>
      </c>
      <c r="P918" s="1" t="s">
        <v>41</v>
      </c>
      <c r="Q918" s="1" t="s">
        <v>2866</v>
      </c>
      <c r="R918" s="1">
        <v>62.94</v>
      </c>
      <c r="S918" s="1">
        <v>3</v>
      </c>
      <c r="T918" s="1">
        <v>0</v>
      </c>
      <c r="U918" s="1">
        <v>30.211199999999998</v>
      </c>
    </row>
    <row r="919" spans="1:21" ht="15.75" x14ac:dyDescent="0.25">
      <c r="A919" s="1">
        <v>918</v>
      </c>
      <c r="B919" s="2" t="s">
        <v>2854</v>
      </c>
      <c r="C919" s="3">
        <v>45153</v>
      </c>
      <c r="D919" s="3">
        <v>45157</v>
      </c>
      <c r="E919" s="1" t="s">
        <v>22</v>
      </c>
      <c r="F919" s="1" t="s">
        <v>136</v>
      </c>
      <c r="G919" s="1" t="s">
        <v>137</v>
      </c>
      <c r="H919" s="1" t="s">
        <v>25</v>
      </c>
      <c r="I919" s="1" t="s">
        <v>26</v>
      </c>
      <c r="J919" s="1" t="s">
        <v>138</v>
      </c>
      <c r="K919" s="1" t="s">
        <v>91</v>
      </c>
      <c r="L919" s="1">
        <v>94122</v>
      </c>
      <c r="M919" s="1" t="s">
        <v>92</v>
      </c>
      <c r="N919" s="1" t="s">
        <v>2867</v>
      </c>
      <c r="O919" s="1" t="s">
        <v>31</v>
      </c>
      <c r="P919" s="1" t="s">
        <v>41</v>
      </c>
      <c r="Q919" s="1" t="s">
        <v>2868</v>
      </c>
      <c r="R919" s="1">
        <v>17.856000000000002</v>
      </c>
      <c r="S919" s="1">
        <v>4</v>
      </c>
      <c r="T919" s="1">
        <v>0.2</v>
      </c>
      <c r="U919" s="1">
        <v>6.2495999999999992</v>
      </c>
    </row>
    <row r="920" spans="1:21" ht="15.75" x14ac:dyDescent="0.25">
      <c r="A920" s="1">
        <v>919</v>
      </c>
      <c r="B920" s="2" t="s">
        <v>2869</v>
      </c>
      <c r="C920" s="3">
        <v>45153</v>
      </c>
      <c r="D920" s="3">
        <v>45156</v>
      </c>
      <c r="E920" s="1" t="s">
        <v>71</v>
      </c>
      <c r="F920" s="1" t="s">
        <v>2870</v>
      </c>
      <c r="G920" s="1" t="s">
        <v>2871</v>
      </c>
      <c r="H920" s="1" t="s">
        <v>25</v>
      </c>
      <c r="I920" s="1" t="s">
        <v>26</v>
      </c>
      <c r="J920" s="1" t="s">
        <v>487</v>
      </c>
      <c r="K920" s="1" t="s">
        <v>28</v>
      </c>
      <c r="L920" s="1">
        <v>75081</v>
      </c>
      <c r="M920" s="1" t="s">
        <v>29</v>
      </c>
      <c r="N920" s="1" t="s">
        <v>1354</v>
      </c>
      <c r="O920" s="1" t="s">
        <v>31</v>
      </c>
      <c r="P920" s="1" t="s">
        <v>41</v>
      </c>
      <c r="Q920" s="1" t="s">
        <v>1355</v>
      </c>
      <c r="R920" s="1">
        <v>30.959999999999994</v>
      </c>
      <c r="S920" s="1">
        <v>8</v>
      </c>
      <c r="T920" s="1">
        <v>0.8</v>
      </c>
      <c r="U920" s="1">
        <v>-52.632000000000019</v>
      </c>
    </row>
    <row r="921" spans="1:21" ht="15.75" x14ac:dyDescent="0.25">
      <c r="A921" s="1">
        <v>920</v>
      </c>
      <c r="B921" s="2" t="s">
        <v>2854</v>
      </c>
      <c r="C921" s="3">
        <v>45153</v>
      </c>
      <c r="D921" s="3">
        <v>45157</v>
      </c>
      <c r="E921" s="1" t="s">
        <v>22</v>
      </c>
      <c r="F921" s="1" t="s">
        <v>136</v>
      </c>
      <c r="G921" s="1" t="s">
        <v>137</v>
      </c>
      <c r="H921" s="1" t="s">
        <v>25</v>
      </c>
      <c r="I921" s="1" t="s">
        <v>26</v>
      </c>
      <c r="J921" s="1" t="s">
        <v>138</v>
      </c>
      <c r="K921" s="1" t="s">
        <v>91</v>
      </c>
      <c r="L921" s="1">
        <v>94122</v>
      </c>
      <c r="M921" s="1" t="s">
        <v>92</v>
      </c>
      <c r="N921" s="1" t="s">
        <v>1354</v>
      </c>
      <c r="O921" s="1" t="s">
        <v>31</v>
      </c>
      <c r="P921" s="1" t="s">
        <v>41</v>
      </c>
      <c r="Q921" s="1" t="s">
        <v>1355</v>
      </c>
      <c r="R921" s="1">
        <v>46.440000000000005</v>
      </c>
      <c r="S921" s="1">
        <v>3</v>
      </c>
      <c r="T921" s="1">
        <v>0.2</v>
      </c>
      <c r="U921" s="1">
        <v>15.092999999999998</v>
      </c>
    </row>
    <row r="922" spans="1:21" ht="15.75" x14ac:dyDescent="0.25">
      <c r="A922" s="1">
        <v>921</v>
      </c>
      <c r="B922" s="2" t="s">
        <v>2854</v>
      </c>
      <c r="C922" s="3">
        <v>45153</v>
      </c>
      <c r="D922" s="3">
        <v>45157</v>
      </c>
      <c r="E922" s="1" t="s">
        <v>22</v>
      </c>
      <c r="F922" s="1" t="s">
        <v>136</v>
      </c>
      <c r="G922" s="1" t="s">
        <v>137</v>
      </c>
      <c r="H922" s="1" t="s">
        <v>25</v>
      </c>
      <c r="I922" s="1" t="s">
        <v>26</v>
      </c>
      <c r="J922" s="1" t="s">
        <v>138</v>
      </c>
      <c r="K922" s="1" t="s">
        <v>91</v>
      </c>
      <c r="L922" s="1">
        <v>94122</v>
      </c>
      <c r="M922" s="1" t="s">
        <v>92</v>
      </c>
      <c r="N922" s="1" t="s">
        <v>2112</v>
      </c>
      <c r="O922" s="1" t="s">
        <v>31</v>
      </c>
      <c r="P922" s="1" t="s">
        <v>32</v>
      </c>
      <c r="Q922" s="1" t="s">
        <v>2113</v>
      </c>
      <c r="R922" s="1">
        <v>92.94</v>
      </c>
      <c r="S922" s="1">
        <v>3</v>
      </c>
      <c r="T922" s="1">
        <v>0</v>
      </c>
      <c r="U922" s="1">
        <v>41.822999999999993</v>
      </c>
    </row>
    <row r="923" spans="1:21" ht="15.75" x14ac:dyDescent="0.25">
      <c r="A923" s="1">
        <v>922</v>
      </c>
      <c r="B923" s="2" t="s">
        <v>2859</v>
      </c>
      <c r="C923" s="3">
        <v>45153</v>
      </c>
      <c r="D923" s="3">
        <v>45155</v>
      </c>
      <c r="E923" s="1" t="s">
        <v>71</v>
      </c>
      <c r="F923" s="1" t="s">
        <v>2860</v>
      </c>
      <c r="G923" s="1" t="s">
        <v>2861</v>
      </c>
      <c r="H923" s="1" t="s">
        <v>25</v>
      </c>
      <c r="I923" s="1" t="s">
        <v>26</v>
      </c>
      <c r="J923" s="1" t="s">
        <v>2862</v>
      </c>
      <c r="K923" s="1" t="s">
        <v>273</v>
      </c>
      <c r="L923" s="1">
        <v>33021</v>
      </c>
      <c r="M923" s="1" t="s">
        <v>63</v>
      </c>
      <c r="N923" s="1" t="s">
        <v>2872</v>
      </c>
      <c r="O923" s="1" t="s">
        <v>31</v>
      </c>
      <c r="P923" s="1" t="s">
        <v>32</v>
      </c>
      <c r="Q923" s="1" t="s">
        <v>2873</v>
      </c>
      <c r="R923" s="1">
        <v>91.360000000000014</v>
      </c>
      <c r="S923" s="1">
        <v>5</v>
      </c>
      <c r="T923" s="1">
        <v>0.2</v>
      </c>
      <c r="U923" s="1">
        <v>29.691999999999993</v>
      </c>
    </row>
    <row r="924" spans="1:21" ht="15.75" x14ac:dyDescent="0.25">
      <c r="A924" s="1">
        <v>923</v>
      </c>
      <c r="B924" s="2" t="s">
        <v>2874</v>
      </c>
      <c r="C924" s="3">
        <v>45154</v>
      </c>
      <c r="D924" s="3">
        <v>45158</v>
      </c>
      <c r="E924" s="1" t="s">
        <v>22</v>
      </c>
      <c r="F924" s="1" t="s">
        <v>2875</v>
      </c>
      <c r="G924" s="1" t="s">
        <v>2876</v>
      </c>
      <c r="H924" s="1" t="s">
        <v>25</v>
      </c>
      <c r="I924" s="1" t="s">
        <v>26</v>
      </c>
      <c r="J924" s="1" t="s">
        <v>52</v>
      </c>
      <c r="K924" s="1" t="s">
        <v>53</v>
      </c>
      <c r="L924" s="1">
        <v>19143</v>
      </c>
      <c r="M924" s="1" t="s">
        <v>54</v>
      </c>
      <c r="N924" s="1" t="s">
        <v>1864</v>
      </c>
      <c r="O924" s="1" t="s">
        <v>65</v>
      </c>
      <c r="P924" s="1" t="s">
        <v>339</v>
      </c>
      <c r="Q924" s="1" t="s">
        <v>1865</v>
      </c>
      <c r="R924" s="1">
        <v>853.09199999999987</v>
      </c>
      <c r="S924" s="1">
        <v>6</v>
      </c>
      <c r="T924" s="1">
        <v>0.4</v>
      </c>
      <c r="U924" s="1">
        <v>-227.49120000000016</v>
      </c>
    </row>
    <row r="925" spans="1:21" ht="15.75" x14ac:dyDescent="0.25">
      <c r="A925" s="1">
        <v>924</v>
      </c>
      <c r="B925" s="2" t="s">
        <v>2877</v>
      </c>
      <c r="C925" s="3">
        <v>45155</v>
      </c>
      <c r="D925" s="3">
        <v>45159</v>
      </c>
      <c r="E925" s="1" t="s">
        <v>22</v>
      </c>
      <c r="F925" s="1" t="s">
        <v>2878</v>
      </c>
      <c r="G925" s="1" t="s">
        <v>2879</v>
      </c>
      <c r="H925" s="1" t="s">
        <v>74</v>
      </c>
      <c r="I925" s="1" t="s">
        <v>26</v>
      </c>
      <c r="J925" s="1" t="s">
        <v>1901</v>
      </c>
      <c r="K925" s="1" t="s">
        <v>224</v>
      </c>
      <c r="L925" s="1">
        <v>72209</v>
      </c>
      <c r="M925" s="1" t="s">
        <v>63</v>
      </c>
      <c r="N925" s="1" t="s">
        <v>1784</v>
      </c>
      <c r="O925" s="1" t="s">
        <v>31</v>
      </c>
      <c r="P925" s="1" t="s">
        <v>41</v>
      </c>
      <c r="Q925" s="1" t="s">
        <v>1111</v>
      </c>
      <c r="R925" s="1">
        <v>17.96</v>
      </c>
      <c r="S925" s="1">
        <v>4</v>
      </c>
      <c r="T925" s="1">
        <v>0</v>
      </c>
      <c r="U925" s="1">
        <v>8.2615999999999996</v>
      </c>
    </row>
    <row r="926" spans="1:21" ht="15.75" x14ac:dyDescent="0.25">
      <c r="A926" s="1">
        <v>925</v>
      </c>
      <c r="B926" s="2" t="s">
        <v>2877</v>
      </c>
      <c r="C926" s="3">
        <v>45155</v>
      </c>
      <c r="D926" s="3">
        <v>45159</v>
      </c>
      <c r="E926" s="1" t="s">
        <v>22</v>
      </c>
      <c r="F926" s="1" t="s">
        <v>2878</v>
      </c>
      <c r="G926" s="1" t="s">
        <v>2879</v>
      </c>
      <c r="H926" s="1" t="s">
        <v>74</v>
      </c>
      <c r="I926" s="1" t="s">
        <v>26</v>
      </c>
      <c r="J926" s="1" t="s">
        <v>1901</v>
      </c>
      <c r="K926" s="1" t="s">
        <v>224</v>
      </c>
      <c r="L926" s="1">
        <v>72209</v>
      </c>
      <c r="M926" s="1" t="s">
        <v>63</v>
      </c>
      <c r="N926" s="1" t="s">
        <v>2880</v>
      </c>
      <c r="O926" s="1" t="s">
        <v>31</v>
      </c>
      <c r="P926" s="1" t="s">
        <v>82</v>
      </c>
      <c r="Q926" s="1" t="s">
        <v>2881</v>
      </c>
      <c r="R926" s="1">
        <v>12.67</v>
      </c>
      <c r="S926" s="1">
        <v>7</v>
      </c>
      <c r="T926" s="1">
        <v>0</v>
      </c>
      <c r="U926" s="1">
        <v>4.5611999999999995</v>
      </c>
    </row>
    <row r="927" spans="1:21" ht="15.75" x14ac:dyDescent="0.25">
      <c r="A927" s="1">
        <v>926</v>
      </c>
      <c r="B927" s="2" t="s">
        <v>2877</v>
      </c>
      <c r="C927" s="3">
        <v>45155</v>
      </c>
      <c r="D927" s="3">
        <v>45159</v>
      </c>
      <c r="E927" s="1" t="s">
        <v>22</v>
      </c>
      <c r="F927" s="1" t="s">
        <v>2878</v>
      </c>
      <c r="G927" s="1" t="s">
        <v>2879</v>
      </c>
      <c r="H927" s="1" t="s">
        <v>74</v>
      </c>
      <c r="I927" s="1" t="s">
        <v>26</v>
      </c>
      <c r="J927" s="1" t="s">
        <v>1901</v>
      </c>
      <c r="K927" s="1" t="s">
        <v>224</v>
      </c>
      <c r="L927" s="1">
        <v>72209</v>
      </c>
      <c r="M927" s="1" t="s">
        <v>63</v>
      </c>
      <c r="N927" s="1" t="s">
        <v>2882</v>
      </c>
      <c r="O927" s="1" t="s">
        <v>31</v>
      </c>
      <c r="P927" s="1" t="s">
        <v>32</v>
      </c>
      <c r="Q927" s="1" t="s">
        <v>2883</v>
      </c>
      <c r="R927" s="1">
        <v>114.2</v>
      </c>
      <c r="S927" s="1">
        <v>5</v>
      </c>
      <c r="T927" s="1">
        <v>0</v>
      </c>
      <c r="U927" s="1">
        <v>52.531999999999996</v>
      </c>
    </row>
    <row r="928" spans="1:21" ht="15.75" x14ac:dyDescent="0.25">
      <c r="A928" s="1">
        <v>927</v>
      </c>
      <c r="B928" s="2" t="s">
        <v>2884</v>
      </c>
      <c r="C928" s="3">
        <v>45155</v>
      </c>
      <c r="D928" s="3">
        <v>45161</v>
      </c>
      <c r="E928" s="1" t="s">
        <v>22</v>
      </c>
      <c r="F928" s="1" t="s">
        <v>1118</v>
      </c>
      <c r="G928" s="1" t="s">
        <v>1119</v>
      </c>
      <c r="H928" s="1" t="s">
        <v>74</v>
      </c>
      <c r="I928" s="1" t="s">
        <v>26</v>
      </c>
      <c r="J928" s="1" t="s">
        <v>27</v>
      </c>
      <c r="K928" s="1" t="s">
        <v>28</v>
      </c>
      <c r="L928" s="1">
        <v>77095</v>
      </c>
      <c r="M928" s="1" t="s">
        <v>29</v>
      </c>
      <c r="N928" s="1" t="s">
        <v>2885</v>
      </c>
      <c r="O928" s="1" t="s">
        <v>31</v>
      </c>
      <c r="P928" s="1" t="s">
        <v>32</v>
      </c>
      <c r="Q928" s="1" t="s">
        <v>2886</v>
      </c>
      <c r="R928" s="1">
        <v>15.552000000000003</v>
      </c>
      <c r="S928" s="1">
        <v>3</v>
      </c>
      <c r="T928" s="1">
        <v>0.2</v>
      </c>
      <c r="U928" s="1">
        <v>5.4432</v>
      </c>
    </row>
    <row r="929" spans="1:21" ht="15.75" x14ac:dyDescent="0.25">
      <c r="A929" s="1">
        <v>928</v>
      </c>
      <c r="B929" s="2" t="s">
        <v>2877</v>
      </c>
      <c r="C929" s="3">
        <v>45155</v>
      </c>
      <c r="D929" s="3">
        <v>45159</v>
      </c>
      <c r="E929" s="1" t="s">
        <v>22</v>
      </c>
      <c r="F929" s="1" t="s">
        <v>2878</v>
      </c>
      <c r="G929" s="1" t="s">
        <v>2879</v>
      </c>
      <c r="H929" s="1" t="s">
        <v>74</v>
      </c>
      <c r="I929" s="1" t="s">
        <v>26</v>
      </c>
      <c r="J929" s="1" t="s">
        <v>1901</v>
      </c>
      <c r="K929" s="1" t="s">
        <v>224</v>
      </c>
      <c r="L929" s="1">
        <v>72209</v>
      </c>
      <c r="M929" s="1" t="s">
        <v>63</v>
      </c>
      <c r="N929" s="1" t="s">
        <v>2887</v>
      </c>
      <c r="O929" s="1" t="s">
        <v>96</v>
      </c>
      <c r="P929" s="1" t="s">
        <v>117</v>
      </c>
      <c r="Q929" s="1" t="s">
        <v>2888</v>
      </c>
      <c r="R929" s="1">
        <v>339.96</v>
      </c>
      <c r="S929" s="1">
        <v>4</v>
      </c>
      <c r="T929" s="1">
        <v>0</v>
      </c>
      <c r="U929" s="1">
        <v>122.38559999999998</v>
      </c>
    </row>
    <row r="930" spans="1:21" ht="15.75" x14ac:dyDescent="0.25">
      <c r="A930" s="1">
        <v>929</v>
      </c>
      <c r="B930" s="2" t="s">
        <v>2889</v>
      </c>
      <c r="C930" s="3">
        <v>45157</v>
      </c>
      <c r="D930" s="3">
        <v>45164</v>
      </c>
      <c r="E930" s="1" t="s">
        <v>22</v>
      </c>
      <c r="F930" s="1" t="s">
        <v>2890</v>
      </c>
      <c r="G930" s="1" t="s">
        <v>2891</v>
      </c>
      <c r="H930" s="1" t="s">
        <v>25</v>
      </c>
      <c r="I930" s="1" t="s">
        <v>26</v>
      </c>
      <c r="J930" s="1" t="s">
        <v>223</v>
      </c>
      <c r="K930" s="1" t="s">
        <v>224</v>
      </c>
      <c r="L930" s="1">
        <v>72401</v>
      </c>
      <c r="M930" s="1" t="s">
        <v>63</v>
      </c>
      <c r="N930" s="1" t="s">
        <v>2061</v>
      </c>
      <c r="O930" s="1" t="s">
        <v>65</v>
      </c>
      <c r="P930" s="1" t="s">
        <v>140</v>
      </c>
      <c r="Q930" s="1" t="s">
        <v>2062</v>
      </c>
      <c r="R930" s="1">
        <v>638.82000000000005</v>
      </c>
      <c r="S930" s="1">
        <v>9</v>
      </c>
      <c r="T930" s="1">
        <v>0</v>
      </c>
      <c r="U930" s="1">
        <v>172.48140000000001</v>
      </c>
    </row>
    <row r="931" spans="1:21" ht="15.75" x14ac:dyDescent="0.25">
      <c r="A931" s="1">
        <v>930</v>
      </c>
      <c r="B931" s="2" t="s">
        <v>2892</v>
      </c>
      <c r="C931" s="3">
        <v>45157</v>
      </c>
      <c r="D931" s="3">
        <v>45159</v>
      </c>
      <c r="E931" s="1" t="s">
        <v>87</v>
      </c>
      <c r="F931" s="1" t="s">
        <v>201</v>
      </c>
      <c r="G931" s="1" t="s">
        <v>202</v>
      </c>
      <c r="H931" s="1" t="s">
        <v>74</v>
      </c>
      <c r="I931" s="1" t="s">
        <v>26</v>
      </c>
      <c r="J931" s="1" t="s">
        <v>90</v>
      </c>
      <c r="K931" s="1" t="s">
        <v>91</v>
      </c>
      <c r="L931" s="1">
        <v>90045</v>
      </c>
      <c r="M931" s="1" t="s">
        <v>92</v>
      </c>
      <c r="N931" s="1" t="s">
        <v>1625</v>
      </c>
      <c r="O931" s="1" t="s">
        <v>65</v>
      </c>
      <c r="P931" s="1" t="s">
        <v>106</v>
      </c>
      <c r="Q931" s="1" t="s">
        <v>1626</v>
      </c>
      <c r="R931" s="1">
        <v>289.24</v>
      </c>
      <c r="S931" s="1">
        <v>7</v>
      </c>
      <c r="T931" s="1">
        <v>0</v>
      </c>
      <c r="U931" s="1">
        <v>26.031600000000012</v>
      </c>
    </row>
    <row r="932" spans="1:21" ht="15.75" x14ac:dyDescent="0.25">
      <c r="A932" s="1">
        <v>931</v>
      </c>
      <c r="B932" s="2" t="s">
        <v>2893</v>
      </c>
      <c r="C932" s="3">
        <v>45157</v>
      </c>
      <c r="D932" s="3">
        <v>45162</v>
      </c>
      <c r="E932" s="1" t="s">
        <v>22</v>
      </c>
      <c r="F932" s="1" t="s">
        <v>1889</v>
      </c>
      <c r="G932" s="1" t="s">
        <v>1890</v>
      </c>
      <c r="H932" s="1" t="s">
        <v>25</v>
      </c>
      <c r="I932" s="1" t="s">
        <v>26</v>
      </c>
      <c r="J932" s="1" t="s">
        <v>549</v>
      </c>
      <c r="K932" s="1" t="s">
        <v>155</v>
      </c>
      <c r="L932" s="1">
        <v>43229</v>
      </c>
      <c r="M932" s="1" t="s">
        <v>54</v>
      </c>
      <c r="N932" s="1" t="s">
        <v>2894</v>
      </c>
      <c r="O932" s="1" t="s">
        <v>31</v>
      </c>
      <c r="P932" s="1" t="s">
        <v>56</v>
      </c>
      <c r="Q932" s="1" t="s">
        <v>2895</v>
      </c>
      <c r="R932" s="1">
        <v>10.72</v>
      </c>
      <c r="S932" s="1">
        <v>2</v>
      </c>
      <c r="T932" s="1">
        <v>0.2</v>
      </c>
      <c r="U932" s="1">
        <v>1.7419999999999987</v>
      </c>
    </row>
    <row r="933" spans="1:21" ht="15.75" x14ac:dyDescent="0.25">
      <c r="A933" s="1">
        <v>932</v>
      </c>
      <c r="B933" s="2" t="s">
        <v>2892</v>
      </c>
      <c r="C933" s="3">
        <v>45157</v>
      </c>
      <c r="D933" s="3">
        <v>45159</v>
      </c>
      <c r="E933" s="1" t="s">
        <v>87</v>
      </c>
      <c r="F933" s="1" t="s">
        <v>201</v>
      </c>
      <c r="G933" s="1" t="s">
        <v>202</v>
      </c>
      <c r="H933" s="1" t="s">
        <v>74</v>
      </c>
      <c r="I933" s="1" t="s">
        <v>26</v>
      </c>
      <c r="J933" s="1" t="s">
        <v>90</v>
      </c>
      <c r="K933" s="1" t="s">
        <v>91</v>
      </c>
      <c r="L933" s="1">
        <v>90045</v>
      </c>
      <c r="M933" s="1" t="s">
        <v>92</v>
      </c>
      <c r="N933" s="1" t="s">
        <v>2896</v>
      </c>
      <c r="O933" s="1" t="s">
        <v>31</v>
      </c>
      <c r="P933" s="1" t="s">
        <v>41</v>
      </c>
      <c r="Q933" s="1" t="s">
        <v>2897</v>
      </c>
      <c r="R933" s="1">
        <v>69.456000000000003</v>
      </c>
      <c r="S933" s="1">
        <v>2</v>
      </c>
      <c r="T933" s="1">
        <v>0.2</v>
      </c>
      <c r="U933" s="1">
        <v>22.573199999999996</v>
      </c>
    </row>
    <row r="934" spans="1:21" ht="15.75" x14ac:dyDescent="0.25">
      <c r="A934" s="1">
        <v>933</v>
      </c>
      <c r="B934" s="2" t="s">
        <v>2898</v>
      </c>
      <c r="C934" s="3">
        <v>45157</v>
      </c>
      <c r="D934" s="3">
        <v>45159</v>
      </c>
      <c r="E934" s="1" t="s">
        <v>87</v>
      </c>
      <c r="F934" s="1" t="s">
        <v>2298</v>
      </c>
      <c r="G934" s="1" t="s">
        <v>2299</v>
      </c>
      <c r="H934" s="1" t="s">
        <v>25</v>
      </c>
      <c r="I934" s="1" t="s">
        <v>26</v>
      </c>
      <c r="J934" s="1" t="s">
        <v>549</v>
      </c>
      <c r="K934" s="1" t="s">
        <v>155</v>
      </c>
      <c r="L934" s="1">
        <v>43229</v>
      </c>
      <c r="M934" s="1" t="s">
        <v>54</v>
      </c>
      <c r="N934" s="1" t="s">
        <v>2789</v>
      </c>
      <c r="O934" s="1" t="s">
        <v>31</v>
      </c>
      <c r="P934" s="1" t="s">
        <v>41</v>
      </c>
      <c r="Q934" s="1" t="s">
        <v>2790</v>
      </c>
      <c r="R934" s="1">
        <v>76.77600000000001</v>
      </c>
      <c r="S934" s="1">
        <v>4</v>
      </c>
      <c r="T934" s="1">
        <v>0.7</v>
      </c>
      <c r="U934" s="1">
        <v>-58.861599999999981</v>
      </c>
    </row>
    <row r="935" spans="1:21" ht="15.75" x14ac:dyDescent="0.25">
      <c r="A935" s="1">
        <v>934</v>
      </c>
      <c r="B935" s="2" t="s">
        <v>2899</v>
      </c>
      <c r="C935" s="3">
        <v>45157</v>
      </c>
      <c r="D935" s="3">
        <v>45161</v>
      </c>
      <c r="E935" s="1" t="s">
        <v>22</v>
      </c>
      <c r="F935" s="1" t="s">
        <v>1519</v>
      </c>
      <c r="G935" s="1" t="s">
        <v>1520</v>
      </c>
      <c r="H935" s="1" t="s">
        <v>74</v>
      </c>
      <c r="I935" s="1" t="s">
        <v>26</v>
      </c>
      <c r="J935" s="1" t="s">
        <v>549</v>
      </c>
      <c r="K935" s="1" t="s">
        <v>76</v>
      </c>
      <c r="L935" s="1">
        <v>31907</v>
      </c>
      <c r="M935" s="1" t="s">
        <v>63</v>
      </c>
      <c r="N935" s="1" t="s">
        <v>358</v>
      </c>
      <c r="O935" s="1" t="s">
        <v>31</v>
      </c>
      <c r="P935" s="1" t="s">
        <v>47</v>
      </c>
      <c r="Q935" s="1" t="s">
        <v>359</v>
      </c>
      <c r="R935" s="1">
        <v>344.90999999999997</v>
      </c>
      <c r="S935" s="1">
        <v>3</v>
      </c>
      <c r="T935" s="1">
        <v>0</v>
      </c>
      <c r="U935" s="1">
        <v>10.347300000000004</v>
      </c>
    </row>
    <row r="936" spans="1:21" ht="15.75" x14ac:dyDescent="0.25">
      <c r="A936" s="1">
        <v>935</v>
      </c>
      <c r="B936" s="2" t="s">
        <v>2898</v>
      </c>
      <c r="C936" s="3">
        <v>45157</v>
      </c>
      <c r="D936" s="3">
        <v>45159</v>
      </c>
      <c r="E936" s="1" t="s">
        <v>87</v>
      </c>
      <c r="F936" s="1" t="s">
        <v>2298</v>
      </c>
      <c r="G936" s="1" t="s">
        <v>2299</v>
      </c>
      <c r="H936" s="1" t="s">
        <v>25</v>
      </c>
      <c r="I936" s="1" t="s">
        <v>26</v>
      </c>
      <c r="J936" s="1" t="s">
        <v>549</v>
      </c>
      <c r="K936" s="1" t="s">
        <v>155</v>
      </c>
      <c r="L936" s="1">
        <v>43229</v>
      </c>
      <c r="M936" s="1" t="s">
        <v>54</v>
      </c>
      <c r="N936" s="1" t="s">
        <v>2900</v>
      </c>
      <c r="O936" s="1" t="s">
        <v>31</v>
      </c>
      <c r="P936" s="1" t="s">
        <v>475</v>
      </c>
      <c r="Q936" s="1" t="s">
        <v>2901</v>
      </c>
      <c r="R936" s="1">
        <v>9.1840000000000011</v>
      </c>
      <c r="S936" s="1">
        <v>2</v>
      </c>
      <c r="T936" s="1">
        <v>0.2</v>
      </c>
      <c r="U936" s="1">
        <v>1.1479999999999988</v>
      </c>
    </row>
    <row r="937" spans="1:21" ht="15.75" x14ac:dyDescent="0.25">
      <c r="A937" s="1">
        <v>936</v>
      </c>
      <c r="B937" s="2" t="s">
        <v>2902</v>
      </c>
      <c r="C937" s="3">
        <v>45157</v>
      </c>
      <c r="D937" s="3">
        <v>45161</v>
      </c>
      <c r="E937" s="4" t="s">
        <v>22</v>
      </c>
      <c r="F937" s="4" t="s">
        <v>2903</v>
      </c>
      <c r="G937" s="4" t="s">
        <v>2904</v>
      </c>
      <c r="H937" s="4" t="s">
        <v>74</v>
      </c>
      <c r="I937" s="4" t="s">
        <v>279</v>
      </c>
      <c r="J937" s="4" t="s">
        <v>1766</v>
      </c>
      <c r="K937" s="4" t="s">
        <v>1767</v>
      </c>
      <c r="L937" s="6" t="s">
        <v>2905</v>
      </c>
      <c r="M937" s="4" t="s">
        <v>54</v>
      </c>
      <c r="N937" s="4" t="s">
        <v>1756</v>
      </c>
      <c r="O937" s="4" t="s">
        <v>31</v>
      </c>
      <c r="P937" s="4" t="s">
        <v>41</v>
      </c>
      <c r="Q937" s="4" t="s">
        <v>1757</v>
      </c>
      <c r="R937" s="4">
        <v>19.440000000000001</v>
      </c>
      <c r="S937" s="4">
        <v>3</v>
      </c>
      <c r="T937" s="4">
        <v>0</v>
      </c>
      <c r="U937" s="4">
        <v>9.33</v>
      </c>
    </row>
    <row r="938" spans="1:21" ht="15.75" x14ac:dyDescent="0.25">
      <c r="A938" s="1">
        <v>937</v>
      </c>
      <c r="B938" s="2" t="s">
        <v>2906</v>
      </c>
      <c r="C938" s="3">
        <v>45157</v>
      </c>
      <c r="D938" s="3">
        <v>45162</v>
      </c>
      <c r="E938" s="4" t="s">
        <v>22</v>
      </c>
      <c r="F938" s="4" t="s">
        <v>2907</v>
      </c>
      <c r="G938" s="4" t="s">
        <v>2908</v>
      </c>
      <c r="H938" s="4" t="s">
        <v>25</v>
      </c>
      <c r="I938" s="4" t="s">
        <v>279</v>
      </c>
      <c r="J938" s="4" t="s">
        <v>1766</v>
      </c>
      <c r="K938" s="4" t="s">
        <v>1767</v>
      </c>
      <c r="L938" s="6" t="s">
        <v>2905</v>
      </c>
      <c r="M938" s="4" t="s">
        <v>54</v>
      </c>
      <c r="N938" s="4" t="s">
        <v>2383</v>
      </c>
      <c r="O938" s="4" t="s">
        <v>31</v>
      </c>
      <c r="P938" s="4" t="s">
        <v>32</v>
      </c>
      <c r="Q938" s="4" t="s">
        <v>2384</v>
      </c>
      <c r="R938" s="4">
        <v>387.99</v>
      </c>
      <c r="S938" s="4">
        <v>1</v>
      </c>
      <c r="T938" s="4">
        <v>0</v>
      </c>
      <c r="U938" s="4">
        <v>182.36</v>
      </c>
    </row>
    <row r="939" spans="1:21" ht="15.75" x14ac:dyDescent="0.25">
      <c r="A939" s="1">
        <v>938</v>
      </c>
      <c r="B939" s="2" t="s">
        <v>2909</v>
      </c>
      <c r="C939" s="3">
        <v>45158</v>
      </c>
      <c r="D939" s="3">
        <v>45163</v>
      </c>
      <c r="E939" s="1" t="s">
        <v>22</v>
      </c>
      <c r="F939" s="1" t="s">
        <v>2565</v>
      </c>
      <c r="G939" s="1" t="s">
        <v>2566</v>
      </c>
      <c r="H939" s="1" t="s">
        <v>74</v>
      </c>
      <c r="I939" s="1" t="s">
        <v>26</v>
      </c>
      <c r="J939" s="1" t="s">
        <v>2910</v>
      </c>
      <c r="K939" s="1" t="s">
        <v>123</v>
      </c>
      <c r="L939" s="1">
        <v>23666</v>
      </c>
      <c r="M939" s="1" t="s">
        <v>63</v>
      </c>
      <c r="N939" s="1" t="s">
        <v>2398</v>
      </c>
      <c r="O939" s="1" t="s">
        <v>65</v>
      </c>
      <c r="P939" s="1" t="s">
        <v>66</v>
      </c>
      <c r="Q939" s="1" t="s">
        <v>2399</v>
      </c>
      <c r="R939" s="1">
        <v>500.23999999999995</v>
      </c>
      <c r="S939" s="1">
        <v>13</v>
      </c>
      <c r="T939" s="1">
        <v>0</v>
      </c>
      <c r="U939" s="1">
        <v>145.06959999999992</v>
      </c>
    </row>
    <row r="940" spans="1:21" ht="15.75" x14ac:dyDescent="0.25">
      <c r="A940" s="1">
        <v>939</v>
      </c>
      <c r="B940" s="2" t="s">
        <v>2911</v>
      </c>
      <c r="C940" s="3">
        <v>45158</v>
      </c>
      <c r="D940" s="3">
        <v>45163</v>
      </c>
      <c r="E940" s="1" t="s">
        <v>87</v>
      </c>
      <c r="F940" s="1" t="s">
        <v>2912</v>
      </c>
      <c r="G940" s="1" t="s">
        <v>2913</v>
      </c>
      <c r="H940" s="1" t="s">
        <v>25</v>
      </c>
      <c r="I940" s="1" t="s">
        <v>26</v>
      </c>
      <c r="J940" s="1" t="s">
        <v>493</v>
      </c>
      <c r="K940" s="1" t="s">
        <v>39</v>
      </c>
      <c r="L940" s="1">
        <v>60610</v>
      </c>
      <c r="M940" s="1" t="s">
        <v>29</v>
      </c>
      <c r="N940" s="1" t="s">
        <v>654</v>
      </c>
      <c r="O940" s="1" t="s">
        <v>65</v>
      </c>
      <c r="P940" s="1" t="s">
        <v>66</v>
      </c>
      <c r="Q940" s="1" t="s">
        <v>655</v>
      </c>
      <c r="R940" s="1">
        <v>421.37200000000001</v>
      </c>
      <c r="S940" s="1">
        <v>2</v>
      </c>
      <c r="T940" s="1">
        <v>0.3</v>
      </c>
      <c r="U940" s="1">
        <v>-6.0196000000000538</v>
      </c>
    </row>
    <row r="941" spans="1:21" ht="15.75" x14ac:dyDescent="0.25">
      <c r="A941" s="1">
        <v>940</v>
      </c>
      <c r="B941" s="2" t="s">
        <v>2909</v>
      </c>
      <c r="C941" s="3">
        <v>45158</v>
      </c>
      <c r="D941" s="3">
        <v>45163</v>
      </c>
      <c r="E941" s="1" t="s">
        <v>22</v>
      </c>
      <c r="F941" s="1" t="s">
        <v>2565</v>
      </c>
      <c r="G941" s="1" t="s">
        <v>2566</v>
      </c>
      <c r="H941" s="1" t="s">
        <v>74</v>
      </c>
      <c r="I941" s="1" t="s">
        <v>26</v>
      </c>
      <c r="J941" s="1" t="s">
        <v>2910</v>
      </c>
      <c r="K941" s="1" t="s">
        <v>123</v>
      </c>
      <c r="L941" s="1">
        <v>23666</v>
      </c>
      <c r="M941" s="1" t="s">
        <v>63</v>
      </c>
      <c r="N941" s="1" t="s">
        <v>2914</v>
      </c>
      <c r="O941" s="1" t="s">
        <v>31</v>
      </c>
      <c r="P941" s="1" t="s">
        <v>41</v>
      </c>
      <c r="Q941" s="1" t="s">
        <v>2915</v>
      </c>
      <c r="R941" s="1">
        <v>896.99</v>
      </c>
      <c r="S941" s="1">
        <v>1</v>
      </c>
      <c r="T941" s="1">
        <v>0</v>
      </c>
      <c r="U941" s="1">
        <v>421.58529999999996</v>
      </c>
    </row>
    <row r="942" spans="1:21" ht="15.75" x14ac:dyDescent="0.25">
      <c r="A942" s="1">
        <v>941</v>
      </c>
      <c r="B942" s="2" t="s">
        <v>2909</v>
      </c>
      <c r="C942" s="3">
        <v>45158</v>
      </c>
      <c r="D942" s="3">
        <v>45163</v>
      </c>
      <c r="E942" s="1" t="s">
        <v>22</v>
      </c>
      <c r="F942" s="1" t="s">
        <v>2565</v>
      </c>
      <c r="G942" s="1" t="s">
        <v>2566</v>
      </c>
      <c r="H942" s="1" t="s">
        <v>74</v>
      </c>
      <c r="I942" s="1" t="s">
        <v>26</v>
      </c>
      <c r="J942" s="1" t="s">
        <v>2910</v>
      </c>
      <c r="K942" s="1" t="s">
        <v>123</v>
      </c>
      <c r="L942" s="1">
        <v>23666</v>
      </c>
      <c r="M942" s="1" t="s">
        <v>63</v>
      </c>
      <c r="N942" s="1" t="s">
        <v>2916</v>
      </c>
      <c r="O942" s="1" t="s">
        <v>31</v>
      </c>
      <c r="P942" s="1" t="s">
        <v>32</v>
      </c>
      <c r="Q942" s="1" t="s">
        <v>2917</v>
      </c>
      <c r="R942" s="1">
        <v>20.12</v>
      </c>
      <c r="S942" s="1">
        <v>2</v>
      </c>
      <c r="T942" s="1">
        <v>0</v>
      </c>
      <c r="U942" s="1">
        <v>9.2552000000000003</v>
      </c>
    </row>
    <row r="943" spans="1:21" ht="15.75" x14ac:dyDescent="0.25">
      <c r="A943" s="1">
        <v>942</v>
      </c>
      <c r="B943" s="2" t="s">
        <v>2918</v>
      </c>
      <c r="C943" s="3">
        <v>45160</v>
      </c>
      <c r="D943" s="3">
        <v>45163</v>
      </c>
      <c r="E943" s="1" t="s">
        <v>87</v>
      </c>
      <c r="F943" s="1" t="s">
        <v>2919</v>
      </c>
      <c r="G943" s="1" t="s">
        <v>2920</v>
      </c>
      <c r="H943" s="1" t="s">
        <v>37</v>
      </c>
      <c r="I943" s="1" t="s">
        <v>26</v>
      </c>
      <c r="J943" s="1" t="s">
        <v>1912</v>
      </c>
      <c r="K943" s="1" t="s">
        <v>155</v>
      </c>
      <c r="L943" s="1">
        <v>44107</v>
      </c>
      <c r="M943" s="1" t="s">
        <v>54</v>
      </c>
      <c r="N943" s="1" t="s">
        <v>2921</v>
      </c>
      <c r="O943" s="1" t="s">
        <v>31</v>
      </c>
      <c r="P943" s="1" t="s">
        <v>56</v>
      </c>
      <c r="Q943" s="1" t="s">
        <v>2922</v>
      </c>
      <c r="R943" s="1">
        <v>3.9119999999999999</v>
      </c>
      <c r="S943" s="1">
        <v>1</v>
      </c>
      <c r="T943" s="1">
        <v>0.2</v>
      </c>
      <c r="U943" s="1">
        <v>1.0269000000000001</v>
      </c>
    </row>
    <row r="944" spans="1:21" ht="15.75" x14ac:dyDescent="0.25">
      <c r="A944" s="1">
        <v>943</v>
      </c>
      <c r="B944" s="2" t="s">
        <v>2923</v>
      </c>
      <c r="C944" s="3">
        <v>45160</v>
      </c>
      <c r="D944" s="3">
        <v>45163</v>
      </c>
      <c r="E944" s="1" t="s">
        <v>71</v>
      </c>
      <c r="F944" s="1" t="s">
        <v>2092</v>
      </c>
      <c r="G944" s="1" t="s">
        <v>2093</v>
      </c>
      <c r="H944" s="1" t="s">
        <v>25</v>
      </c>
      <c r="I944" s="1" t="s">
        <v>26</v>
      </c>
      <c r="J944" s="1" t="s">
        <v>2924</v>
      </c>
      <c r="K944" s="1" t="s">
        <v>438</v>
      </c>
      <c r="L944" s="1">
        <v>63301</v>
      </c>
      <c r="M944" s="1" t="s">
        <v>29</v>
      </c>
      <c r="N944" s="1" t="s">
        <v>2925</v>
      </c>
      <c r="O944" s="1" t="s">
        <v>31</v>
      </c>
      <c r="P944" s="1" t="s">
        <v>32</v>
      </c>
      <c r="Q944" s="1" t="s">
        <v>2926</v>
      </c>
      <c r="R944" s="1">
        <v>11.56</v>
      </c>
      <c r="S944" s="1">
        <v>2</v>
      </c>
      <c r="T944" s="1">
        <v>0</v>
      </c>
      <c r="U944" s="1">
        <v>5.6644000000000005</v>
      </c>
    </row>
    <row r="945" spans="1:21" ht="15.75" x14ac:dyDescent="0.25">
      <c r="A945" s="1">
        <v>944</v>
      </c>
      <c r="B945" s="2" t="s">
        <v>2927</v>
      </c>
      <c r="C945" s="3">
        <v>45160</v>
      </c>
      <c r="D945" s="3">
        <v>45162</v>
      </c>
      <c r="E945" s="1" t="s">
        <v>87</v>
      </c>
      <c r="F945" s="1" t="s">
        <v>2928</v>
      </c>
      <c r="G945" s="1" t="s">
        <v>2929</v>
      </c>
      <c r="H945" s="1" t="s">
        <v>25</v>
      </c>
      <c r="I945" s="1" t="s">
        <v>26</v>
      </c>
      <c r="J945" s="1" t="s">
        <v>2930</v>
      </c>
      <c r="K945" s="1" t="s">
        <v>273</v>
      </c>
      <c r="L945" s="1">
        <v>33161</v>
      </c>
      <c r="M945" s="1" t="s">
        <v>63</v>
      </c>
      <c r="N945" s="1" t="s">
        <v>2931</v>
      </c>
      <c r="O945" s="1" t="s">
        <v>31</v>
      </c>
      <c r="P945" s="1" t="s">
        <v>475</v>
      </c>
      <c r="Q945" s="1" t="s">
        <v>2932</v>
      </c>
      <c r="R945" s="1">
        <v>7.6320000000000014</v>
      </c>
      <c r="S945" s="1">
        <v>3</v>
      </c>
      <c r="T945" s="1">
        <v>0.2</v>
      </c>
      <c r="U945" s="1">
        <v>-1.8126000000000002</v>
      </c>
    </row>
    <row r="946" spans="1:21" ht="15.75" x14ac:dyDescent="0.25">
      <c r="A946" s="1">
        <v>945</v>
      </c>
      <c r="B946" s="2" t="s">
        <v>2933</v>
      </c>
      <c r="C946" s="3">
        <v>45161</v>
      </c>
      <c r="D946" s="3">
        <v>45165</v>
      </c>
      <c r="E946" s="1" t="s">
        <v>22</v>
      </c>
      <c r="F946" s="1" t="s">
        <v>2934</v>
      </c>
      <c r="G946" s="1" t="s">
        <v>2935</v>
      </c>
      <c r="H946" s="1" t="s">
        <v>25</v>
      </c>
      <c r="I946" s="1" t="s">
        <v>26</v>
      </c>
      <c r="J946" s="1" t="s">
        <v>673</v>
      </c>
      <c r="K946" s="1" t="s">
        <v>674</v>
      </c>
      <c r="L946" s="1">
        <v>80219</v>
      </c>
      <c r="M946" s="1" t="s">
        <v>92</v>
      </c>
      <c r="N946" s="1" t="s">
        <v>2936</v>
      </c>
      <c r="O946" s="1" t="s">
        <v>65</v>
      </c>
      <c r="P946" s="1" t="s">
        <v>106</v>
      </c>
      <c r="Q946" s="1" t="s">
        <v>2937</v>
      </c>
      <c r="R946" s="1">
        <v>4.2240000000000002</v>
      </c>
      <c r="S946" s="1">
        <v>3</v>
      </c>
      <c r="T946" s="1">
        <v>0.2</v>
      </c>
      <c r="U946" s="1">
        <v>1.2672000000000003</v>
      </c>
    </row>
    <row r="947" spans="1:21" ht="15.75" x14ac:dyDescent="0.25">
      <c r="A947" s="1">
        <v>946</v>
      </c>
      <c r="B947" s="2" t="s">
        <v>2938</v>
      </c>
      <c r="C947" s="3">
        <v>45161</v>
      </c>
      <c r="D947" s="3">
        <v>45165</v>
      </c>
      <c r="E947" s="1" t="s">
        <v>87</v>
      </c>
      <c r="F947" s="1" t="s">
        <v>2939</v>
      </c>
      <c r="G947" s="1" t="s">
        <v>2940</v>
      </c>
      <c r="H947" s="1" t="s">
        <v>74</v>
      </c>
      <c r="I947" s="1" t="s">
        <v>26</v>
      </c>
      <c r="J947" s="1" t="s">
        <v>90</v>
      </c>
      <c r="K947" s="1" t="s">
        <v>91</v>
      </c>
      <c r="L947" s="1">
        <v>90032</v>
      </c>
      <c r="M947" s="1" t="s">
        <v>92</v>
      </c>
      <c r="N947" s="1" t="s">
        <v>194</v>
      </c>
      <c r="O947" s="1" t="s">
        <v>31</v>
      </c>
      <c r="P947" s="1" t="s">
        <v>41</v>
      </c>
      <c r="Q947" s="1" t="s">
        <v>195</v>
      </c>
      <c r="R947" s="1">
        <v>49.568000000000005</v>
      </c>
      <c r="S947" s="1">
        <v>2</v>
      </c>
      <c r="T947" s="1">
        <v>0.2</v>
      </c>
      <c r="U947" s="1">
        <v>17.348799999999997</v>
      </c>
    </row>
    <row r="948" spans="1:21" ht="15.75" x14ac:dyDescent="0.25">
      <c r="A948" s="1">
        <v>947</v>
      </c>
      <c r="B948" s="2" t="s">
        <v>2933</v>
      </c>
      <c r="C948" s="3">
        <v>45161</v>
      </c>
      <c r="D948" s="3">
        <v>45165</v>
      </c>
      <c r="E948" s="1" t="s">
        <v>22</v>
      </c>
      <c r="F948" s="1" t="s">
        <v>2934</v>
      </c>
      <c r="G948" s="1" t="s">
        <v>2935</v>
      </c>
      <c r="H948" s="1" t="s">
        <v>25</v>
      </c>
      <c r="I948" s="1" t="s">
        <v>26</v>
      </c>
      <c r="J948" s="1" t="s">
        <v>673</v>
      </c>
      <c r="K948" s="1" t="s">
        <v>674</v>
      </c>
      <c r="L948" s="1">
        <v>80219</v>
      </c>
      <c r="M948" s="1" t="s">
        <v>92</v>
      </c>
      <c r="N948" s="1" t="s">
        <v>2941</v>
      </c>
      <c r="O948" s="1" t="s">
        <v>31</v>
      </c>
      <c r="P948" s="1" t="s">
        <v>32</v>
      </c>
      <c r="Q948" s="1" t="s">
        <v>2942</v>
      </c>
      <c r="R948" s="1">
        <v>31.104000000000006</v>
      </c>
      <c r="S948" s="1">
        <v>6</v>
      </c>
      <c r="T948" s="1">
        <v>0.2</v>
      </c>
      <c r="U948" s="1">
        <v>10.8864</v>
      </c>
    </row>
    <row r="949" spans="1:21" ht="15.75" x14ac:dyDescent="0.25">
      <c r="A949" s="1">
        <v>948</v>
      </c>
      <c r="B949" s="2" t="s">
        <v>2933</v>
      </c>
      <c r="C949" s="3">
        <v>45161</v>
      </c>
      <c r="D949" s="3">
        <v>45165</v>
      </c>
      <c r="E949" s="1" t="s">
        <v>22</v>
      </c>
      <c r="F949" s="1" t="s">
        <v>2934</v>
      </c>
      <c r="G949" s="1" t="s">
        <v>2935</v>
      </c>
      <c r="H949" s="1" t="s">
        <v>25</v>
      </c>
      <c r="I949" s="1" t="s">
        <v>26</v>
      </c>
      <c r="J949" s="1" t="s">
        <v>673</v>
      </c>
      <c r="K949" s="1" t="s">
        <v>674</v>
      </c>
      <c r="L949" s="1">
        <v>80219</v>
      </c>
      <c r="M949" s="1" t="s">
        <v>92</v>
      </c>
      <c r="N949" s="1" t="s">
        <v>2943</v>
      </c>
      <c r="O949" s="1" t="s">
        <v>31</v>
      </c>
      <c r="P949" s="1" t="s">
        <v>32</v>
      </c>
      <c r="Q949" s="1" t="s">
        <v>2944</v>
      </c>
      <c r="R949" s="1">
        <v>223.05600000000001</v>
      </c>
      <c r="S949" s="1">
        <v>9</v>
      </c>
      <c r="T949" s="1">
        <v>0.2</v>
      </c>
      <c r="U949" s="1">
        <v>69.704999999999984</v>
      </c>
    </row>
    <row r="950" spans="1:21" ht="15.75" x14ac:dyDescent="0.25">
      <c r="A950" s="1">
        <v>949</v>
      </c>
      <c r="B950" s="2" t="s">
        <v>2933</v>
      </c>
      <c r="C950" s="3">
        <v>45161</v>
      </c>
      <c r="D950" s="3">
        <v>45165</v>
      </c>
      <c r="E950" s="1" t="s">
        <v>22</v>
      </c>
      <c r="F950" s="1" t="s">
        <v>2934</v>
      </c>
      <c r="G950" s="1" t="s">
        <v>2935</v>
      </c>
      <c r="H950" s="1" t="s">
        <v>25</v>
      </c>
      <c r="I950" s="1" t="s">
        <v>26</v>
      </c>
      <c r="J950" s="1" t="s">
        <v>673</v>
      </c>
      <c r="K950" s="1" t="s">
        <v>674</v>
      </c>
      <c r="L950" s="1">
        <v>80219</v>
      </c>
      <c r="M950" s="1" t="s">
        <v>92</v>
      </c>
      <c r="N950" s="1" t="s">
        <v>2945</v>
      </c>
      <c r="O950" s="1" t="s">
        <v>31</v>
      </c>
      <c r="P950" s="1" t="s">
        <v>32</v>
      </c>
      <c r="Q950" s="1" t="s">
        <v>2946</v>
      </c>
      <c r="R950" s="1">
        <v>15.552000000000003</v>
      </c>
      <c r="S950" s="1">
        <v>3</v>
      </c>
      <c r="T950" s="1">
        <v>0.2</v>
      </c>
      <c r="U950" s="1">
        <v>5.4432</v>
      </c>
    </row>
    <row r="951" spans="1:21" ht="15.75" x14ac:dyDescent="0.25">
      <c r="A951" s="1">
        <v>950</v>
      </c>
      <c r="B951" s="2" t="s">
        <v>2947</v>
      </c>
      <c r="C951" s="3">
        <v>45161</v>
      </c>
      <c r="D951" s="3">
        <v>45166</v>
      </c>
      <c r="E951" s="1" t="s">
        <v>87</v>
      </c>
      <c r="F951" s="1" t="s">
        <v>1910</v>
      </c>
      <c r="G951" s="1" t="s">
        <v>1911</v>
      </c>
      <c r="H951" s="1" t="s">
        <v>37</v>
      </c>
      <c r="I951" s="1" t="s">
        <v>26</v>
      </c>
      <c r="J951" s="1" t="s">
        <v>2948</v>
      </c>
      <c r="K951" s="1" t="s">
        <v>231</v>
      </c>
      <c r="L951" s="1">
        <v>49505</v>
      </c>
      <c r="M951" s="1" t="s">
        <v>29</v>
      </c>
      <c r="N951" s="1" t="s">
        <v>2949</v>
      </c>
      <c r="O951" s="1" t="s">
        <v>31</v>
      </c>
      <c r="P951" s="1" t="s">
        <v>32</v>
      </c>
      <c r="Q951" s="1" t="s">
        <v>2950</v>
      </c>
      <c r="R951" s="1">
        <v>19.440000000000001</v>
      </c>
      <c r="S951" s="1">
        <v>3</v>
      </c>
      <c r="T951" s="1">
        <v>0</v>
      </c>
      <c r="U951" s="1">
        <v>9.5256000000000007</v>
      </c>
    </row>
    <row r="952" spans="1:21" ht="15.75" x14ac:dyDescent="0.25">
      <c r="A952" s="1">
        <v>951</v>
      </c>
      <c r="B952" s="2" t="s">
        <v>2951</v>
      </c>
      <c r="C952" s="3">
        <v>45161</v>
      </c>
      <c r="D952" s="3">
        <v>45161</v>
      </c>
      <c r="E952" s="1" t="s">
        <v>497</v>
      </c>
      <c r="F952" s="1" t="s">
        <v>2952</v>
      </c>
      <c r="G952" s="1" t="s">
        <v>2953</v>
      </c>
      <c r="H952" s="1" t="s">
        <v>25</v>
      </c>
      <c r="I952" s="1" t="s">
        <v>26</v>
      </c>
      <c r="J952" s="1" t="s">
        <v>348</v>
      </c>
      <c r="K952" s="1" t="s">
        <v>349</v>
      </c>
      <c r="L952" s="1">
        <v>10009</v>
      </c>
      <c r="M952" s="1" t="s">
        <v>54</v>
      </c>
      <c r="N952" s="1" t="s">
        <v>2954</v>
      </c>
      <c r="O952" s="1" t="s">
        <v>31</v>
      </c>
      <c r="P952" s="1" t="s">
        <v>32</v>
      </c>
      <c r="Q952" s="1" t="s">
        <v>2955</v>
      </c>
      <c r="R952" s="1">
        <v>25.92</v>
      </c>
      <c r="S952" s="1">
        <v>4</v>
      </c>
      <c r="T952" s="1">
        <v>0</v>
      </c>
      <c r="U952" s="1">
        <v>12.441600000000001</v>
      </c>
    </row>
    <row r="953" spans="1:21" ht="15.75" x14ac:dyDescent="0.25">
      <c r="A953" s="1">
        <v>952</v>
      </c>
      <c r="B953" s="2" t="s">
        <v>2951</v>
      </c>
      <c r="C953" s="3">
        <v>45161</v>
      </c>
      <c r="D953" s="3">
        <v>45161</v>
      </c>
      <c r="E953" s="1" t="s">
        <v>497</v>
      </c>
      <c r="F953" s="1" t="s">
        <v>2952</v>
      </c>
      <c r="G953" s="1" t="s">
        <v>2953</v>
      </c>
      <c r="H953" s="1" t="s">
        <v>25</v>
      </c>
      <c r="I953" s="1" t="s">
        <v>26</v>
      </c>
      <c r="J953" s="1" t="s">
        <v>348</v>
      </c>
      <c r="K953" s="1" t="s">
        <v>349</v>
      </c>
      <c r="L953" s="1">
        <v>10009</v>
      </c>
      <c r="M953" s="1" t="s">
        <v>54</v>
      </c>
      <c r="N953" s="1" t="s">
        <v>2956</v>
      </c>
      <c r="O953" s="1" t="s">
        <v>31</v>
      </c>
      <c r="P953" s="1" t="s">
        <v>32</v>
      </c>
      <c r="Q953" s="1" t="s">
        <v>2957</v>
      </c>
      <c r="R953" s="1">
        <v>45.92</v>
      </c>
      <c r="S953" s="1">
        <v>4</v>
      </c>
      <c r="T953" s="1">
        <v>0</v>
      </c>
      <c r="U953" s="1">
        <v>22.500800000000002</v>
      </c>
    </row>
    <row r="954" spans="1:21" ht="15.75" x14ac:dyDescent="0.25">
      <c r="A954" s="1">
        <v>953</v>
      </c>
      <c r="B954" s="2" t="s">
        <v>2933</v>
      </c>
      <c r="C954" s="3">
        <v>45161</v>
      </c>
      <c r="D954" s="3">
        <v>45165</v>
      </c>
      <c r="E954" s="1" t="s">
        <v>22</v>
      </c>
      <c r="F954" s="1" t="s">
        <v>2934</v>
      </c>
      <c r="G954" s="1" t="s">
        <v>2935</v>
      </c>
      <c r="H954" s="1" t="s">
        <v>25</v>
      </c>
      <c r="I954" s="1" t="s">
        <v>26</v>
      </c>
      <c r="J954" s="1" t="s">
        <v>673</v>
      </c>
      <c r="K954" s="1" t="s">
        <v>674</v>
      </c>
      <c r="L954" s="1">
        <v>80219</v>
      </c>
      <c r="M954" s="1" t="s">
        <v>92</v>
      </c>
      <c r="N954" s="1" t="s">
        <v>2958</v>
      </c>
      <c r="O954" s="1" t="s">
        <v>31</v>
      </c>
      <c r="P954" s="1" t="s">
        <v>475</v>
      </c>
      <c r="Q954" s="1" t="s">
        <v>2959</v>
      </c>
      <c r="R954" s="1">
        <v>6.8000000000000007</v>
      </c>
      <c r="S954" s="1">
        <v>1</v>
      </c>
      <c r="T954" s="1">
        <v>0.2</v>
      </c>
      <c r="U954" s="1">
        <v>0.50999999999999979</v>
      </c>
    </row>
    <row r="955" spans="1:21" ht="15.75" x14ac:dyDescent="0.25">
      <c r="A955" s="1">
        <v>954</v>
      </c>
      <c r="B955" s="2" t="s">
        <v>2933</v>
      </c>
      <c r="C955" s="3">
        <v>45161</v>
      </c>
      <c r="D955" s="3">
        <v>45165</v>
      </c>
      <c r="E955" s="1" t="s">
        <v>22</v>
      </c>
      <c r="F955" s="1" t="s">
        <v>2934</v>
      </c>
      <c r="G955" s="1" t="s">
        <v>2935</v>
      </c>
      <c r="H955" s="1" t="s">
        <v>25</v>
      </c>
      <c r="I955" s="1" t="s">
        <v>26</v>
      </c>
      <c r="J955" s="1" t="s">
        <v>673</v>
      </c>
      <c r="K955" s="1" t="s">
        <v>674</v>
      </c>
      <c r="L955" s="1">
        <v>80219</v>
      </c>
      <c r="M955" s="1" t="s">
        <v>92</v>
      </c>
      <c r="N955" s="1" t="s">
        <v>2960</v>
      </c>
      <c r="O955" s="1" t="s">
        <v>96</v>
      </c>
      <c r="P955" s="1" t="s">
        <v>97</v>
      </c>
      <c r="Q955" s="1" t="s">
        <v>2961</v>
      </c>
      <c r="R955" s="1">
        <v>143.64000000000001</v>
      </c>
      <c r="S955" s="1">
        <v>9</v>
      </c>
      <c r="T955" s="1">
        <v>0.2</v>
      </c>
      <c r="U955" s="1">
        <v>10.772999999999989</v>
      </c>
    </row>
    <row r="956" spans="1:21" ht="15.75" x14ac:dyDescent="0.25">
      <c r="A956" s="1">
        <v>955</v>
      </c>
      <c r="B956" s="2" t="s">
        <v>2962</v>
      </c>
      <c r="C956" s="3">
        <v>45162</v>
      </c>
      <c r="D956" s="3">
        <v>45164</v>
      </c>
      <c r="E956" s="1" t="s">
        <v>71</v>
      </c>
      <c r="F956" s="1" t="s">
        <v>2963</v>
      </c>
      <c r="G956" s="1" t="s">
        <v>2964</v>
      </c>
      <c r="H956" s="1" t="s">
        <v>74</v>
      </c>
      <c r="I956" s="1" t="s">
        <v>26</v>
      </c>
      <c r="J956" s="1" t="s">
        <v>2965</v>
      </c>
      <c r="K956" s="1" t="s">
        <v>349</v>
      </c>
      <c r="L956" s="1">
        <v>11572</v>
      </c>
      <c r="M956" s="1" t="s">
        <v>54</v>
      </c>
      <c r="N956" s="1" t="s">
        <v>2966</v>
      </c>
      <c r="O956" s="1" t="s">
        <v>65</v>
      </c>
      <c r="P956" s="1" t="s">
        <v>106</v>
      </c>
      <c r="Q956" s="1" t="s">
        <v>2967</v>
      </c>
      <c r="R956" s="1">
        <v>13.28</v>
      </c>
      <c r="S956" s="1">
        <v>2</v>
      </c>
      <c r="T956" s="1">
        <v>0</v>
      </c>
      <c r="U956" s="1">
        <v>6.3743999999999996</v>
      </c>
    </row>
    <row r="957" spans="1:21" ht="15.75" x14ac:dyDescent="0.25">
      <c r="A957" s="1">
        <v>956</v>
      </c>
      <c r="B957" s="2" t="s">
        <v>2962</v>
      </c>
      <c r="C957" s="3">
        <v>45162</v>
      </c>
      <c r="D957" s="3">
        <v>45164</v>
      </c>
      <c r="E957" s="1" t="s">
        <v>71</v>
      </c>
      <c r="F957" s="1" t="s">
        <v>2963</v>
      </c>
      <c r="G957" s="1" t="s">
        <v>2964</v>
      </c>
      <c r="H957" s="1" t="s">
        <v>74</v>
      </c>
      <c r="I957" s="1" t="s">
        <v>26</v>
      </c>
      <c r="J957" s="1" t="s">
        <v>2965</v>
      </c>
      <c r="K957" s="1" t="s">
        <v>349</v>
      </c>
      <c r="L957" s="1">
        <v>11572</v>
      </c>
      <c r="M957" s="1" t="s">
        <v>54</v>
      </c>
      <c r="N957" s="1" t="s">
        <v>2159</v>
      </c>
      <c r="O957" s="1" t="s">
        <v>31</v>
      </c>
      <c r="P957" s="1" t="s">
        <v>41</v>
      </c>
      <c r="Q957" s="1" t="s">
        <v>2160</v>
      </c>
      <c r="R957" s="1">
        <v>12.672000000000001</v>
      </c>
      <c r="S957" s="1">
        <v>3</v>
      </c>
      <c r="T957" s="1">
        <v>0.2</v>
      </c>
      <c r="U957" s="1">
        <v>4.4352000000000009</v>
      </c>
    </row>
    <row r="958" spans="1:21" ht="15.75" x14ac:dyDescent="0.25">
      <c r="A958" s="1">
        <v>957</v>
      </c>
      <c r="B958" s="2" t="s">
        <v>2968</v>
      </c>
      <c r="C958" s="3">
        <v>45162</v>
      </c>
      <c r="D958" s="3">
        <v>45162</v>
      </c>
      <c r="E958" s="1" t="s">
        <v>497</v>
      </c>
      <c r="F958" s="1" t="s">
        <v>2939</v>
      </c>
      <c r="G958" s="1" t="s">
        <v>2940</v>
      </c>
      <c r="H958" s="1" t="s">
        <v>74</v>
      </c>
      <c r="I958" s="1" t="s">
        <v>26</v>
      </c>
      <c r="J958" s="1" t="s">
        <v>2969</v>
      </c>
      <c r="K958" s="1" t="s">
        <v>1267</v>
      </c>
      <c r="L958" s="1">
        <v>59102</v>
      </c>
      <c r="M958" s="1" t="s">
        <v>92</v>
      </c>
      <c r="N958" s="1" t="s">
        <v>2970</v>
      </c>
      <c r="O958" s="1" t="s">
        <v>31</v>
      </c>
      <c r="P958" s="1" t="s">
        <v>41</v>
      </c>
      <c r="Q958" s="1" t="s">
        <v>2971</v>
      </c>
      <c r="R958" s="1">
        <v>8.2880000000000003</v>
      </c>
      <c r="S958" s="1">
        <v>2</v>
      </c>
      <c r="T958" s="1">
        <v>0.2</v>
      </c>
      <c r="U958" s="1">
        <v>2.6935999999999991</v>
      </c>
    </row>
    <row r="959" spans="1:21" ht="15.75" x14ac:dyDescent="0.25">
      <c r="A959" s="1">
        <v>958</v>
      </c>
      <c r="B959" s="2" t="s">
        <v>2972</v>
      </c>
      <c r="C959" s="3">
        <v>45162</v>
      </c>
      <c r="D959" s="3">
        <v>45164</v>
      </c>
      <c r="E959" s="1" t="s">
        <v>87</v>
      </c>
      <c r="F959" s="1" t="s">
        <v>2973</v>
      </c>
      <c r="G959" s="1" t="s">
        <v>2974</v>
      </c>
      <c r="H959" s="1" t="s">
        <v>74</v>
      </c>
      <c r="I959" s="1" t="s">
        <v>26</v>
      </c>
      <c r="J959" s="1" t="s">
        <v>2975</v>
      </c>
      <c r="K959" s="1" t="s">
        <v>62</v>
      </c>
      <c r="L959" s="1">
        <v>42301</v>
      </c>
      <c r="M959" s="1" t="s">
        <v>63</v>
      </c>
      <c r="N959" s="1" t="s">
        <v>2958</v>
      </c>
      <c r="O959" s="1" t="s">
        <v>31</v>
      </c>
      <c r="P959" s="1" t="s">
        <v>475</v>
      </c>
      <c r="Q959" s="1" t="s">
        <v>2959</v>
      </c>
      <c r="R959" s="1">
        <v>25.5</v>
      </c>
      <c r="S959" s="1">
        <v>3</v>
      </c>
      <c r="T959" s="1">
        <v>0</v>
      </c>
      <c r="U959" s="1">
        <v>6.63</v>
      </c>
    </row>
    <row r="960" spans="1:21" ht="15.75" x14ac:dyDescent="0.25">
      <c r="A960" s="1">
        <v>959</v>
      </c>
      <c r="B960" s="2" t="s">
        <v>2976</v>
      </c>
      <c r="C960" s="3">
        <v>45163</v>
      </c>
      <c r="D960" s="3">
        <v>45167</v>
      </c>
      <c r="E960" s="1" t="s">
        <v>22</v>
      </c>
      <c r="F960" s="1" t="s">
        <v>2977</v>
      </c>
      <c r="G960" s="1" t="s">
        <v>2978</v>
      </c>
      <c r="H960" s="1" t="s">
        <v>74</v>
      </c>
      <c r="I960" s="1" t="s">
        <v>26</v>
      </c>
      <c r="J960" s="1" t="s">
        <v>90</v>
      </c>
      <c r="K960" s="1" t="s">
        <v>91</v>
      </c>
      <c r="L960" s="1">
        <v>90036</v>
      </c>
      <c r="M960" s="1" t="s">
        <v>92</v>
      </c>
      <c r="N960" s="1" t="s">
        <v>2979</v>
      </c>
      <c r="O960" s="1" t="s">
        <v>65</v>
      </c>
      <c r="P960" s="1" t="s">
        <v>106</v>
      </c>
      <c r="Q960" s="1" t="s">
        <v>2980</v>
      </c>
      <c r="R960" s="1">
        <v>6.28</v>
      </c>
      <c r="S960" s="1">
        <v>1</v>
      </c>
      <c r="T960" s="1">
        <v>0</v>
      </c>
      <c r="U960" s="1">
        <v>2.6376000000000004</v>
      </c>
    </row>
    <row r="961" spans="1:21" ht="15.75" x14ac:dyDescent="0.25">
      <c r="A961" s="1">
        <v>960</v>
      </c>
      <c r="B961" s="2" t="s">
        <v>2981</v>
      </c>
      <c r="C961" s="3">
        <v>45163</v>
      </c>
      <c r="D961" s="3">
        <v>45168</v>
      </c>
      <c r="E961" s="1" t="s">
        <v>22</v>
      </c>
      <c r="F961" s="1" t="s">
        <v>179</v>
      </c>
      <c r="G961" s="1" t="s">
        <v>180</v>
      </c>
      <c r="H961" s="1" t="s">
        <v>74</v>
      </c>
      <c r="I961" s="1" t="s">
        <v>26</v>
      </c>
      <c r="J961" s="1" t="s">
        <v>549</v>
      </c>
      <c r="K961" s="1" t="s">
        <v>155</v>
      </c>
      <c r="L961" s="1">
        <v>43229</v>
      </c>
      <c r="M961" s="1" t="s">
        <v>54</v>
      </c>
      <c r="N961" s="1" t="s">
        <v>2501</v>
      </c>
      <c r="O961" s="1" t="s">
        <v>31</v>
      </c>
      <c r="P961" s="1" t="s">
        <v>41</v>
      </c>
      <c r="Q961" s="1" t="s">
        <v>2502</v>
      </c>
      <c r="R961" s="1">
        <v>6.5280000000000014</v>
      </c>
      <c r="S961" s="1">
        <v>4</v>
      </c>
      <c r="T961" s="1">
        <v>0.7</v>
      </c>
      <c r="U961" s="1">
        <v>-4.5695999999999994</v>
      </c>
    </row>
    <row r="962" spans="1:21" ht="15.75" x14ac:dyDescent="0.25">
      <c r="A962" s="1">
        <v>961</v>
      </c>
      <c r="B962" s="2" t="s">
        <v>2981</v>
      </c>
      <c r="C962" s="3">
        <v>45163</v>
      </c>
      <c r="D962" s="3">
        <v>45168</v>
      </c>
      <c r="E962" s="1" t="s">
        <v>22</v>
      </c>
      <c r="F962" s="1" t="s">
        <v>179</v>
      </c>
      <c r="G962" s="1" t="s">
        <v>180</v>
      </c>
      <c r="H962" s="1" t="s">
        <v>74</v>
      </c>
      <c r="I962" s="1" t="s">
        <v>26</v>
      </c>
      <c r="J962" s="1" t="s">
        <v>549</v>
      </c>
      <c r="K962" s="1" t="s">
        <v>155</v>
      </c>
      <c r="L962" s="1">
        <v>43229</v>
      </c>
      <c r="M962" s="1" t="s">
        <v>54</v>
      </c>
      <c r="N962" s="1" t="s">
        <v>2466</v>
      </c>
      <c r="O962" s="1" t="s">
        <v>31</v>
      </c>
      <c r="P962" s="1" t="s">
        <v>41</v>
      </c>
      <c r="Q962" s="1" t="s">
        <v>2467</v>
      </c>
      <c r="R962" s="1">
        <v>20.856000000000002</v>
      </c>
      <c r="S962" s="1">
        <v>8</v>
      </c>
      <c r="T962" s="1">
        <v>0.7</v>
      </c>
      <c r="U962" s="1">
        <v>-16.684799999999996</v>
      </c>
    </row>
    <row r="963" spans="1:21" ht="15.75" x14ac:dyDescent="0.25">
      <c r="A963" s="1">
        <v>962</v>
      </c>
      <c r="B963" s="2" t="s">
        <v>2982</v>
      </c>
      <c r="C963" s="3">
        <v>45163</v>
      </c>
      <c r="D963" s="3">
        <v>45167</v>
      </c>
      <c r="E963" s="1" t="s">
        <v>22</v>
      </c>
      <c r="F963" s="1" t="s">
        <v>2983</v>
      </c>
      <c r="G963" s="1" t="s">
        <v>2984</v>
      </c>
      <c r="H963" s="1" t="s">
        <v>25</v>
      </c>
      <c r="I963" s="1" t="s">
        <v>26</v>
      </c>
      <c r="J963" s="1" t="s">
        <v>27</v>
      </c>
      <c r="K963" s="1" t="s">
        <v>28</v>
      </c>
      <c r="L963" s="1">
        <v>77070</v>
      </c>
      <c r="M963" s="1" t="s">
        <v>29</v>
      </c>
      <c r="N963" s="1" t="s">
        <v>2985</v>
      </c>
      <c r="O963" s="1" t="s">
        <v>31</v>
      </c>
      <c r="P963" s="1" t="s">
        <v>41</v>
      </c>
      <c r="Q963" s="1" t="s">
        <v>2986</v>
      </c>
      <c r="R963" s="1">
        <v>25.679999999999993</v>
      </c>
      <c r="S963" s="1">
        <v>3</v>
      </c>
      <c r="T963" s="1">
        <v>0.8</v>
      </c>
      <c r="U963" s="1">
        <v>-39.804000000000002</v>
      </c>
    </row>
    <row r="964" spans="1:21" ht="15.75" x14ac:dyDescent="0.25">
      <c r="A964" s="1">
        <v>963</v>
      </c>
      <c r="B964" s="2" t="s">
        <v>2982</v>
      </c>
      <c r="C964" s="3">
        <v>45163</v>
      </c>
      <c r="D964" s="3">
        <v>45167</v>
      </c>
      <c r="E964" s="1" t="s">
        <v>22</v>
      </c>
      <c r="F964" s="1" t="s">
        <v>2983</v>
      </c>
      <c r="G964" s="1" t="s">
        <v>2984</v>
      </c>
      <c r="H964" s="1" t="s">
        <v>25</v>
      </c>
      <c r="I964" s="1" t="s">
        <v>26</v>
      </c>
      <c r="J964" s="1" t="s">
        <v>27</v>
      </c>
      <c r="K964" s="1" t="s">
        <v>28</v>
      </c>
      <c r="L964" s="1">
        <v>77070</v>
      </c>
      <c r="M964" s="1" t="s">
        <v>29</v>
      </c>
      <c r="N964" s="1" t="s">
        <v>2987</v>
      </c>
      <c r="O964" s="1" t="s">
        <v>31</v>
      </c>
      <c r="P964" s="1" t="s">
        <v>41</v>
      </c>
      <c r="Q964" s="1" t="s">
        <v>2988</v>
      </c>
      <c r="R964" s="1">
        <v>12.383999999999997</v>
      </c>
      <c r="S964" s="1">
        <v>3</v>
      </c>
      <c r="T964" s="1">
        <v>0.8</v>
      </c>
      <c r="U964" s="1">
        <v>-19.814400000000003</v>
      </c>
    </row>
    <row r="965" spans="1:21" ht="15.75" x14ac:dyDescent="0.25">
      <c r="A965" s="1">
        <v>964</v>
      </c>
      <c r="B965" s="2" t="s">
        <v>2981</v>
      </c>
      <c r="C965" s="3">
        <v>45163</v>
      </c>
      <c r="D965" s="3">
        <v>45168</v>
      </c>
      <c r="E965" s="1" t="s">
        <v>22</v>
      </c>
      <c r="F965" s="1" t="s">
        <v>179</v>
      </c>
      <c r="G965" s="1" t="s">
        <v>180</v>
      </c>
      <c r="H965" s="1" t="s">
        <v>74</v>
      </c>
      <c r="I965" s="1" t="s">
        <v>26</v>
      </c>
      <c r="J965" s="1" t="s">
        <v>549</v>
      </c>
      <c r="K965" s="1" t="s">
        <v>155</v>
      </c>
      <c r="L965" s="1">
        <v>43229</v>
      </c>
      <c r="M965" s="1" t="s">
        <v>54</v>
      </c>
      <c r="N965" s="1" t="s">
        <v>2989</v>
      </c>
      <c r="O965" s="1" t="s">
        <v>31</v>
      </c>
      <c r="P965" s="1" t="s">
        <v>41</v>
      </c>
      <c r="Q965" s="1" t="s">
        <v>2990</v>
      </c>
      <c r="R965" s="1">
        <v>2.8620000000000005</v>
      </c>
      <c r="S965" s="1">
        <v>3</v>
      </c>
      <c r="T965" s="1">
        <v>0.7</v>
      </c>
      <c r="U965" s="1">
        <v>-2.2896000000000001</v>
      </c>
    </row>
    <row r="966" spans="1:21" ht="15.75" x14ac:dyDescent="0.25">
      <c r="A966" s="1">
        <v>965</v>
      </c>
      <c r="B966" s="2" t="s">
        <v>2991</v>
      </c>
      <c r="C966" s="3">
        <v>45163</v>
      </c>
      <c r="D966" s="3">
        <v>45165</v>
      </c>
      <c r="E966" s="1" t="s">
        <v>87</v>
      </c>
      <c r="F966" s="1" t="s">
        <v>2992</v>
      </c>
      <c r="G966" s="1" t="s">
        <v>2993</v>
      </c>
      <c r="H966" s="1" t="s">
        <v>25</v>
      </c>
      <c r="I966" s="1" t="s">
        <v>26</v>
      </c>
      <c r="J966" s="1" t="s">
        <v>549</v>
      </c>
      <c r="K966" s="1" t="s">
        <v>155</v>
      </c>
      <c r="L966" s="1">
        <v>43229</v>
      </c>
      <c r="M966" s="1" t="s">
        <v>54</v>
      </c>
      <c r="N966" s="1" t="s">
        <v>216</v>
      </c>
      <c r="O966" s="1" t="s">
        <v>31</v>
      </c>
      <c r="P966" s="1" t="s">
        <v>166</v>
      </c>
      <c r="Q966" s="1" t="s">
        <v>217</v>
      </c>
      <c r="R966" s="1">
        <v>130.464</v>
      </c>
      <c r="S966" s="1">
        <v>6</v>
      </c>
      <c r="T966" s="1">
        <v>0.2</v>
      </c>
      <c r="U966" s="1">
        <v>44.031599999999997</v>
      </c>
    </row>
    <row r="967" spans="1:21" ht="15.75" x14ac:dyDescent="0.25">
      <c r="A967" s="1">
        <v>966</v>
      </c>
      <c r="B967" s="2" t="s">
        <v>2991</v>
      </c>
      <c r="C967" s="3">
        <v>45163</v>
      </c>
      <c r="D967" s="3">
        <v>45165</v>
      </c>
      <c r="E967" s="1" t="s">
        <v>87</v>
      </c>
      <c r="F967" s="1" t="s">
        <v>2992</v>
      </c>
      <c r="G967" s="1" t="s">
        <v>2993</v>
      </c>
      <c r="H967" s="1" t="s">
        <v>25</v>
      </c>
      <c r="I967" s="1" t="s">
        <v>26</v>
      </c>
      <c r="J967" s="1" t="s">
        <v>549</v>
      </c>
      <c r="K967" s="1" t="s">
        <v>155</v>
      </c>
      <c r="L967" s="1">
        <v>43229</v>
      </c>
      <c r="M967" s="1" t="s">
        <v>54</v>
      </c>
      <c r="N967" s="1" t="s">
        <v>2994</v>
      </c>
      <c r="O967" s="1" t="s">
        <v>31</v>
      </c>
      <c r="P967" s="1" t="s">
        <v>166</v>
      </c>
      <c r="Q967" s="1" t="s">
        <v>2995</v>
      </c>
      <c r="R967" s="1">
        <v>4.7200000000000006</v>
      </c>
      <c r="S967" s="1">
        <v>2</v>
      </c>
      <c r="T967" s="1">
        <v>0.2</v>
      </c>
      <c r="U967" s="1">
        <v>1.6519999999999997</v>
      </c>
    </row>
    <row r="968" spans="1:21" ht="15.75" x14ac:dyDescent="0.25">
      <c r="A968" s="1">
        <v>967</v>
      </c>
      <c r="B968" s="2" t="s">
        <v>2991</v>
      </c>
      <c r="C968" s="3">
        <v>45163</v>
      </c>
      <c r="D968" s="3">
        <v>45165</v>
      </c>
      <c r="E968" s="1" t="s">
        <v>87</v>
      </c>
      <c r="F968" s="1" t="s">
        <v>2992</v>
      </c>
      <c r="G968" s="1" t="s">
        <v>2993</v>
      </c>
      <c r="H968" s="1" t="s">
        <v>25</v>
      </c>
      <c r="I968" s="1" t="s">
        <v>26</v>
      </c>
      <c r="J968" s="1" t="s">
        <v>549</v>
      </c>
      <c r="K968" s="1" t="s">
        <v>155</v>
      </c>
      <c r="L968" s="1">
        <v>43229</v>
      </c>
      <c r="M968" s="1" t="s">
        <v>54</v>
      </c>
      <c r="N968" s="1" t="s">
        <v>2641</v>
      </c>
      <c r="O968" s="1" t="s">
        <v>31</v>
      </c>
      <c r="P968" s="1" t="s">
        <v>82</v>
      </c>
      <c r="Q968" s="1" t="s">
        <v>2642</v>
      </c>
      <c r="R968" s="1">
        <v>40.096000000000004</v>
      </c>
      <c r="S968" s="1">
        <v>14</v>
      </c>
      <c r="T968" s="1">
        <v>0.2</v>
      </c>
      <c r="U968" s="1">
        <v>14.534799999999997</v>
      </c>
    </row>
    <row r="969" spans="1:21" ht="15.75" x14ac:dyDescent="0.25">
      <c r="A969" s="1">
        <v>968</v>
      </c>
      <c r="B969" s="2" t="s">
        <v>2991</v>
      </c>
      <c r="C969" s="3">
        <v>45163</v>
      </c>
      <c r="D969" s="3">
        <v>45165</v>
      </c>
      <c r="E969" s="1" t="s">
        <v>87</v>
      </c>
      <c r="F969" s="1" t="s">
        <v>2992</v>
      </c>
      <c r="G969" s="1" t="s">
        <v>2993</v>
      </c>
      <c r="H969" s="1" t="s">
        <v>25</v>
      </c>
      <c r="I969" s="1" t="s">
        <v>26</v>
      </c>
      <c r="J969" s="1" t="s">
        <v>549</v>
      </c>
      <c r="K969" s="1" t="s">
        <v>155</v>
      </c>
      <c r="L969" s="1">
        <v>43229</v>
      </c>
      <c r="M969" s="1" t="s">
        <v>54</v>
      </c>
      <c r="N969" s="1" t="s">
        <v>2996</v>
      </c>
      <c r="O969" s="1" t="s">
        <v>31</v>
      </c>
      <c r="P969" s="1" t="s">
        <v>32</v>
      </c>
      <c r="Q969" s="1" t="s">
        <v>2997</v>
      </c>
      <c r="R969" s="1">
        <v>23.976000000000003</v>
      </c>
      <c r="S969" s="1">
        <v>3</v>
      </c>
      <c r="T969" s="1">
        <v>0.2</v>
      </c>
      <c r="U969" s="1">
        <v>7.4924999999999988</v>
      </c>
    </row>
    <row r="970" spans="1:21" ht="15.75" x14ac:dyDescent="0.25">
      <c r="A970" s="1">
        <v>969</v>
      </c>
      <c r="B970" s="2" t="s">
        <v>2976</v>
      </c>
      <c r="C970" s="3">
        <v>45163</v>
      </c>
      <c r="D970" s="3">
        <v>45167</v>
      </c>
      <c r="E970" s="1" t="s">
        <v>22</v>
      </c>
      <c r="F970" s="1" t="s">
        <v>2977</v>
      </c>
      <c r="G970" s="1" t="s">
        <v>2978</v>
      </c>
      <c r="H970" s="1" t="s">
        <v>74</v>
      </c>
      <c r="I970" s="1" t="s">
        <v>26</v>
      </c>
      <c r="J970" s="1" t="s">
        <v>90</v>
      </c>
      <c r="K970" s="1" t="s">
        <v>91</v>
      </c>
      <c r="L970" s="1">
        <v>90036</v>
      </c>
      <c r="M970" s="1" t="s">
        <v>92</v>
      </c>
      <c r="N970" s="1" t="s">
        <v>2998</v>
      </c>
      <c r="O970" s="1" t="s">
        <v>31</v>
      </c>
      <c r="P970" s="1" t="s">
        <v>32</v>
      </c>
      <c r="Q970" s="1" t="s">
        <v>2999</v>
      </c>
      <c r="R970" s="1">
        <v>25.92</v>
      </c>
      <c r="S970" s="1">
        <v>4</v>
      </c>
      <c r="T970" s="1">
        <v>0</v>
      </c>
      <c r="U970" s="1">
        <v>12.441600000000001</v>
      </c>
    </row>
    <row r="971" spans="1:21" ht="15.75" x14ac:dyDescent="0.25">
      <c r="A971" s="1">
        <v>970</v>
      </c>
      <c r="B971" s="2" t="s">
        <v>2976</v>
      </c>
      <c r="C971" s="3">
        <v>45163</v>
      </c>
      <c r="D971" s="3">
        <v>45167</v>
      </c>
      <c r="E971" s="1" t="s">
        <v>22</v>
      </c>
      <c r="F971" s="1" t="s">
        <v>2977</v>
      </c>
      <c r="G971" s="1" t="s">
        <v>2978</v>
      </c>
      <c r="H971" s="1" t="s">
        <v>74</v>
      </c>
      <c r="I971" s="1" t="s">
        <v>26</v>
      </c>
      <c r="J971" s="1" t="s">
        <v>90</v>
      </c>
      <c r="K971" s="1" t="s">
        <v>91</v>
      </c>
      <c r="L971" s="1">
        <v>90036</v>
      </c>
      <c r="M971" s="1" t="s">
        <v>92</v>
      </c>
      <c r="N971" s="1" t="s">
        <v>3000</v>
      </c>
      <c r="O971" s="1" t="s">
        <v>31</v>
      </c>
      <c r="P971" s="1" t="s">
        <v>47</v>
      </c>
      <c r="Q971" s="1" t="s">
        <v>3001</v>
      </c>
      <c r="R971" s="1">
        <v>48.84</v>
      </c>
      <c r="S971" s="1">
        <v>4</v>
      </c>
      <c r="T971" s="1">
        <v>0</v>
      </c>
      <c r="U971" s="1">
        <v>13.186800000000005</v>
      </c>
    </row>
    <row r="972" spans="1:21" ht="15.75" x14ac:dyDescent="0.25">
      <c r="A972" s="1">
        <v>971</v>
      </c>
      <c r="B972" s="2" t="s">
        <v>2976</v>
      </c>
      <c r="C972" s="3">
        <v>45163</v>
      </c>
      <c r="D972" s="3">
        <v>45167</v>
      </c>
      <c r="E972" s="1" t="s">
        <v>22</v>
      </c>
      <c r="F972" s="1" t="s">
        <v>2977</v>
      </c>
      <c r="G972" s="1" t="s">
        <v>2978</v>
      </c>
      <c r="H972" s="1" t="s">
        <v>74</v>
      </c>
      <c r="I972" s="1" t="s">
        <v>26</v>
      </c>
      <c r="J972" s="1" t="s">
        <v>90</v>
      </c>
      <c r="K972" s="1" t="s">
        <v>91</v>
      </c>
      <c r="L972" s="1">
        <v>90036</v>
      </c>
      <c r="M972" s="1" t="s">
        <v>92</v>
      </c>
      <c r="N972" s="1" t="s">
        <v>3002</v>
      </c>
      <c r="O972" s="1" t="s">
        <v>96</v>
      </c>
      <c r="P972" s="1" t="s">
        <v>117</v>
      </c>
      <c r="Q972" s="1" t="s">
        <v>3003</v>
      </c>
      <c r="R972" s="1">
        <v>95.1</v>
      </c>
      <c r="S972" s="1">
        <v>5</v>
      </c>
      <c r="T972" s="1">
        <v>0</v>
      </c>
      <c r="U972" s="1">
        <v>30.431999999999995</v>
      </c>
    </row>
    <row r="973" spans="1:21" ht="15.75" x14ac:dyDescent="0.25">
      <c r="A973" s="1">
        <v>972</v>
      </c>
      <c r="B973" s="2" t="s">
        <v>3004</v>
      </c>
      <c r="C973" s="3">
        <v>45163</v>
      </c>
      <c r="D973" s="3">
        <v>45168</v>
      </c>
      <c r="E973" s="1" t="s">
        <v>22</v>
      </c>
      <c r="F973" s="1" t="s">
        <v>3005</v>
      </c>
      <c r="G973" s="1" t="s">
        <v>3006</v>
      </c>
      <c r="H973" s="1" t="s">
        <v>25</v>
      </c>
      <c r="I973" s="1" t="s">
        <v>26</v>
      </c>
      <c r="J973" s="1" t="s">
        <v>387</v>
      </c>
      <c r="K973" s="1" t="s">
        <v>388</v>
      </c>
      <c r="L973" s="1">
        <v>98103</v>
      </c>
      <c r="M973" s="1" t="s">
        <v>92</v>
      </c>
      <c r="N973" s="1" t="s">
        <v>2387</v>
      </c>
      <c r="O973" s="1" t="s">
        <v>96</v>
      </c>
      <c r="P973" s="1" t="s">
        <v>97</v>
      </c>
      <c r="Q973" s="1" t="s">
        <v>2388</v>
      </c>
      <c r="R973" s="1">
        <v>1007.9440000000002</v>
      </c>
      <c r="S973" s="1">
        <v>7</v>
      </c>
      <c r="T973" s="1">
        <v>0.2</v>
      </c>
      <c r="U973" s="1">
        <v>75.595799999999997</v>
      </c>
    </row>
    <row r="974" spans="1:21" ht="15.75" x14ac:dyDescent="0.25">
      <c r="A974" s="1">
        <v>973</v>
      </c>
      <c r="B974" s="2" t="s">
        <v>3007</v>
      </c>
      <c r="C974" s="3">
        <v>45164</v>
      </c>
      <c r="D974" s="3">
        <v>45170</v>
      </c>
      <c r="E974" s="1" t="s">
        <v>22</v>
      </c>
      <c r="F974" s="1" t="s">
        <v>3008</v>
      </c>
      <c r="G974" s="1" t="s">
        <v>3009</v>
      </c>
      <c r="H974" s="1" t="s">
        <v>25</v>
      </c>
      <c r="I974" s="1" t="s">
        <v>26</v>
      </c>
      <c r="J974" s="1" t="s">
        <v>154</v>
      </c>
      <c r="K974" s="1" t="s">
        <v>132</v>
      </c>
      <c r="L974" s="1">
        <v>19711</v>
      </c>
      <c r="M974" s="1" t="s">
        <v>54</v>
      </c>
      <c r="N974" s="1" t="s">
        <v>2214</v>
      </c>
      <c r="O974" s="1" t="s">
        <v>65</v>
      </c>
      <c r="P974" s="1" t="s">
        <v>106</v>
      </c>
      <c r="Q974" s="1" t="s">
        <v>2215</v>
      </c>
      <c r="R974" s="1">
        <v>10.68</v>
      </c>
      <c r="S974" s="1">
        <v>4</v>
      </c>
      <c r="T974" s="1">
        <v>0</v>
      </c>
      <c r="U974" s="1">
        <v>4.0583999999999998</v>
      </c>
    </row>
    <row r="975" spans="1:21" ht="15.75" x14ac:dyDescent="0.25">
      <c r="A975" s="1">
        <v>974</v>
      </c>
      <c r="B975" s="2" t="s">
        <v>3010</v>
      </c>
      <c r="C975" s="3">
        <v>45164</v>
      </c>
      <c r="D975" s="3">
        <v>45170</v>
      </c>
      <c r="E975" s="1" t="s">
        <v>22</v>
      </c>
      <c r="F975" s="1" t="s">
        <v>3011</v>
      </c>
      <c r="G975" s="1" t="s">
        <v>3012</v>
      </c>
      <c r="H975" s="1" t="s">
        <v>37</v>
      </c>
      <c r="I975" s="1" t="s">
        <v>26</v>
      </c>
      <c r="J975" s="1" t="s">
        <v>154</v>
      </c>
      <c r="K975" s="1" t="s">
        <v>132</v>
      </c>
      <c r="L975" s="1">
        <v>19711</v>
      </c>
      <c r="M975" s="1" t="s">
        <v>54</v>
      </c>
      <c r="N975" s="1" t="s">
        <v>3013</v>
      </c>
      <c r="O975" s="1" t="s">
        <v>31</v>
      </c>
      <c r="P975" s="1" t="s">
        <v>56</v>
      </c>
      <c r="Q975" s="1" t="s">
        <v>3014</v>
      </c>
      <c r="R975" s="1">
        <v>8.64</v>
      </c>
      <c r="S975" s="1">
        <v>3</v>
      </c>
      <c r="T975" s="1">
        <v>0</v>
      </c>
      <c r="U975" s="1">
        <v>2.5055999999999998</v>
      </c>
    </row>
    <row r="976" spans="1:21" ht="15.75" x14ac:dyDescent="0.25">
      <c r="A976" s="1">
        <v>975</v>
      </c>
      <c r="B976" s="2" t="s">
        <v>3007</v>
      </c>
      <c r="C976" s="3">
        <v>45164</v>
      </c>
      <c r="D976" s="3">
        <v>45170</v>
      </c>
      <c r="E976" s="1" t="s">
        <v>22</v>
      </c>
      <c r="F976" s="1" t="s">
        <v>3008</v>
      </c>
      <c r="G976" s="1" t="s">
        <v>3009</v>
      </c>
      <c r="H976" s="1" t="s">
        <v>25</v>
      </c>
      <c r="I976" s="1" t="s">
        <v>26</v>
      </c>
      <c r="J976" s="1" t="s">
        <v>154</v>
      </c>
      <c r="K976" s="1" t="s">
        <v>132</v>
      </c>
      <c r="L976" s="1">
        <v>19711</v>
      </c>
      <c r="M976" s="1" t="s">
        <v>54</v>
      </c>
      <c r="N976" s="1" t="s">
        <v>3015</v>
      </c>
      <c r="O976" s="1" t="s">
        <v>31</v>
      </c>
      <c r="P976" s="1" t="s">
        <v>32</v>
      </c>
      <c r="Q976" s="1" t="s">
        <v>3016</v>
      </c>
      <c r="R976" s="1">
        <v>17.34</v>
      </c>
      <c r="S976" s="1">
        <v>3</v>
      </c>
      <c r="T976" s="1">
        <v>0</v>
      </c>
      <c r="U976" s="1">
        <v>8.4966000000000008</v>
      </c>
    </row>
    <row r="977" spans="1:21" ht="15.75" x14ac:dyDescent="0.25">
      <c r="A977" s="1">
        <v>976</v>
      </c>
      <c r="B977" s="2" t="s">
        <v>3007</v>
      </c>
      <c r="C977" s="3">
        <v>45164</v>
      </c>
      <c r="D977" s="3">
        <v>45170</v>
      </c>
      <c r="E977" s="1" t="s">
        <v>22</v>
      </c>
      <c r="F977" s="1" t="s">
        <v>3008</v>
      </c>
      <c r="G977" s="1" t="s">
        <v>3009</v>
      </c>
      <c r="H977" s="1" t="s">
        <v>25</v>
      </c>
      <c r="I977" s="1" t="s">
        <v>26</v>
      </c>
      <c r="J977" s="1" t="s">
        <v>154</v>
      </c>
      <c r="K977" s="1" t="s">
        <v>132</v>
      </c>
      <c r="L977" s="1">
        <v>19711</v>
      </c>
      <c r="M977" s="1" t="s">
        <v>54</v>
      </c>
      <c r="N977" s="1" t="s">
        <v>3017</v>
      </c>
      <c r="O977" s="1" t="s">
        <v>31</v>
      </c>
      <c r="P977" s="1" t="s">
        <v>32</v>
      </c>
      <c r="Q977" s="1" t="s">
        <v>3018</v>
      </c>
      <c r="R977" s="1">
        <v>3.38</v>
      </c>
      <c r="S977" s="1">
        <v>1</v>
      </c>
      <c r="T977" s="1">
        <v>0</v>
      </c>
      <c r="U977" s="1">
        <v>1.5547999999999997</v>
      </c>
    </row>
    <row r="978" spans="1:21" ht="15.75" x14ac:dyDescent="0.25">
      <c r="A978" s="1">
        <v>977</v>
      </c>
      <c r="B978" s="2" t="s">
        <v>3019</v>
      </c>
      <c r="C978" s="3">
        <v>45164</v>
      </c>
      <c r="D978" s="3">
        <v>45168</v>
      </c>
      <c r="E978" s="1" t="s">
        <v>22</v>
      </c>
      <c r="F978" s="1" t="s">
        <v>3020</v>
      </c>
      <c r="G978" s="1" t="s">
        <v>3021</v>
      </c>
      <c r="H978" s="1" t="s">
        <v>37</v>
      </c>
      <c r="I978" s="1" t="s">
        <v>26</v>
      </c>
      <c r="J978" s="1" t="s">
        <v>90</v>
      </c>
      <c r="K978" s="1" t="s">
        <v>91</v>
      </c>
      <c r="L978" s="1">
        <v>90032</v>
      </c>
      <c r="M978" s="1" t="s">
        <v>92</v>
      </c>
      <c r="N978" s="1" t="s">
        <v>967</v>
      </c>
      <c r="O978" s="1" t="s">
        <v>96</v>
      </c>
      <c r="P978" s="1" t="s">
        <v>117</v>
      </c>
      <c r="Q978" s="1" t="s">
        <v>968</v>
      </c>
      <c r="R978" s="1">
        <v>176.8</v>
      </c>
      <c r="S978" s="1">
        <v>8</v>
      </c>
      <c r="T978" s="1">
        <v>0</v>
      </c>
      <c r="U978" s="1">
        <v>22.984000000000009</v>
      </c>
    </row>
    <row r="979" spans="1:21" ht="15.75" x14ac:dyDescent="0.25">
      <c r="A979" s="1">
        <v>978</v>
      </c>
      <c r="B979" s="2" t="s">
        <v>3010</v>
      </c>
      <c r="C979" s="3">
        <v>45164</v>
      </c>
      <c r="D979" s="3">
        <v>45170</v>
      </c>
      <c r="E979" s="1" t="s">
        <v>22</v>
      </c>
      <c r="F979" s="1" t="s">
        <v>3011</v>
      </c>
      <c r="G979" s="1" t="s">
        <v>3012</v>
      </c>
      <c r="H979" s="1" t="s">
        <v>37</v>
      </c>
      <c r="I979" s="1" t="s">
        <v>26</v>
      </c>
      <c r="J979" s="1" t="s">
        <v>154</v>
      </c>
      <c r="K979" s="1" t="s">
        <v>132</v>
      </c>
      <c r="L979" s="1">
        <v>19711</v>
      </c>
      <c r="M979" s="1" t="s">
        <v>54</v>
      </c>
      <c r="N979" s="1" t="s">
        <v>1669</v>
      </c>
      <c r="O979" s="1" t="s">
        <v>96</v>
      </c>
      <c r="P979" s="1" t="s">
        <v>117</v>
      </c>
      <c r="Q979" s="1" t="s">
        <v>1670</v>
      </c>
      <c r="R979" s="1">
        <v>149.97</v>
      </c>
      <c r="S979" s="1">
        <v>3</v>
      </c>
      <c r="T979" s="1">
        <v>0</v>
      </c>
      <c r="U979" s="1">
        <v>52.489499999999992</v>
      </c>
    </row>
    <row r="980" spans="1:21" ht="15.75" x14ac:dyDescent="0.25">
      <c r="A980" s="1">
        <v>979</v>
      </c>
      <c r="B980" s="2" t="s">
        <v>3022</v>
      </c>
      <c r="C980" s="3">
        <v>45165</v>
      </c>
      <c r="D980" s="3">
        <v>45167</v>
      </c>
      <c r="E980" s="1" t="s">
        <v>71</v>
      </c>
      <c r="F980" s="1" t="s">
        <v>3023</v>
      </c>
      <c r="G980" s="1" t="s">
        <v>3024</v>
      </c>
      <c r="H980" s="1" t="s">
        <v>74</v>
      </c>
      <c r="I980" s="1" t="s">
        <v>26</v>
      </c>
      <c r="J980" s="1" t="s">
        <v>122</v>
      </c>
      <c r="K980" s="1" t="s">
        <v>123</v>
      </c>
      <c r="L980" s="1">
        <v>22153</v>
      </c>
      <c r="M980" s="1" t="s">
        <v>63</v>
      </c>
      <c r="N980" s="1" t="s">
        <v>3025</v>
      </c>
      <c r="O980" s="1" t="s">
        <v>65</v>
      </c>
      <c r="P980" s="1" t="s">
        <v>106</v>
      </c>
      <c r="Q980" s="1" t="s">
        <v>3026</v>
      </c>
      <c r="R980" s="1">
        <v>29.12</v>
      </c>
      <c r="S980" s="1">
        <v>4</v>
      </c>
      <c r="T980" s="1">
        <v>0</v>
      </c>
      <c r="U980" s="1">
        <v>12.521600000000003</v>
      </c>
    </row>
    <row r="981" spans="1:21" ht="15.75" x14ac:dyDescent="0.25">
      <c r="A981" s="1">
        <v>980</v>
      </c>
      <c r="B981" s="2" t="s">
        <v>3022</v>
      </c>
      <c r="C981" s="3">
        <v>45165</v>
      </c>
      <c r="D981" s="3">
        <v>45167</v>
      </c>
      <c r="E981" s="1" t="s">
        <v>71</v>
      </c>
      <c r="F981" s="1" t="s">
        <v>3023</v>
      </c>
      <c r="G981" s="1" t="s">
        <v>3024</v>
      </c>
      <c r="H981" s="1" t="s">
        <v>74</v>
      </c>
      <c r="I981" s="1" t="s">
        <v>26</v>
      </c>
      <c r="J981" s="1" t="s">
        <v>122</v>
      </c>
      <c r="K981" s="1" t="s">
        <v>123</v>
      </c>
      <c r="L981" s="1">
        <v>22153</v>
      </c>
      <c r="M981" s="1" t="s">
        <v>63</v>
      </c>
      <c r="N981" s="1" t="s">
        <v>3027</v>
      </c>
      <c r="O981" s="1" t="s">
        <v>65</v>
      </c>
      <c r="P981" s="1" t="s">
        <v>339</v>
      </c>
      <c r="Q981" s="1" t="s">
        <v>3028</v>
      </c>
      <c r="R981" s="1">
        <v>1202.94</v>
      </c>
      <c r="S981" s="1">
        <v>3</v>
      </c>
      <c r="T981" s="1">
        <v>0</v>
      </c>
      <c r="U981" s="1">
        <v>300.73500000000001</v>
      </c>
    </row>
    <row r="982" spans="1:21" ht="15.75" x14ac:dyDescent="0.25">
      <c r="A982" s="1">
        <v>981</v>
      </c>
      <c r="B982" s="2" t="s">
        <v>3029</v>
      </c>
      <c r="C982" s="3">
        <v>45165</v>
      </c>
      <c r="D982" s="3">
        <v>45170</v>
      </c>
      <c r="E982" s="1" t="s">
        <v>87</v>
      </c>
      <c r="F982" s="1" t="s">
        <v>3030</v>
      </c>
      <c r="G982" s="1" t="s">
        <v>3031</v>
      </c>
      <c r="H982" s="1" t="s">
        <v>25</v>
      </c>
      <c r="I982" s="1" t="s">
        <v>26</v>
      </c>
      <c r="J982" s="1" t="s">
        <v>138</v>
      </c>
      <c r="K982" s="1" t="s">
        <v>91</v>
      </c>
      <c r="L982" s="1">
        <v>94109</v>
      </c>
      <c r="M982" s="1" t="s">
        <v>92</v>
      </c>
      <c r="N982" s="1" t="s">
        <v>2153</v>
      </c>
      <c r="O982" s="1" t="s">
        <v>31</v>
      </c>
      <c r="P982" s="1" t="s">
        <v>56</v>
      </c>
      <c r="Q982" s="1" t="s">
        <v>2154</v>
      </c>
      <c r="R982" s="1">
        <v>8.56</v>
      </c>
      <c r="S982" s="1">
        <v>2</v>
      </c>
      <c r="T982" s="1">
        <v>0</v>
      </c>
      <c r="U982" s="1">
        <v>2.4823999999999993</v>
      </c>
    </row>
    <row r="983" spans="1:21" ht="15.75" x14ac:dyDescent="0.25">
      <c r="A983" s="1">
        <v>982</v>
      </c>
      <c r="B983" s="2" t="s">
        <v>3029</v>
      </c>
      <c r="C983" s="3">
        <v>45165</v>
      </c>
      <c r="D983" s="3">
        <v>45170</v>
      </c>
      <c r="E983" s="1" t="s">
        <v>87</v>
      </c>
      <c r="F983" s="1" t="s">
        <v>3030</v>
      </c>
      <c r="G983" s="1" t="s">
        <v>3031</v>
      </c>
      <c r="H983" s="1" t="s">
        <v>25</v>
      </c>
      <c r="I983" s="1" t="s">
        <v>26</v>
      </c>
      <c r="J983" s="1" t="s">
        <v>138</v>
      </c>
      <c r="K983" s="1" t="s">
        <v>91</v>
      </c>
      <c r="L983" s="1">
        <v>94109</v>
      </c>
      <c r="M983" s="1" t="s">
        <v>92</v>
      </c>
      <c r="N983" s="1" t="s">
        <v>3032</v>
      </c>
      <c r="O983" s="1" t="s">
        <v>31</v>
      </c>
      <c r="P983" s="1" t="s">
        <v>41</v>
      </c>
      <c r="Q983" s="1" t="s">
        <v>3033</v>
      </c>
      <c r="R983" s="1">
        <v>22.72</v>
      </c>
      <c r="S983" s="1">
        <v>4</v>
      </c>
      <c r="T983" s="1">
        <v>0.2</v>
      </c>
      <c r="U983" s="1">
        <v>7.3839999999999986</v>
      </c>
    </row>
    <row r="984" spans="1:21" ht="15.75" x14ac:dyDescent="0.25">
      <c r="A984" s="1">
        <v>983</v>
      </c>
      <c r="B984" s="2" t="s">
        <v>3034</v>
      </c>
      <c r="C984" s="3">
        <v>45165</v>
      </c>
      <c r="D984" s="3">
        <v>45168</v>
      </c>
      <c r="E984" s="1" t="s">
        <v>87</v>
      </c>
      <c r="F984" s="1" t="s">
        <v>152</v>
      </c>
      <c r="G984" s="1" t="s">
        <v>153</v>
      </c>
      <c r="H984" s="1" t="s">
        <v>25</v>
      </c>
      <c r="I984" s="1" t="s">
        <v>26</v>
      </c>
      <c r="J984" s="1" t="s">
        <v>122</v>
      </c>
      <c r="K984" s="1" t="s">
        <v>123</v>
      </c>
      <c r="L984" s="1">
        <v>22153</v>
      </c>
      <c r="M984" s="1" t="s">
        <v>63</v>
      </c>
      <c r="N984" s="1" t="s">
        <v>1092</v>
      </c>
      <c r="O984" s="1" t="s">
        <v>31</v>
      </c>
      <c r="P984" s="1" t="s">
        <v>32</v>
      </c>
      <c r="Q984" s="1" t="s">
        <v>1093</v>
      </c>
      <c r="R984" s="1">
        <v>13.36</v>
      </c>
      <c r="S984" s="1">
        <v>2</v>
      </c>
      <c r="T984" s="1">
        <v>0</v>
      </c>
      <c r="U984" s="1">
        <v>6.4127999999999998</v>
      </c>
    </row>
    <row r="985" spans="1:21" ht="15.75" x14ac:dyDescent="0.25">
      <c r="A985" s="1">
        <v>984</v>
      </c>
      <c r="B985" s="2" t="s">
        <v>3022</v>
      </c>
      <c r="C985" s="3">
        <v>45165</v>
      </c>
      <c r="D985" s="3">
        <v>45167</v>
      </c>
      <c r="E985" s="1" t="s">
        <v>71</v>
      </c>
      <c r="F985" s="1" t="s">
        <v>3023</v>
      </c>
      <c r="G985" s="1" t="s">
        <v>3024</v>
      </c>
      <c r="H985" s="1" t="s">
        <v>74</v>
      </c>
      <c r="I985" s="1" t="s">
        <v>26</v>
      </c>
      <c r="J985" s="1" t="s">
        <v>122</v>
      </c>
      <c r="K985" s="1" t="s">
        <v>123</v>
      </c>
      <c r="L985" s="1">
        <v>22153</v>
      </c>
      <c r="M985" s="1" t="s">
        <v>63</v>
      </c>
      <c r="N985" s="1" t="s">
        <v>3035</v>
      </c>
      <c r="O985" s="1" t="s">
        <v>96</v>
      </c>
      <c r="P985" s="1" t="s">
        <v>97</v>
      </c>
      <c r="Q985" s="1" t="s">
        <v>3036</v>
      </c>
      <c r="R985" s="1">
        <v>579.94999999999993</v>
      </c>
      <c r="S985" s="1">
        <v>5</v>
      </c>
      <c r="T985" s="1">
        <v>0</v>
      </c>
      <c r="U985" s="1">
        <v>168.18549999999993</v>
      </c>
    </row>
    <row r="986" spans="1:21" ht="15.75" x14ac:dyDescent="0.25">
      <c r="A986" s="1">
        <v>985</v>
      </c>
      <c r="B986" s="2" t="s">
        <v>3029</v>
      </c>
      <c r="C986" s="3">
        <v>45165</v>
      </c>
      <c r="D986" s="3">
        <v>45170</v>
      </c>
      <c r="E986" s="1" t="s">
        <v>87</v>
      </c>
      <c r="F986" s="1" t="s">
        <v>3030</v>
      </c>
      <c r="G986" s="1" t="s">
        <v>3031</v>
      </c>
      <c r="H986" s="1" t="s">
        <v>25</v>
      </c>
      <c r="I986" s="1" t="s">
        <v>26</v>
      </c>
      <c r="J986" s="1" t="s">
        <v>138</v>
      </c>
      <c r="K986" s="1" t="s">
        <v>91</v>
      </c>
      <c r="L986" s="1">
        <v>94109</v>
      </c>
      <c r="M986" s="1" t="s">
        <v>92</v>
      </c>
      <c r="N986" s="1" t="s">
        <v>3037</v>
      </c>
      <c r="O986" s="1" t="s">
        <v>96</v>
      </c>
      <c r="P986" s="1" t="s">
        <v>97</v>
      </c>
      <c r="Q986" s="1" t="s">
        <v>3038</v>
      </c>
      <c r="R986" s="1">
        <v>213.48000000000002</v>
      </c>
      <c r="S986" s="1">
        <v>3</v>
      </c>
      <c r="T986" s="1">
        <v>0.2</v>
      </c>
      <c r="U986" s="1">
        <v>16.010999999999981</v>
      </c>
    </row>
    <row r="987" spans="1:21" ht="15.75" x14ac:dyDescent="0.25">
      <c r="A987" s="1">
        <v>986</v>
      </c>
      <c r="B987" s="2" t="s">
        <v>3039</v>
      </c>
      <c r="C987" s="3">
        <v>45167</v>
      </c>
      <c r="D987" s="3">
        <v>45171</v>
      </c>
      <c r="E987" s="1" t="s">
        <v>87</v>
      </c>
      <c r="F987" s="1" t="s">
        <v>3040</v>
      </c>
      <c r="G987" s="1" t="s">
        <v>3041</v>
      </c>
      <c r="H987" s="1" t="s">
        <v>25</v>
      </c>
      <c r="I987" s="1" t="s">
        <v>26</v>
      </c>
      <c r="J987" s="1" t="s">
        <v>272</v>
      </c>
      <c r="K987" s="1" t="s">
        <v>273</v>
      </c>
      <c r="L987" s="1">
        <v>33178</v>
      </c>
      <c r="M987" s="1" t="s">
        <v>63</v>
      </c>
      <c r="N987" s="1" t="s">
        <v>3042</v>
      </c>
      <c r="O987" s="1" t="s">
        <v>65</v>
      </c>
      <c r="P987" s="1" t="s">
        <v>339</v>
      </c>
      <c r="Q987" s="1" t="s">
        <v>3043</v>
      </c>
      <c r="R987" s="1">
        <v>174.05850000000001</v>
      </c>
      <c r="S987" s="1">
        <v>3</v>
      </c>
      <c r="T987" s="1">
        <v>0.45</v>
      </c>
      <c r="U987" s="1">
        <v>-110.76450000000001</v>
      </c>
    </row>
    <row r="988" spans="1:21" ht="15.75" x14ac:dyDescent="0.25">
      <c r="A988" s="1">
        <v>987</v>
      </c>
      <c r="B988" s="2" t="s">
        <v>3039</v>
      </c>
      <c r="C988" s="3">
        <v>45167</v>
      </c>
      <c r="D988" s="3">
        <v>45171</v>
      </c>
      <c r="E988" s="1" t="s">
        <v>87</v>
      </c>
      <c r="F988" s="1" t="s">
        <v>3040</v>
      </c>
      <c r="G988" s="1" t="s">
        <v>3041</v>
      </c>
      <c r="H988" s="1" t="s">
        <v>25</v>
      </c>
      <c r="I988" s="1" t="s">
        <v>26</v>
      </c>
      <c r="J988" s="1" t="s">
        <v>272</v>
      </c>
      <c r="K988" s="1" t="s">
        <v>273</v>
      </c>
      <c r="L988" s="1">
        <v>33178</v>
      </c>
      <c r="M988" s="1" t="s">
        <v>63</v>
      </c>
      <c r="N988" s="1" t="s">
        <v>1061</v>
      </c>
      <c r="O988" s="1" t="s">
        <v>31</v>
      </c>
      <c r="P988" s="1" t="s">
        <v>41</v>
      </c>
      <c r="Q988" s="1" t="s">
        <v>1062</v>
      </c>
      <c r="R988" s="1">
        <v>505.1760000000001</v>
      </c>
      <c r="S988" s="1">
        <v>4</v>
      </c>
      <c r="T988" s="1">
        <v>0.7</v>
      </c>
      <c r="U988" s="1">
        <v>-336.78399999999988</v>
      </c>
    </row>
    <row r="989" spans="1:21" ht="15.75" x14ac:dyDescent="0.25">
      <c r="A989" s="1">
        <v>988</v>
      </c>
      <c r="B989" s="2" t="s">
        <v>3039</v>
      </c>
      <c r="C989" s="3">
        <v>45167</v>
      </c>
      <c r="D989" s="3">
        <v>45171</v>
      </c>
      <c r="E989" s="1" t="s">
        <v>87</v>
      </c>
      <c r="F989" s="1" t="s">
        <v>3040</v>
      </c>
      <c r="G989" s="1" t="s">
        <v>3041</v>
      </c>
      <c r="H989" s="1" t="s">
        <v>25</v>
      </c>
      <c r="I989" s="1" t="s">
        <v>26</v>
      </c>
      <c r="J989" s="1" t="s">
        <v>272</v>
      </c>
      <c r="K989" s="1" t="s">
        <v>273</v>
      </c>
      <c r="L989" s="1">
        <v>33178</v>
      </c>
      <c r="M989" s="1" t="s">
        <v>63</v>
      </c>
      <c r="N989" s="1" t="s">
        <v>3044</v>
      </c>
      <c r="O989" s="1" t="s">
        <v>31</v>
      </c>
      <c r="P989" s="1" t="s">
        <v>166</v>
      </c>
      <c r="Q989" s="1" t="s">
        <v>3045</v>
      </c>
      <c r="R989" s="1">
        <v>29.808</v>
      </c>
      <c r="S989" s="1">
        <v>2</v>
      </c>
      <c r="T989" s="1">
        <v>0.2</v>
      </c>
      <c r="U989" s="1">
        <v>10.805399999999997</v>
      </c>
    </row>
    <row r="990" spans="1:21" ht="15.75" x14ac:dyDescent="0.25">
      <c r="A990" s="1">
        <v>989</v>
      </c>
      <c r="B990" s="2" t="s">
        <v>3046</v>
      </c>
      <c r="C990" s="3">
        <v>45167</v>
      </c>
      <c r="D990" s="3">
        <v>45167</v>
      </c>
      <c r="E990" s="1" t="s">
        <v>497</v>
      </c>
      <c r="F990" s="1" t="s">
        <v>3047</v>
      </c>
      <c r="G990" s="1" t="s">
        <v>3048</v>
      </c>
      <c r="H990" s="1" t="s">
        <v>74</v>
      </c>
      <c r="I990" s="1" t="s">
        <v>26</v>
      </c>
      <c r="J990" s="1" t="s">
        <v>138</v>
      </c>
      <c r="K990" s="1" t="s">
        <v>91</v>
      </c>
      <c r="L990" s="1">
        <v>94110</v>
      </c>
      <c r="M990" s="1" t="s">
        <v>92</v>
      </c>
      <c r="N990" s="1" t="s">
        <v>3049</v>
      </c>
      <c r="O990" s="1" t="s">
        <v>31</v>
      </c>
      <c r="P990" s="1" t="s">
        <v>32</v>
      </c>
      <c r="Q990" s="1" t="s">
        <v>3050</v>
      </c>
      <c r="R990" s="1">
        <v>13.36</v>
      </c>
      <c r="S990" s="1">
        <v>2</v>
      </c>
      <c r="T990" s="1">
        <v>0</v>
      </c>
      <c r="U990" s="1">
        <v>6.4127999999999998</v>
      </c>
    </row>
    <row r="991" spans="1:21" ht="15.75" x14ac:dyDescent="0.25">
      <c r="A991" s="1">
        <v>990</v>
      </c>
      <c r="B991" s="2" t="s">
        <v>3046</v>
      </c>
      <c r="C991" s="3">
        <v>45167</v>
      </c>
      <c r="D991" s="3">
        <v>45167</v>
      </c>
      <c r="E991" s="1" t="s">
        <v>497</v>
      </c>
      <c r="F991" s="1" t="s">
        <v>3047</v>
      </c>
      <c r="G991" s="1" t="s">
        <v>3048</v>
      </c>
      <c r="H991" s="1" t="s">
        <v>74</v>
      </c>
      <c r="I991" s="1" t="s">
        <v>26</v>
      </c>
      <c r="J991" s="1" t="s">
        <v>138</v>
      </c>
      <c r="K991" s="1" t="s">
        <v>91</v>
      </c>
      <c r="L991" s="1">
        <v>94110</v>
      </c>
      <c r="M991" s="1" t="s">
        <v>92</v>
      </c>
      <c r="N991" s="1" t="s">
        <v>3051</v>
      </c>
      <c r="O991" s="1" t="s">
        <v>31</v>
      </c>
      <c r="P991" s="1" t="s">
        <v>32</v>
      </c>
      <c r="Q991" s="1" t="s">
        <v>3052</v>
      </c>
      <c r="R991" s="1">
        <v>109.92</v>
      </c>
      <c r="S991" s="1">
        <v>2</v>
      </c>
      <c r="T991" s="1">
        <v>0</v>
      </c>
      <c r="U991" s="1">
        <v>53.860799999999998</v>
      </c>
    </row>
    <row r="992" spans="1:21" ht="15.75" x14ac:dyDescent="0.25">
      <c r="A992" s="1">
        <v>991</v>
      </c>
      <c r="B992" s="2" t="s">
        <v>3053</v>
      </c>
      <c r="C992" s="3">
        <v>45168</v>
      </c>
      <c r="D992" s="3">
        <v>45173</v>
      </c>
      <c r="E992" s="1" t="s">
        <v>22</v>
      </c>
      <c r="F992" s="1" t="s">
        <v>3054</v>
      </c>
      <c r="G992" s="1" t="s">
        <v>3055</v>
      </c>
      <c r="H992" s="1" t="s">
        <v>25</v>
      </c>
      <c r="I992" s="1" t="s">
        <v>26</v>
      </c>
      <c r="J992" s="1" t="s">
        <v>1999</v>
      </c>
      <c r="K992" s="1" t="s">
        <v>1517</v>
      </c>
      <c r="L992" s="1">
        <v>6010</v>
      </c>
      <c r="M992" s="1" t="s">
        <v>54</v>
      </c>
      <c r="N992" s="1" t="s">
        <v>3056</v>
      </c>
      <c r="O992" s="1" t="s">
        <v>31</v>
      </c>
      <c r="P992" s="1" t="s">
        <v>41</v>
      </c>
      <c r="Q992" s="1" t="s">
        <v>3057</v>
      </c>
      <c r="R992" s="1">
        <v>25.299999999999997</v>
      </c>
      <c r="S992" s="1">
        <v>5</v>
      </c>
      <c r="T992" s="1">
        <v>0</v>
      </c>
      <c r="U992" s="1">
        <v>11.890999999999998</v>
      </c>
    </row>
    <row r="993" spans="1:21" ht="15.75" x14ac:dyDescent="0.25">
      <c r="A993" s="1">
        <v>992</v>
      </c>
      <c r="B993" s="2" t="s">
        <v>3053</v>
      </c>
      <c r="C993" s="3">
        <v>45168</v>
      </c>
      <c r="D993" s="3">
        <v>45173</v>
      </c>
      <c r="E993" s="1" t="s">
        <v>22</v>
      </c>
      <c r="F993" s="1" t="s">
        <v>3054</v>
      </c>
      <c r="G993" s="1" t="s">
        <v>3055</v>
      </c>
      <c r="H993" s="1" t="s">
        <v>25</v>
      </c>
      <c r="I993" s="1" t="s">
        <v>26</v>
      </c>
      <c r="J993" s="1" t="s">
        <v>1999</v>
      </c>
      <c r="K993" s="1" t="s">
        <v>1517</v>
      </c>
      <c r="L993" s="1">
        <v>6010</v>
      </c>
      <c r="M993" s="1" t="s">
        <v>54</v>
      </c>
      <c r="N993" s="1" t="s">
        <v>2324</v>
      </c>
      <c r="O993" s="1" t="s">
        <v>31</v>
      </c>
      <c r="P993" s="1" t="s">
        <v>47</v>
      </c>
      <c r="Q993" s="1" t="s">
        <v>2325</v>
      </c>
      <c r="R993" s="1">
        <v>95.94</v>
      </c>
      <c r="S993" s="1">
        <v>3</v>
      </c>
      <c r="T993" s="1">
        <v>0</v>
      </c>
      <c r="U993" s="1">
        <v>9.5940000000000012</v>
      </c>
    </row>
    <row r="994" spans="1:21" ht="15.75" x14ac:dyDescent="0.25">
      <c r="A994" s="1">
        <v>993</v>
      </c>
      <c r="B994" s="2" t="s">
        <v>3058</v>
      </c>
      <c r="C994" s="3">
        <v>45169</v>
      </c>
      <c r="D994" s="3">
        <v>45174</v>
      </c>
      <c r="E994" s="1" t="s">
        <v>22</v>
      </c>
      <c r="F994" s="1" t="s">
        <v>3059</v>
      </c>
      <c r="G994" s="1" t="s">
        <v>3060</v>
      </c>
      <c r="H994" s="1" t="s">
        <v>25</v>
      </c>
      <c r="I994" s="1" t="s">
        <v>26</v>
      </c>
      <c r="J994" s="1" t="s">
        <v>3061</v>
      </c>
      <c r="K994" s="1" t="s">
        <v>988</v>
      </c>
      <c r="L994" s="1">
        <v>87505</v>
      </c>
      <c r="M994" s="1" t="s">
        <v>92</v>
      </c>
      <c r="N994" s="1" t="s">
        <v>3062</v>
      </c>
      <c r="O994" s="1" t="s">
        <v>96</v>
      </c>
      <c r="P994" s="1" t="s">
        <v>117</v>
      </c>
      <c r="Q994" s="1" t="s">
        <v>3063</v>
      </c>
      <c r="R994" s="1">
        <v>92.52</v>
      </c>
      <c r="S994" s="1">
        <v>9</v>
      </c>
      <c r="T994" s="1">
        <v>0</v>
      </c>
      <c r="U994" s="1">
        <v>18.503999999999991</v>
      </c>
    </row>
    <row r="995" spans="1:21" ht="15.75" x14ac:dyDescent="0.25">
      <c r="A995" s="1">
        <v>994</v>
      </c>
      <c r="B995" s="2" t="s">
        <v>3064</v>
      </c>
      <c r="C995" s="3">
        <v>45170</v>
      </c>
      <c r="D995" s="3">
        <v>45174</v>
      </c>
      <c r="E995" s="1" t="s">
        <v>87</v>
      </c>
      <c r="F995" s="1" t="s">
        <v>3065</v>
      </c>
      <c r="G995" s="1" t="s">
        <v>3066</v>
      </c>
      <c r="H995" s="1" t="s">
        <v>25</v>
      </c>
      <c r="I995" s="1" t="s">
        <v>26</v>
      </c>
      <c r="J995" s="1" t="s">
        <v>396</v>
      </c>
      <c r="K995" s="1" t="s">
        <v>91</v>
      </c>
      <c r="L995" s="1">
        <v>92025</v>
      </c>
      <c r="M995" s="1" t="s">
        <v>92</v>
      </c>
      <c r="N995" s="1" t="s">
        <v>3067</v>
      </c>
      <c r="O995" s="1" t="s">
        <v>31</v>
      </c>
      <c r="P995" s="1" t="s">
        <v>56</v>
      </c>
      <c r="Q995" s="1" t="s">
        <v>3068</v>
      </c>
      <c r="R995" s="1">
        <v>53.94</v>
      </c>
      <c r="S995" s="1">
        <v>3</v>
      </c>
      <c r="T995" s="1">
        <v>0</v>
      </c>
      <c r="U995" s="1">
        <v>15.642599999999995</v>
      </c>
    </row>
    <row r="996" spans="1:21" ht="15.75" x14ac:dyDescent="0.25">
      <c r="A996" s="1">
        <v>995</v>
      </c>
      <c r="B996" s="2" t="s">
        <v>3069</v>
      </c>
      <c r="C996" s="3">
        <v>45170</v>
      </c>
      <c r="D996" s="3">
        <v>45173</v>
      </c>
      <c r="E996" s="1" t="s">
        <v>71</v>
      </c>
      <c r="F996" s="1" t="s">
        <v>2463</v>
      </c>
      <c r="G996" s="1" t="s">
        <v>2464</v>
      </c>
      <c r="H996" s="1" t="s">
        <v>25</v>
      </c>
      <c r="I996" s="1" t="s">
        <v>26</v>
      </c>
      <c r="J996" s="1" t="s">
        <v>27</v>
      </c>
      <c r="K996" s="1" t="s">
        <v>28</v>
      </c>
      <c r="L996" s="1">
        <v>77036</v>
      </c>
      <c r="M996" s="1" t="s">
        <v>29</v>
      </c>
      <c r="N996" s="1" t="s">
        <v>3070</v>
      </c>
      <c r="O996" s="1" t="s">
        <v>31</v>
      </c>
      <c r="P996" s="1" t="s">
        <v>41</v>
      </c>
      <c r="Q996" s="1" t="s">
        <v>3071</v>
      </c>
      <c r="R996" s="1">
        <v>3.6479999999999992</v>
      </c>
      <c r="S996" s="1">
        <v>3</v>
      </c>
      <c r="T996" s="1">
        <v>0.8</v>
      </c>
      <c r="U996" s="1">
        <v>-6.0192000000000032</v>
      </c>
    </row>
    <row r="997" spans="1:21" ht="15.75" x14ac:dyDescent="0.25">
      <c r="A997" s="1">
        <v>996</v>
      </c>
      <c r="B997" s="2" t="s">
        <v>3072</v>
      </c>
      <c r="C997" s="3">
        <v>45170</v>
      </c>
      <c r="D997" s="3">
        <v>45174</v>
      </c>
      <c r="E997" s="1" t="s">
        <v>22</v>
      </c>
      <c r="F997" s="1" t="s">
        <v>2890</v>
      </c>
      <c r="G997" s="1" t="s">
        <v>2891</v>
      </c>
      <c r="H997" s="1" t="s">
        <v>25</v>
      </c>
      <c r="I997" s="1" t="s">
        <v>26</v>
      </c>
      <c r="J997" s="1" t="s">
        <v>348</v>
      </c>
      <c r="K997" s="1" t="s">
        <v>349</v>
      </c>
      <c r="L997" s="1">
        <v>10009</v>
      </c>
      <c r="M997" s="1" t="s">
        <v>54</v>
      </c>
      <c r="N997" s="1" t="s">
        <v>3073</v>
      </c>
      <c r="O997" s="1" t="s">
        <v>31</v>
      </c>
      <c r="P997" s="1" t="s">
        <v>41</v>
      </c>
      <c r="Q997" s="1" t="s">
        <v>3074</v>
      </c>
      <c r="R997" s="1">
        <v>23.744</v>
      </c>
      <c r="S997" s="1">
        <v>2</v>
      </c>
      <c r="T997" s="1">
        <v>0.2</v>
      </c>
      <c r="U997" s="1">
        <v>8.3103999999999996</v>
      </c>
    </row>
    <row r="998" spans="1:21" ht="15.75" x14ac:dyDescent="0.25">
      <c r="A998" s="1">
        <v>997</v>
      </c>
      <c r="B998" s="2" t="s">
        <v>3069</v>
      </c>
      <c r="C998" s="3">
        <v>45170</v>
      </c>
      <c r="D998" s="3">
        <v>45173</v>
      </c>
      <c r="E998" s="1" t="s">
        <v>71</v>
      </c>
      <c r="F998" s="1" t="s">
        <v>2463</v>
      </c>
      <c r="G998" s="1" t="s">
        <v>2464</v>
      </c>
      <c r="H998" s="1" t="s">
        <v>25</v>
      </c>
      <c r="I998" s="1" t="s">
        <v>26</v>
      </c>
      <c r="J998" s="1" t="s">
        <v>27</v>
      </c>
      <c r="K998" s="1" t="s">
        <v>28</v>
      </c>
      <c r="L998" s="1">
        <v>77036</v>
      </c>
      <c r="M998" s="1" t="s">
        <v>29</v>
      </c>
      <c r="N998" s="1" t="s">
        <v>3075</v>
      </c>
      <c r="O998" s="1" t="s">
        <v>31</v>
      </c>
      <c r="P998" s="1" t="s">
        <v>32</v>
      </c>
      <c r="Q998" s="1" t="s">
        <v>3076</v>
      </c>
      <c r="R998" s="1">
        <v>31.104000000000006</v>
      </c>
      <c r="S998" s="1">
        <v>6</v>
      </c>
      <c r="T998" s="1">
        <v>0.2</v>
      </c>
      <c r="U998" s="1">
        <v>10.8864</v>
      </c>
    </row>
    <row r="999" spans="1:21" ht="15.75" x14ac:dyDescent="0.25">
      <c r="A999" s="1">
        <v>998</v>
      </c>
      <c r="B999" s="2" t="s">
        <v>3072</v>
      </c>
      <c r="C999" s="3">
        <v>45170</v>
      </c>
      <c r="D999" s="3">
        <v>45174</v>
      </c>
      <c r="E999" s="1" t="s">
        <v>22</v>
      </c>
      <c r="F999" s="1" t="s">
        <v>2890</v>
      </c>
      <c r="G999" s="1" t="s">
        <v>2891</v>
      </c>
      <c r="H999" s="1" t="s">
        <v>25</v>
      </c>
      <c r="I999" s="1" t="s">
        <v>26</v>
      </c>
      <c r="J999" s="1" t="s">
        <v>348</v>
      </c>
      <c r="K999" s="1" t="s">
        <v>349</v>
      </c>
      <c r="L999" s="1">
        <v>10009</v>
      </c>
      <c r="M999" s="1" t="s">
        <v>54</v>
      </c>
      <c r="N999" s="1" t="s">
        <v>2634</v>
      </c>
      <c r="O999" s="1" t="s">
        <v>96</v>
      </c>
      <c r="P999" s="1" t="s">
        <v>117</v>
      </c>
      <c r="Q999" s="1" t="s">
        <v>2635</v>
      </c>
      <c r="R999" s="1">
        <v>357</v>
      </c>
      <c r="S999" s="1">
        <v>3</v>
      </c>
      <c r="T999" s="1">
        <v>0</v>
      </c>
      <c r="U999" s="1">
        <v>57.120000000000019</v>
      </c>
    </row>
    <row r="1000" spans="1:21" ht="15.75" x14ac:dyDescent="0.25">
      <c r="A1000" s="1">
        <v>999</v>
      </c>
      <c r="B1000" s="2" t="s">
        <v>3077</v>
      </c>
      <c r="C1000" s="3">
        <v>45171</v>
      </c>
      <c r="D1000" s="3">
        <v>45174</v>
      </c>
      <c r="E1000" s="1" t="s">
        <v>71</v>
      </c>
      <c r="F1000" s="1" t="s">
        <v>1483</v>
      </c>
      <c r="G1000" s="1" t="s">
        <v>1484</v>
      </c>
      <c r="H1000" s="1" t="s">
        <v>25</v>
      </c>
      <c r="I1000" s="1" t="s">
        <v>26</v>
      </c>
      <c r="J1000" s="1" t="s">
        <v>1630</v>
      </c>
      <c r="K1000" s="1" t="s">
        <v>349</v>
      </c>
      <c r="L1000" s="1">
        <v>13601</v>
      </c>
      <c r="M1000" s="1" t="s">
        <v>54</v>
      </c>
      <c r="N1000" s="1" t="s">
        <v>3078</v>
      </c>
      <c r="O1000" s="1" t="s">
        <v>65</v>
      </c>
      <c r="P1000" s="1" t="s">
        <v>106</v>
      </c>
      <c r="Q1000" s="1" t="s">
        <v>3079</v>
      </c>
      <c r="R1000" s="1">
        <v>70.709999999999994</v>
      </c>
      <c r="S1000" s="1">
        <v>1</v>
      </c>
      <c r="T1000" s="1">
        <v>0</v>
      </c>
      <c r="U1000" s="1">
        <v>4.9496999999999929</v>
      </c>
    </row>
    <row r="1001" spans="1:21" ht="15.75" x14ac:dyDescent="0.25">
      <c r="A1001" s="1">
        <v>1000</v>
      </c>
      <c r="B1001" s="2" t="s">
        <v>3077</v>
      </c>
      <c r="C1001" s="3">
        <v>45171</v>
      </c>
      <c r="D1001" s="3">
        <v>45174</v>
      </c>
      <c r="E1001" s="1" t="s">
        <v>71</v>
      </c>
      <c r="F1001" s="1" t="s">
        <v>1483</v>
      </c>
      <c r="G1001" s="1" t="s">
        <v>1484</v>
      </c>
      <c r="H1001" s="1" t="s">
        <v>25</v>
      </c>
      <c r="I1001" s="1" t="s">
        <v>26</v>
      </c>
      <c r="J1001" s="1" t="s">
        <v>1630</v>
      </c>
      <c r="K1001" s="1" t="s">
        <v>349</v>
      </c>
      <c r="L1001" s="1">
        <v>13601</v>
      </c>
      <c r="M1001" s="1" t="s">
        <v>54</v>
      </c>
      <c r="N1001" s="1" t="s">
        <v>488</v>
      </c>
      <c r="O1001" s="1" t="s">
        <v>31</v>
      </c>
      <c r="P1001" s="1" t="s">
        <v>205</v>
      </c>
      <c r="Q1001" s="1" t="s">
        <v>489</v>
      </c>
      <c r="R1001" s="1">
        <v>19.899999999999999</v>
      </c>
      <c r="S1001" s="1">
        <v>1</v>
      </c>
      <c r="T1001" s="1">
        <v>0</v>
      </c>
      <c r="U1001" s="1">
        <v>8.9549999999999983</v>
      </c>
    </row>
    <row r="1006" spans="1:21" x14ac:dyDescent="0.25">
      <c r="I1006">
        <f>AVERAGE(T2:T1001)</f>
        <v>0.14831999999999992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1E8C-2D0B-4ECE-860F-9BBF05937065}">
  <dimension ref="K1:O8"/>
  <sheetViews>
    <sheetView topLeftCell="B3" workbookViewId="0">
      <selection activeCell="P6" sqref="P6"/>
    </sheetView>
  </sheetViews>
  <sheetFormatPr defaultRowHeight="15" x14ac:dyDescent="0.25"/>
  <cols>
    <col min="12" max="12" width="12.42578125" bestFit="1" customWidth="1"/>
    <col min="13" max="13" width="16.28515625" bestFit="1" customWidth="1"/>
  </cols>
  <sheetData>
    <row r="1" spans="11:15" ht="15.75" x14ac:dyDescent="0.25">
      <c r="K1" s="13" t="s">
        <v>3080</v>
      </c>
      <c r="L1" s="13"/>
      <c r="M1" s="13"/>
      <c r="N1" s="13"/>
      <c r="O1" s="13"/>
    </row>
    <row r="2" spans="11:15" ht="16.5" customHeight="1" x14ac:dyDescent="0.25"/>
    <row r="4" spans="11:15" ht="15.75" x14ac:dyDescent="0.25">
      <c r="L4" s="9" t="s">
        <v>3081</v>
      </c>
      <c r="M4" s="7" t="s">
        <v>3082</v>
      </c>
    </row>
    <row r="5" spans="11:15" ht="15.75" x14ac:dyDescent="0.25">
      <c r="L5" s="8" t="s">
        <v>29</v>
      </c>
      <c r="M5" s="7">
        <v>35805.335600000006</v>
      </c>
    </row>
    <row r="6" spans="11:15" ht="15.75" x14ac:dyDescent="0.25">
      <c r="L6" s="8" t="s">
        <v>54</v>
      </c>
      <c r="M6" s="7">
        <v>39432.862999999983</v>
      </c>
    </row>
    <row r="7" spans="11:15" ht="15.75" x14ac:dyDescent="0.25">
      <c r="L7" s="8" t="s">
        <v>63</v>
      </c>
      <c r="M7" s="7">
        <v>75672.028500000059</v>
      </c>
    </row>
    <row r="8" spans="11:15" ht="15.75" x14ac:dyDescent="0.25">
      <c r="L8" s="8" t="s">
        <v>92</v>
      </c>
      <c r="M8" s="7">
        <v>77770.997999999992</v>
      </c>
    </row>
  </sheetData>
  <mergeCells count="1">
    <mergeCell ref="K1:O1"/>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8CF2-7577-4852-9BC0-C054F711ECB8}">
  <dimension ref="I1:O13"/>
  <sheetViews>
    <sheetView topLeftCell="E4" workbookViewId="0">
      <selection activeCell="J3" sqref="J3:J13"/>
    </sheetView>
  </sheetViews>
  <sheetFormatPr defaultRowHeight="15" x14ac:dyDescent="0.25"/>
  <cols>
    <col min="10" max="10" width="51.28515625" bestFit="1" customWidth="1"/>
    <col min="11" max="11" width="12.5703125" bestFit="1" customWidth="1"/>
    <col min="12" max="12" width="13.5703125" bestFit="1" customWidth="1"/>
    <col min="13" max="13" width="16.140625" bestFit="1" customWidth="1"/>
    <col min="14" max="14" width="16.85546875" bestFit="1" customWidth="1"/>
  </cols>
  <sheetData>
    <row r="1" spans="9:15" ht="18.75" x14ac:dyDescent="0.3">
      <c r="I1" s="14" t="s">
        <v>3097</v>
      </c>
      <c r="J1" s="15"/>
      <c r="K1" s="15"/>
      <c r="L1" s="15"/>
      <c r="M1" s="15"/>
      <c r="N1" s="15"/>
      <c r="O1" s="15"/>
    </row>
    <row r="3" spans="9:15" x14ac:dyDescent="0.25">
      <c r="J3" s="10" t="s">
        <v>3098</v>
      </c>
      <c r="K3" t="s">
        <v>3082</v>
      </c>
      <c r="L3" t="s">
        <v>3085</v>
      </c>
      <c r="M3" t="s">
        <v>3099</v>
      </c>
      <c r="N3" t="s">
        <v>3092</v>
      </c>
    </row>
    <row r="4" spans="9:15" x14ac:dyDescent="0.25">
      <c r="J4" s="11" t="s">
        <v>1865</v>
      </c>
      <c r="K4">
        <v>2914.7309999999998</v>
      </c>
      <c r="L4">
        <v>-327.01860000000039</v>
      </c>
      <c r="M4">
        <v>18</v>
      </c>
      <c r="N4">
        <v>1.1000000000000001</v>
      </c>
    </row>
    <row r="5" spans="9:15" x14ac:dyDescent="0.25">
      <c r="J5" s="11" t="s">
        <v>847</v>
      </c>
      <c r="K5">
        <v>22638.48</v>
      </c>
      <c r="L5">
        <v>-1811.0784000000021</v>
      </c>
      <c r="M5">
        <v>6</v>
      </c>
      <c r="N5">
        <v>0.5</v>
      </c>
    </row>
    <row r="6" spans="9:15" x14ac:dyDescent="0.25">
      <c r="J6" s="11" t="s">
        <v>1757</v>
      </c>
      <c r="K6">
        <v>2735.3700000000003</v>
      </c>
      <c r="L6">
        <v>1285.8171</v>
      </c>
      <c r="M6">
        <v>10</v>
      </c>
      <c r="N6">
        <v>0</v>
      </c>
    </row>
    <row r="7" spans="9:15" x14ac:dyDescent="0.25">
      <c r="J7" s="11" t="s">
        <v>2088</v>
      </c>
      <c r="K7">
        <v>5443.9599999999991</v>
      </c>
      <c r="L7">
        <v>-2640.3206000000018</v>
      </c>
      <c r="M7">
        <v>11</v>
      </c>
      <c r="N7">
        <v>1</v>
      </c>
    </row>
    <row r="8" spans="9:15" x14ac:dyDescent="0.25">
      <c r="J8" s="11" t="s">
        <v>722</v>
      </c>
      <c r="K8">
        <v>2792.8040000000001</v>
      </c>
      <c r="L8">
        <v>441.71900000000005</v>
      </c>
      <c r="M8">
        <v>11</v>
      </c>
      <c r="N8">
        <v>0.3</v>
      </c>
    </row>
    <row r="9" spans="9:15" x14ac:dyDescent="0.25">
      <c r="J9" s="11" t="s">
        <v>67</v>
      </c>
      <c r="K9">
        <v>5948.3880000000008</v>
      </c>
      <c r="L9">
        <v>1481.3735999999994</v>
      </c>
      <c r="M9">
        <v>22</v>
      </c>
      <c r="N9">
        <v>0.4</v>
      </c>
    </row>
    <row r="10" spans="9:15" x14ac:dyDescent="0.25">
      <c r="J10" s="11" t="s">
        <v>2585</v>
      </c>
      <c r="K10">
        <v>8187.65</v>
      </c>
      <c r="L10">
        <v>327.50599999999963</v>
      </c>
      <c r="M10">
        <v>5</v>
      </c>
      <c r="N10">
        <v>0</v>
      </c>
    </row>
    <row r="11" spans="9:15" x14ac:dyDescent="0.25">
      <c r="J11" s="11" t="s">
        <v>1160</v>
      </c>
      <c r="K11">
        <v>4164.0499999999993</v>
      </c>
      <c r="L11">
        <v>83.281000000000063</v>
      </c>
      <c r="M11">
        <v>5</v>
      </c>
      <c r="N11">
        <v>0</v>
      </c>
    </row>
    <row r="12" spans="9:15" x14ac:dyDescent="0.25">
      <c r="J12" s="11" t="s">
        <v>896</v>
      </c>
      <c r="K12">
        <v>3499.9300000000003</v>
      </c>
      <c r="L12">
        <v>909.98180000000025</v>
      </c>
      <c r="M12">
        <v>7</v>
      </c>
      <c r="N12">
        <v>0</v>
      </c>
    </row>
    <row r="13" spans="9:15" x14ac:dyDescent="0.25">
      <c r="J13" s="11" t="s">
        <v>175</v>
      </c>
      <c r="K13">
        <v>3818.4480000000003</v>
      </c>
      <c r="L13">
        <v>556.85699999999974</v>
      </c>
      <c r="M13">
        <v>15</v>
      </c>
      <c r="N13">
        <v>0.2</v>
      </c>
    </row>
  </sheetData>
  <mergeCells count="1">
    <mergeCell ref="I1:O1"/>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5073-AEBA-4E75-BFA6-7561B5FC4528}">
  <dimension ref="I1:M4"/>
  <sheetViews>
    <sheetView workbookViewId="0">
      <selection activeCell="J3" sqref="J3:L6"/>
    </sheetView>
  </sheetViews>
  <sheetFormatPr defaultRowHeight="15" x14ac:dyDescent="0.25"/>
  <cols>
    <col min="10" max="10" width="13.28515625" customWidth="1"/>
    <col min="11" max="11" width="15.28515625" customWidth="1"/>
    <col min="12" max="12" width="17.42578125" customWidth="1"/>
  </cols>
  <sheetData>
    <row r="1" spans="9:13" ht="15.75" x14ac:dyDescent="0.25">
      <c r="I1" s="13" t="s">
        <v>3083</v>
      </c>
      <c r="J1" s="15"/>
      <c r="K1" s="15"/>
      <c r="L1" s="15"/>
      <c r="M1" s="15"/>
    </row>
    <row r="3" spans="9:13" x14ac:dyDescent="0.25">
      <c r="J3" s="10" t="s">
        <v>3084</v>
      </c>
      <c r="K3" t="s">
        <v>3085</v>
      </c>
      <c r="L3" t="s">
        <v>3082</v>
      </c>
    </row>
    <row r="4" spans="9:13" x14ac:dyDescent="0.25">
      <c r="J4" s="11" t="s">
        <v>65</v>
      </c>
      <c r="K4" s="16">
        <v>1974.7086999999995</v>
      </c>
      <c r="L4" s="16">
        <v>71831.896099999984</v>
      </c>
    </row>
  </sheetData>
  <mergeCells count="1">
    <mergeCell ref="I1:M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F35C-247F-4D2B-8FB1-890957EC1783}">
  <dimension ref="H1:O20"/>
  <sheetViews>
    <sheetView topLeftCell="A2" workbookViewId="0">
      <selection activeCell="N6" sqref="N6"/>
    </sheetView>
  </sheetViews>
  <sheetFormatPr defaultRowHeight="15" x14ac:dyDescent="0.25"/>
  <cols>
    <col min="10" max="10" width="17.7109375" bestFit="1" customWidth="1"/>
    <col min="11" max="11" width="12.5703125" bestFit="1" customWidth="1"/>
    <col min="12" max="12" width="13.5703125" bestFit="1" customWidth="1"/>
  </cols>
  <sheetData>
    <row r="1" spans="8:15" ht="15.75" x14ac:dyDescent="0.25">
      <c r="H1" s="13" t="s">
        <v>3086</v>
      </c>
      <c r="I1" s="13"/>
      <c r="J1" s="13"/>
      <c r="K1" s="13"/>
      <c r="L1" s="13"/>
      <c r="M1" s="13"/>
      <c r="N1" s="13"/>
      <c r="O1" s="13"/>
    </row>
    <row r="3" spans="8:15" x14ac:dyDescent="0.25">
      <c r="J3" s="10" t="s">
        <v>3087</v>
      </c>
      <c r="K3" t="s">
        <v>3082</v>
      </c>
      <c r="L3" t="s">
        <v>3085</v>
      </c>
    </row>
    <row r="4" spans="8:15" x14ac:dyDescent="0.25">
      <c r="J4" s="11" t="s">
        <v>117</v>
      </c>
      <c r="K4">
        <v>12569.76</v>
      </c>
      <c r="L4">
        <v>3336.7113999999979</v>
      </c>
    </row>
    <row r="5" spans="8:15" x14ac:dyDescent="0.25">
      <c r="J5" s="11" t="s">
        <v>205</v>
      </c>
      <c r="K5">
        <v>7190.0769999999993</v>
      </c>
      <c r="L5">
        <v>1307.9733000000001</v>
      </c>
    </row>
    <row r="6" spans="8:15" x14ac:dyDescent="0.25">
      <c r="J6" s="11" t="s">
        <v>56</v>
      </c>
      <c r="K6">
        <v>2768.1119999999983</v>
      </c>
      <c r="L6">
        <v>718.51920000000018</v>
      </c>
    </row>
    <row r="7" spans="8:15" x14ac:dyDescent="0.25">
      <c r="J7" s="11" t="s">
        <v>41</v>
      </c>
      <c r="K7">
        <v>20457.864999999983</v>
      </c>
      <c r="L7">
        <v>434.032999999997</v>
      </c>
    </row>
    <row r="8" spans="8:15" x14ac:dyDescent="0.25">
      <c r="J8" s="11" t="s">
        <v>140</v>
      </c>
      <c r="K8">
        <v>6707.1535999999996</v>
      </c>
      <c r="L8">
        <v>-250.70770000000005</v>
      </c>
    </row>
    <row r="9" spans="8:15" x14ac:dyDescent="0.25">
      <c r="J9" s="11" t="s">
        <v>66</v>
      </c>
      <c r="K9">
        <v>34693.988000000005</v>
      </c>
      <c r="L9">
        <v>3163.1897000000004</v>
      </c>
    </row>
    <row r="10" spans="8:15" x14ac:dyDescent="0.25">
      <c r="J10" s="11" t="s">
        <v>1498</v>
      </c>
      <c r="K10">
        <v>5309.8880000000008</v>
      </c>
      <c r="L10">
        <v>1349.9722999999999</v>
      </c>
    </row>
    <row r="11" spans="8:15" x14ac:dyDescent="0.25">
      <c r="J11" s="11" t="s">
        <v>166</v>
      </c>
      <c r="K11">
        <v>1605.8619999999999</v>
      </c>
      <c r="L11">
        <v>635.92949999999996</v>
      </c>
    </row>
    <row r="12" spans="8:15" x14ac:dyDescent="0.25">
      <c r="J12" s="11" t="s">
        <v>82</v>
      </c>
      <c r="K12">
        <v>367.42000000000007</v>
      </c>
      <c r="L12">
        <v>77.933699999999988</v>
      </c>
    </row>
    <row r="13" spans="8:15" x14ac:dyDescent="0.25">
      <c r="J13" s="11" t="s">
        <v>106</v>
      </c>
      <c r="K13">
        <v>6152.85</v>
      </c>
      <c r="L13">
        <v>1047.0709999999999</v>
      </c>
    </row>
    <row r="14" spans="8:15" x14ac:dyDescent="0.25">
      <c r="J14" s="11" t="s">
        <v>44</v>
      </c>
      <c r="K14">
        <v>1235.5360000000001</v>
      </c>
      <c r="L14">
        <v>557.01379999999995</v>
      </c>
    </row>
    <row r="15" spans="8:15" x14ac:dyDescent="0.25">
      <c r="J15" s="11" t="s">
        <v>754</v>
      </c>
      <c r="K15">
        <v>26637.587000000003</v>
      </c>
      <c r="L15">
        <v>-1358.8752000000022</v>
      </c>
    </row>
    <row r="16" spans="8:15" x14ac:dyDescent="0.25">
      <c r="J16" s="11" t="s">
        <v>32</v>
      </c>
      <c r="K16">
        <v>7107.1459999999988</v>
      </c>
      <c r="L16">
        <v>3030.0508</v>
      </c>
    </row>
    <row r="17" spans="10:12" x14ac:dyDescent="0.25">
      <c r="J17" s="11" t="s">
        <v>97</v>
      </c>
      <c r="K17">
        <v>38100.507999999994</v>
      </c>
      <c r="L17">
        <v>6382.5786999999982</v>
      </c>
    </row>
    <row r="18" spans="10:12" x14ac:dyDescent="0.25">
      <c r="J18" s="11" t="s">
        <v>47</v>
      </c>
      <c r="K18">
        <v>20559.251999999997</v>
      </c>
      <c r="L18">
        <v>1864.6488999999988</v>
      </c>
    </row>
    <row r="19" spans="10:12" x14ac:dyDescent="0.25">
      <c r="J19" s="11" t="s">
        <v>475</v>
      </c>
      <c r="K19">
        <v>12940.315999999995</v>
      </c>
      <c r="L19">
        <v>492.52459999999974</v>
      </c>
    </row>
    <row r="20" spans="10:12" x14ac:dyDescent="0.25">
      <c r="J20" s="11" t="s">
        <v>339</v>
      </c>
      <c r="K20">
        <v>24277.904500000001</v>
      </c>
      <c r="L20">
        <v>-1984.8443000000009</v>
      </c>
    </row>
  </sheetData>
  <mergeCells count="1">
    <mergeCell ref="H1:O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5043-C67F-47B4-9C80-EF2A3D02E98D}">
  <dimension ref="H1:P23"/>
  <sheetViews>
    <sheetView topLeftCell="B16" workbookViewId="0">
      <selection activeCell="O26" sqref="O26"/>
    </sheetView>
  </sheetViews>
  <sheetFormatPr defaultRowHeight="15" x14ac:dyDescent="0.25"/>
  <cols>
    <col min="10" max="10" width="31.28515625" bestFit="1" customWidth="1"/>
    <col min="11" max="11" width="12.5703125" bestFit="1" customWidth="1"/>
    <col min="12" max="12" width="13.5703125" bestFit="1" customWidth="1"/>
  </cols>
  <sheetData>
    <row r="1" spans="8:16" ht="18" customHeight="1" x14ac:dyDescent="0.25">
      <c r="H1" s="13" t="s">
        <v>3088</v>
      </c>
      <c r="I1" s="13"/>
      <c r="J1" s="13"/>
      <c r="K1" s="13"/>
      <c r="L1" s="13"/>
      <c r="M1" s="13"/>
      <c r="N1" s="13"/>
      <c r="O1" s="13"/>
      <c r="P1" s="13"/>
    </row>
    <row r="3" spans="8:16" x14ac:dyDescent="0.25">
      <c r="J3" s="10" t="s">
        <v>3089</v>
      </c>
      <c r="K3" t="s">
        <v>3082</v>
      </c>
      <c r="L3" t="s">
        <v>3085</v>
      </c>
    </row>
    <row r="4" spans="8:16" x14ac:dyDescent="0.25">
      <c r="J4" s="11" t="s">
        <v>65</v>
      </c>
      <c r="K4">
        <v>71831.896099999998</v>
      </c>
      <c r="L4">
        <v>1974.7086999999995</v>
      </c>
    </row>
    <row r="5" spans="8:16" x14ac:dyDescent="0.25">
      <c r="J5" s="12" t="s">
        <v>140</v>
      </c>
      <c r="K5">
        <v>6707.1535999999996</v>
      </c>
      <c r="L5">
        <v>-250.70770000000005</v>
      </c>
    </row>
    <row r="6" spans="8:16" x14ac:dyDescent="0.25">
      <c r="J6" s="12" t="s">
        <v>66</v>
      </c>
      <c r="K6">
        <v>34693.988000000005</v>
      </c>
      <c r="L6">
        <v>3163.1897000000004</v>
      </c>
    </row>
    <row r="7" spans="8:16" x14ac:dyDescent="0.25">
      <c r="J7" s="12" t="s">
        <v>106</v>
      </c>
      <c r="K7">
        <v>6152.85</v>
      </c>
      <c r="L7">
        <v>1047.0709999999999</v>
      </c>
    </row>
    <row r="8" spans="8:16" x14ac:dyDescent="0.25">
      <c r="J8" s="12" t="s">
        <v>339</v>
      </c>
      <c r="K8">
        <v>24277.904500000001</v>
      </c>
      <c r="L8">
        <v>-1984.8443000000009</v>
      </c>
    </row>
    <row r="9" spans="8:16" x14ac:dyDescent="0.25">
      <c r="J9" s="11" t="s">
        <v>31</v>
      </c>
      <c r="K9">
        <v>74231.585999999967</v>
      </c>
      <c r="L9">
        <v>9118.6267999999945</v>
      </c>
    </row>
    <row r="10" spans="8:16" x14ac:dyDescent="0.25">
      <c r="J10" s="12" t="s">
        <v>205</v>
      </c>
      <c r="K10">
        <v>7190.0769999999993</v>
      </c>
      <c r="L10">
        <v>1307.9733000000001</v>
      </c>
    </row>
    <row r="11" spans="8:16" x14ac:dyDescent="0.25">
      <c r="J11" s="12" t="s">
        <v>56</v>
      </c>
      <c r="K11">
        <v>2768.1119999999983</v>
      </c>
      <c r="L11">
        <v>718.51920000000018</v>
      </c>
    </row>
    <row r="12" spans="8:16" x14ac:dyDescent="0.25">
      <c r="J12" s="12" t="s">
        <v>41</v>
      </c>
      <c r="K12">
        <v>20457.864999999983</v>
      </c>
      <c r="L12">
        <v>434.032999999997</v>
      </c>
    </row>
    <row r="13" spans="8:16" x14ac:dyDescent="0.25">
      <c r="J13" s="12" t="s">
        <v>166</v>
      </c>
      <c r="K13">
        <v>1605.8619999999999</v>
      </c>
      <c r="L13">
        <v>635.92949999999996</v>
      </c>
    </row>
    <row r="14" spans="8:16" x14ac:dyDescent="0.25">
      <c r="J14" s="12" t="s">
        <v>82</v>
      </c>
      <c r="K14">
        <v>367.42000000000007</v>
      </c>
      <c r="L14">
        <v>77.933699999999988</v>
      </c>
    </row>
    <row r="15" spans="8:16" x14ac:dyDescent="0.25">
      <c r="J15" s="12" t="s">
        <v>44</v>
      </c>
      <c r="K15">
        <v>1235.5360000000001</v>
      </c>
      <c r="L15">
        <v>557.01379999999995</v>
      </c>
    </row>
    <row r="16" spans="8:16" x14ac:dyDescent="0.25">
      <c r="J16" s="12" t="s">
        <v>32</v>
      </c>
      <c r="K16">
        <v>7107.1459999999988</v>
      </c>
      <c r="L16">
        <v>3030.0508</v>
      </c>
    </row>
    <row r="17" spans="10:12" x14ac:dyDescent="0.25">
      <c r="J17" s="12" t="s">
        <v>47</v>
      </c>
      <c r="K17">
        <v>20559.251999999997</v>
      </c>
      <c r="L17">
        <v>1864.6488999999988</v>
      </c>
    </row>
    <row r="18" spans="10:12" x14ac:dyDescent="0.25">
      <c r="J18" s="12" t="s">
        <v>475</v>
      </c>
      <c r="K18">
        <v>12940.315999999995</v>
      </c>
      <c r="L18">
        <v>492.52459999999974</v>
      </c>
    </row>
    <row r="19" spans="10:12" x14ac:dyDescent="0.25">
      <c r="J19" s="11" t="s">
        <v>96</v>
      </c>
      <c r="K19">
        <v>82617.742999999988</v>
      </c>
      <c r="L19">
        <v>9710.3871999999938</v>
      </c>
    </row>
    <row r="20" spans="10:12" x14ac:dyDescent="0.25">
      <c r="J20" s="12" t="s">
        <v>117</v>
      </c>
      <c r="K20">
        <v>12569.76</v>
      </c>
      <c r="L20">
        <v>3336.7113999999979</v>
      </c>
    </row>
    <row r="21" spans="10:12" x14ac:dyDescent="0.25">
      <c r="J21" s="12" t="s">
        <v>1498</v>
      </c>
      <c r="K21">
        <v>5309.8880000000008</v>
      </c>
      <c r="L21">
        <v>1349.9722999999999</v>
      </c>
    </row>
    <row r="22" spans="10:12" x14ac:dyDescent="0.25">
      <c r="J22" s="12" t="s">
        <v>754</v>
      </c>
      <c r="K22">
        <v>26637.587000000003</v>
      </c>
      <c r="L22">
        <v>-1358.8752000000022</v>
      </c>
    </row>
    <row r="23" spans="10:12" x14ac:dyDescent="0.25">
      <c r="J23" s="12" t="s">
        <v>97</v>
      </c>
      <c r="K23">
        <v>38100.507999999994</v>
      </c>
      <c r="L23">
        <v>6382.5786999999982</v>
      </c>
    </row>
  </sheetData>
  <mergeCells count="1">
    <mergeCell ref="H1:P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5A62-A38A-4C04-9EEE-9F1EAD4A6A93}">
  <dimension ref="H1:M5"/>
  <sheetViews>
    <sheetView workbookViewId="0">
      <selection activeCell="N3" sqref="N3"/>
    </sheetView>
  </sheetViews>
  <sheetFormatPr defaultRowHeight="15" x14ac:dyDescent="0.25"/>
  <cols>
    <col min="10" max="10" width="12.42578125" bestFit="1" customWidth="1"/>
    <col min="11" max="11" width="12" bestFit="1" customWidth="1"/>
    <col min="12" max="12" width="13.28515625" bestFit="1" customWidth="1"/>
  </cols>
  <sheetData>
    <row r="1" spans="8:13" ht="15.75" x14ac:dyDescent="0.25">
      <c r="H1" s="13" t="s">
        <v>3093</v>
      </c>
      <c r="I1" s="13"/>
      <c r="J1" s="13"/>
      <c r="K1" s="13"/>
      <c r="L1" s="13"/>
      <c r="M1" s="13"/>
    </row>
    <row r="3" spans="8:13" x14ac:dyDescent="0.25">
      <c r="J3" s="10" t="s">
        <v>3094</v>
      </c>
      <c r="K3" t="s">
        <v>3082</v>
      </c>
      <c r="L3" t="s">
        <v>3085</v>
      </c>
    </row>
    <row r="4" spans="8:13" x14ac:dyDescent="0.25">
      <c r="J4" s="11" t="s">
        <v>279</v>
      </c>
      <c r="K4">
        <v>5278.7619999999979</v>
      </c>
      <c r="L4">
        <v>1211.9571999999998</v>
      </c>
    </row>
    <row r="5" spans="8:13" x14ac:dyDescent="0.25">
      <c r="J5" s="11" t="s">
        <v>26</v>
      </c>
      <c r="K5">
        <v>223402.46309999991</v>
      </c>
      <c r="L5">
        <v>19591.765499999998</v>
      </c>
    </row>
  </sheetData>
  <mergeCells count="1">
    <mergeCell ref="H1:M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7FABF-0CFB-45C0-A945-7FBFE3C2F684}">
  <dimension ref="H1:M6"/>
  <sheetViews>
    <sheetView topLeftCell="B1" workbookViewId="0">
      <selection activeCell="N6" sqref="N6"/>
    </sheetView>
  </sheetViews>
  <sheetFormatPr defaultRowHeight="15" x14ac:dyDescent="0.25"/>
  <cols>
    <col min="9" max="9" width="12.140625" bestFit="1" customWidth="1"/>
    <col min="10" max="10" width="12.5703125" bestFit="1" customWidth="1"/>
    <col min="11" max="11" width="13.5703125" bestFit="1" customWidth="1"/>
    <col min="12" max="12" width="16.85546875" bestFit="1" customWidth="1"/>
    <col min="13" max="13" width="16" bestFit="1" customWidth="1"/>
  </cols>
  <sheetData>
    <row r="1" spans="8:13" ht="15.75" x14ac:dyDescent="0.25">
      <c r="H1" s="13" t="s">
        <v>3090</v>
      </c>
      <c r="I1" s="15"/>
      <c r="J1" s="15"/>
      <c r="K1" s="15"/>
      <c r="L1" s="15"/>
      <c r="M1" s="15"/>
    </row>
    <row r="3" spans="8:13" x14ac:dyDescent="0.25">
      <c r="I3" s="10" t="s">
        <v>3091</v>
      </c>
      <c r="J3" t="s">
        <v>3082</v>
      </c>
      <c r="K3" t="s">
        <v>3085</v>
      </c>
      <c r="L3" t="s">
        <v>3092</v>
      </c>
    </row>
    <row r="4" spans="8:13" x14ac:dyDescent="0.25">
      <c r="I4" s="11" t="s">
        <v>25</v>
      </c>
      <c r="J4">
        <v>108870.32710000005</v>
      </c>
      <c r="K4">
        <v>7885.0520000000024</v>
      </c>
      <c r="L4">
        <v>91.020000000000309</v>
      </c>
    </row>
    <row r="5" spans="8:13" x14ac:dyDescent="0.25">
      <c r="I5" s="11" t="s">
        <v>74</v>
      </c>
      <c r="J5">
        <v>59021.999999999949</v>
      </c>
      <c r="K5">
        <v>8117.8840999999939</v>
      </c>
      <c r="L5">
        <v>34.799999999999976</v>
      </c>
    </row>
    <row r="6" spans="8:13" x14ac:dyDescent="0.25">
      <c r="I6" s="11" t="s">
        <v>37</v>
      </c>
      <c r="J6">
        <v>60788.897999999986</v>
      </c>
      <c r="K6">
        <v>4800.7865999999958</v>
      </c>
      <c r="L6">
        <v>22.499999999999975</v>
      </c>
    </row>
  </sheetData>
  <mergeCells count="1">
    <mergeCell ref="H1:M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BFD9-BA7F-4B02-BA86-C740A0A37D09}">
  <dimension ref="H1:M13"/>
  <sheetViews>
    <sheetView topLeftCell="D9" workbookViewId="0">
      <selection activeCell="O14" sqref="O14"/>
    </sheetView>
  </sheetViews>
  <sheetFormatPr defaultRowHeight="15" x14ac:dyDescent="0.25"/>
  <cols>
    <col min="10" max="10" width="12.7109375" bestFit="1" customWidth="1"/>
    <col min="11" max="11" width="12.5703125" bestFit="1" customWidth="1"/>
    <col min="12" max="12" width="13.5703125" bestFit="1" customWidth="1"/>
  </cols>
  <sheetData>
    <row r="1" spans="8:13" ht="15.75" x14ac:dyDescent="0.25">
      <c r="H1" s="13" t="s">
        <v>3095</v>
      </c>
      <c r="I1" s="15"/>
      <c r="J1" s="15"/>
      <c r="K1" s="15"/>
      <c r="L1" s="15"/>
      <c r="M1" s="15"/>
    </row>
    <row r="3" spans="8:13" x14ac:dyDescent="0.25">
      <c r="J3" s="10" t="s">
        <v>3096</v>
      </c>
      <c r="K3" t="s">
        <v>3082</v>
      </c>
      <c r="L3" t="s">
        <v>3085</v>
      </c>
    </row>
    <row r="4" spans="8:13" x14ac:dyDescent="0.25">
      <c r="J4" s="11" t="s">
        <v>91</v>
      </c>
      <c r="K4">
        <v>50389.273000000001</v>
      </c>
      <c r="L4">
        <v>6605.515099999996</v>
      </c>
    </row>
    <row r="5" spans="8:13" x14ac:dyDescent="0.25">
      <c r="J5" s="11" t="s">
        <v>273</v>
      </c>
      <c r="K5">
        <v>30888.983499999998</v>
      </c>
      <c r="L5">
        <v>-1803.2557000000015</v>
      </c>
    </row>
    <row r="6" spans="8:13" x14ac:dyDescent="0.25">
      <c r="J6" s="11" t="s">
        <v>39</v>
      </c>
      <c r="K6">
        <v>4895.9939999999988</v>
      </c>
      <c r="L6">
        <v>-839.83870000000047</v>
      </c>
    </row>
    <row r="7" spans="8:13" x14ac:dyDescent="0.25">
      <c r="J7" s="11" t="s">
        <v>62</v>
      </c>
      <c r="K7">
        <v>7327.41</v>
      </c>
      <c r="L7">
        <v>1959.3459999999998</v>
      </c>
    </row>
    <row r="8" spans="8:13" x14ac:dyDescent="0.25">
      <c r="J8" s="11" t="s">
        <v>787</v>
      </c>
      <c r="K8">
        <v>4788.6000000000004</v>
      </c>
      <c r="L8">
        <v>1279.0467000000001</v>
      </c>
    </row>
    <row r="9" spans="8:13" x14ac:dyDescent="0.25">
      <c r="J9" s="11" t="s">
        <v>349</v>
      </c>
      <c r="K9">
        <v>15087.419999999998</v>
      </c>
      <c r="L9">
        <v>1261.8472999999999</v>
      </c>
    </row>
    <row r="10" spans="8:13" x14ac:dyDescent="0.25">
      <c r="J10" s="11" t="s">
        <v>53</v>
      </c>
      <c r="K10">
        <v>8304.5969999999998</v>
      </c>
      <c r="L10">
        <v>-725.90449999999987</v>
      </c>
    </row>
    <row r="11" spans="8:13" x14ac:dyDescent="0.25">
      <c r="J11" s="11" t="s">
        <v>28</v>
      </c>
      <c r="K11">
        <v>17430.970599999993</v>
      </c>
      <c r="L11">
        <v>-4959.6499000000003</v>
      </c>
    </row>
    <row r="12" spans="8:13" x14ac:dyDescent="0.25">
      <c r="J12" s="11" t="s">
        <v>123</v>
      </c>
      <c r="K12">
        <v>20873.71</v>
      </c>
      <c r="L12">
        <v>4862.3110999999981</v>
      </c>
    </row>
    <row r="13" spans="8:13" x14ac:dyDescent="0.25">
      <c r="J13" s="11" t="s">
        <v>388</v>
      </c>
      <c r="K13">
        <v>14321.271999999997</v>
      </c>
      <c r="L13">
        <v>2959.3206</v>
      </c>
    </row>
  </sheetData>
  <mergeCells count="1">
    <mergeCell ref="H1:M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3F6D-AAE1-47FE-B552-641F4259336E}">
  <dimension ref="A1"/>
  <sheetViews>
    <sheetView showGridLines="0" tabSelected="1" topLeftCell="A5" zoomScale="49" workbookViewId="0">
      <selection activeCell="AP9" sqref="AP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vt:lpstr>
      <vt:lpstr>REGION</vt:lpstr>
      <vt:lpstr>PRODUCT </vt:lpstr>
      <vt:lpstr>CATEGORY </vt:lpstr>
      <vt:lpstr>SUB CATEGORY</vt:lpstr>
      <vt:lpstr>CATEGORY VS SUB-CATEGORY</vt:lpstr>
      <vt:lpstr>COUNTRY WISE</vt:lpstr>
      <vt:lpstr>SEGMENT WISE</vt:lpstr>
      <vt:lpstr>STATE WISE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S0241912</dc:creator>
  <cp:lastModifiedBy>S0241912</cp:lastModifiedBy>
  <dcterms:created xsi:type="dcterms:W3CDTF">2026-09-26T11:45:50Z</dcterms:created>
  <dcterms:modified xsi:type="dcterms:W3CDTF">2026-10-12T06:30:58Z</dcterms:modified>
</cp:coreProperties>
</file>